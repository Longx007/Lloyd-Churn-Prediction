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dvan\Downloads\"/>
    </mc:Choice>
  </mc:AlternateContent>
  <xr:revisionPtr revIDLastSave="0" documentId="13_ncr:1_{CECC31B3-FF07-4C29-BD1F-D16C772B0B6B}" xr6:coauthVersionLast="47" xr6:coauthVersionMax="47" xr10:uidLastSave="{00000000-0000-0000-0000-000000000000}"/>
  <bookViews>
    <workbookView xWindow="20" yWindow="740" windowWidth="19180" windowHeight="11260" tabRatio="598" xr2:uid="{00000000-000D-0000-FFFF-FFFF00000000}"/>
  </bookViews>
  <sheets>
    <sheet name="EDA_Charts" sheetId="9" r:id="rId1"/>
    <sheet name="Customer_level" sheetId="6" r:id="rId2"/>
    <sheet name="Data_Cleaning" sheetId="7" r:id="rId3"/>
    <sheet name="Customer_Encoded" sheetId="8" r:id="rId4"/>
  </sheets>
  <calcPr calcId="191029"/>
  <pivotCaches>
    <pivotCache cacheId="2" r:id="rId5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05" i="8" l="1"/>
  <c r="G1004" i="8"/>
  <c r="F1005" i="8"/>
  <c r="F1004" i="8"/>
  <c r="D1005" i="8"/>
  <c r="E1005" i="8"/>
  <c r="E1004" i="8"/>
  <c r="D1004" i="8"/>
  <c r="B1005" i="8"/>
  <c r="B1004" i="8"/>
  <c r="B2" i="7"/>
  <c r="C2" i="7" s="1"/>
  <c r="C36" i="7"/>
  <c r="C35" i="7"/>
  <c r="C34" i="7"/>
  <c r="C33" i="7"/>
  <c r="C32" i="7"/>
  <c r="C31" i="7"/>
  <c r="B36" i="7"/>
  <c r="B35" i="7"/>
  <c r="B34" i="7"/>
  <c r="B33" i="7"/>
  <c r="B32" i="7"/>
  <c r="B31" i="7"/>
  <c r="B22" i="7"/>
  <c r="C22" i="7" s="1"/>
  <c r="B21" i="7"/>
  <c r="C21" i="7" s="1"/>
  <c r="B20" i="7"/>
  <c r="C20" i="7" s="1"/>
  <c r="B19" i="7"/>
  <c r="C19" i="7" s="1"/>
  <c r="B18" i="7"/>
  <c r="C18" i="7" s="1"/>
  <c r="B17" i="7"/>
  <c r="C17" i="7" s="1"/>
  <c r="B16" i="7"/>
  <c r="C16" i="7" s="1"/>
  <c r="B15" i="7"/>
  <c r="C15" i="7" s="1"/>
  <c r="B14" i="7"/>
  <c r="C14" i="7" s="1"/>
  <c r="B13" i="7"/>
  <c r="C13" i="7" s="1"/>
  <c r="B12" i="7"/>
  <c r="C12" i="7" s="1"/>
  <c r="B11" i="7"/>
  <c r="C11" i="7" s="1"/>
  <c r="B10" i="7"/>
  <c r="C10" i="7" s="1"/>
  <c r="B9" i="7"/>
  <c r="C9" i="7" s="1"/>
  <c r="B8" i="7"/>
  <c r="C8" i="7" s="1"/>
  <c r="B7" i="7"/>
  <c r="C7" i="7" s="1"/>
  <c r="B6" i="7"/>
  <c r="C6" i="7" s="1"/>
  <c r="B5" i="7"/>
  <c r="C5" i="7" s="1"/>
  <c r="B4" i="7"/>
  <c r="C4" i="7" s="1"/>
  <c r="B3" i="7"/>
  <c r="C3" i="7" s="1"/>
  <c r="D32" i="7" l="1"/>
  <c r="F32" i="7" s="1"/>
  <c r="D36" i="7"/>
  <c r="F36" i="7" s="1"/>
  <c r="D35" i="7"/>
  <c r="E35" i="7" s="1"/>
  <c r="D34" i="7"/>
  <c r="F34" i="7" s="1"/>
  <c r="D33" i="7"/>
  <c r="E33" i="7" s="1"/>
  <c r="D31" i="7"/>
  <c r="F31" i="7" s="1"/>
  <c r="G33" i="7" l="1"/>
  <c r="H33" i="7" s="1"/>
  <c r="E32" i="7"/>
  <c r="G32" i="7" s="1"/>
  <c r="H32" i="7" s="1"/>
  <c r="F33" i="7"/>
  <c r="E36" i="7"/>
  <c r="G36" i="7"/>
  <c r="H36" i="7" s="1"/>
  <c r="E34" i="7"/>
  <c r="G34" i="7" s="1"/>
  <c r="H34" i="7" s="1"/>
  <c r="F35" i="7"/>
  <c r="G35" i="7" s="1"/>
  <c r="H35" i="7" s="1"/>
  <c r="E31" i="7"/>
  <c r="G31" i="7" s="1"/>
  <c r="H31" i="7" s="1"/>
  <c r="C1005" i="8"/>
  <c r="C1004" i="8"/>
</calcChain>
</file>

<file path=xl/sharedStrings.xml><?xml version="1.0" encoding="utf-8"?>
<sst xmlns="http://schemas.openxmlformats.org/spreadsheetml/2006/main" count="5164" uniqueCount="86">
  <si>
    <t>CustomerID</t>
  </si>
  <si>
    <t>Age</t>
  </si>
  <si>
    <t>Gender</t>
  </si>
  <si>
    <t>MaritalStatus</t>
  </si>
  <si>
    <t>IncomeLevel</t>
  </si>
  <si>
    <t>M</t>
  </si>
  <si>
    <t>F</t>
  </si>
  <si>
    <t>Single</t>
  </si>
  <si>
    <t>Married</t>
  </si>
  <si>
    <t>Widowed</t>
  </si>
  <si>
    <t>Divorced</t>
  </si>
  <si>
    <t>Low</t>
  </si>
  <si>
    <t>Medium</t>
  </si>
  <si>
    <t>High</t>
  </si>
  <si>
    <t>LoginFrequency</t>
  </si>
  <si>
    <t>ServiceUsage</t>
  </si>
  <si>
    <t>Mobile App</t>
  </si>
  <si>
    <t>Website</t>
  </si>
  <si>
    <t>Online Banking</t>
  </si>
  <si>
    <t>ChurnStatus</t>
  </si>
  <si>
    <t>Total_Amount_Spent</t>
  </si>
  <si>
    <t>Jumlah_Transaksi</t>
  </si>
  <si>
    <t>Has_Unresolved</t>
  </si>
  <si>
    <t>Pernah_Complaint</t>
  </si>
  <si>
    <t>Avg_Amount_Spent</t>
  </si>
  <si>
    <t>Pernah_Feedback</t>
  </si>
  <si>
    <t>Pernah_Inquiry</t>
  </si>
  <si>
    <t>Recency_Score</t>
  </si>
  <si>
    <t>Frequency_Score</t>
  </si>
  <si>
    <t>Monetary_Score</t>
  </si>
  <si>
    <t>RFM_Score</t>
  </si>
  <si>
    <t>Total_Interaction</t>
  </si>
  <si>
    <t>Recency_Days</t>
  </si>
  <si>
    <t>Kolom</t>
  </si>
  <si>
    <t>Total_Null</t>
  </si>
  <si>
    <t>Persentase</t>
  </si>
  <si>
    <t>Metode</t>
  </si>
  <si>
    <t>Q1</t>
  </si>
  <si>
    <t>Q3</t>
  </si>
  <si>
    <t>IQR</t>
  </si>
  <si>
    <t>Lower_Bound</t>
  </si>
  <si>
    <t>Upper_Bound</t>
  </si>
  <si>
    <t>Count_Outlier</t>
  </si>
  <si>
    <t>Keputusan</t>
  </si>
  <si>
    <t>Lower Bound = Q1 - (1.5 × IQR)</t>
  </si>
  <si>
    <t>Upper Bound = Q3 + (1.5 × IQR)</t>
  </si>
  <si>
    <t>IQR = Q3 - Q1</t>
  </si>
  <si>
    <t>Tidak ada outlier</t>
  </si>
  <si>
    <t>Tidak Ada Outlier</t>
  </si>
  <si>
    <t>Dipertahankan - sinyal churn kuat</t>
  </si>
  <si>
    <t>Dipertahankan - variasi natural perilaku spending</t>
  </si>
  <si>
    <t>Pct_Outlier</t>
  </si>
  <si>
    <t>MS_Single</t>
  </si>
  <si>
    <t>MS_Married</t>
  </si>
  <si>
    <t>MS_Divorced</t>
  </si>
  <si>
    <t>MS_Widowed</t>
  </si>
  <si>
    <t>Su_MobileApp</t>
  </si>
  <si>
    <t>SU_Website</t>
  </si>
  <si>
    <t>SU_OnlineBanking</t>
  </si>
  <si>
    <t>Gender-Encoded</t>
  </si>
  <si>
    <t>LoginFreq</t>
  </si>
  <si>
    <t>Total_Amt</t>
  </si>
  <si>
    <t>Avg_Amt</t>
  </si>
  <si>
    <t>Jml_Trx</t>
  </si>
  <si>
    <t>Recency</t>
  </si>
  <si>
    <t>MIN</t>
  </si>
  <si>
    <t>MAX</t>
  </si>
  <si>
    <t>Row Labels</t>
  </si>
  <si>
    <t>Grand Total</t>
  </si>
  <si>
    <t>Count of CustomerID</t>
  </si>
  <si>
    <t>Column Labels</t>
  </si>
  <si>
    <t>Age_Group</t>
  </si>
  <si>
    <t>61+</t>
  </si>
  <si>
    <t>18-30</t>
  </si>
  <si>
    <t>46-60</t>
  </si>
  <si>
    <t>31-45</t>
  </si>
  <si>
    <t>Average of LoginFrequency</t>
  </si>
  <si>
    <t>Count of LoginFrequency</t>
  </si>
  <si>
    <t>No Unresolved</t>
  </si>
  <si>
    <t>Has Unresolved</t>
  </si>
  <si>
    <t>Non-Churn</t>
  </si>
  <si>
    <t>Churn</t>
  </si>
  <si>
    <t>Male</t>
  </si>
  <si>
    <t>Female</t>
  </si>
  <si>
    <t>Non_Churn</t>
  </si>
  <si>
    <t>Non-churn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</si>
</sst>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6" formatCode="_-* #,##0.000_-;\-* #,##0.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ck">
        <color theme="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43" fontId="0" fillId="0" borderId="0" xfId="1" applyFont="1"/>
    <xf numFmtId="0" fontId="0" fillId="3" borderId="1" xfId="0" applyFont="1" applyFill="1" applyBorder="1"/>
    <xf numFmtId="0" fontId="0" fillId="4" borderId="1" xfId="0" applyFont="1" applyFill="1" applyBorder="1"/>
    <xf numFmtId="0" fontId="2" fillId="2" borderId="2" xfId="0" applyFont="1" applyFill="1" applyBorder="1"/>
    <xf numFmtId="0" fontId="0" fillId="0" borderId="0" xfId="0" applyNumberFormat="1"/>
    <xf numFmtId="1" fontId="0" fillId="0" borderId="0" xfId="0" applyNumberFormat="1"/>
    <xf numFmtId="1" fontId="0" fillId="0" borderId="0" xfId="1" applyNumberFormat="1" applyFont="1"/>
    <xf numFmtId="164" fontId="0" fillId="0" borderId="0" xfId="0" applyNumberFormat="1"/>
    <xf numFmtId="164" fontId="0" fillId="0" borderId="0" xfId="1" applyNumberFormat="1" applyFont="1"/>
    <xf numFmtId="2" fontId="0" fillId="0" borderId="0" xfId="0" applyNumberFormat="1"/>
    <xf numFmtId="2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</cellXfs>
  <cellStyles count="2">
    <cellStyle name="Comma" xfId="1" builtinId="3"/>
    <cellStyle name="Normal" xfId="0" builtinId="0"/>
  </cellStyles>
  <dxfs count="40">
    <dxf>
      <numFmt numFmtId="35" formatCode="_-* #,##0.00_-;\-* #,##0.00_-;_-* &quot;-&quot;??_-;_-@_-"/>
    </dxf>
    <dxf>
      <numFmt numFmtId="166" formatCode="_-* #,##0.000_-;\-* #,##0.000_-;_-* &quot;-&quot;??_-;_-@_-"/>
    </dxf>
    <dxf>
      <numFmt numFmtId="165" formatCode="_-* #,##0.0_-;\-* #,##0.0_-;_-* &quot;-&quot;??_-;_-@_-"/>
    </dxf>
    <dxf>
      <numFmt numFmtId="35" formatCode="_-* #,##0.00_-;\-* #,##0.00_-;_-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64" formatCode="0.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[Customer_Churn_Analysis.xlsx]EDA_Charts!PivotTable1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b="1"/>
              <a:t>Distribusi</a:t>
            </a:r>
            <a:r>
              <a:rPr lang="id-ID" b="1" baseline="0"/>
              <a:t> Churn Vs Non-Churn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EDA_Charts!$B$1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EDA_Charts!$A$2:$A$4</c:f>
              <c:strCache>
                <c:ptCount val="2"/>
                <c:pt idx="0">
                  <c:v>Non-Churn</c:v>
                </c:pt>
                <c:pt idx="1">
                  <c:v>Churn</c:v>
                </c:pt>
              </c:strCache>
            </c:strRef>
          </c:cat>
          <c:val>
            <c:numRef>
              <c:f>EDA_Charts!$B$2:$B$4</c:f>
              <c:numCache>
                <c:formatCode>General</c:formatCode>
                <c:ptCount val="2"/>
                <c:pt idx="0">
                  <c:v>796</c:v>
                </c:pt>
                <c:pt idx="1">
                  <c:v>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10-49EB-9672-CFED3AE1BA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83129728"/>
        <c:axId val="483130560"/>
      </c:barChart>
      <c:catAx>
        <c:axId val="483129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83130560"/>
        <c:crosses val="autoZero"/>
        <c:auto val="1"/>
        <c:lblAlgn val="ctr"/>
        <c:lblOffset val="100"/>
        <c:noMultiLvlLbl val="0"/>
      </c:catAx>
      <c:valAx>
        <c:axId val="48313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83129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[Customer_Churn_Analysis.xlsx]EDA_Charts!PivotTable2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b="1"/>
              <a:t>Churn</a:t>
            </a:r>
            <a:r>
              <a:rPr lang="id-ID" b="1" baseline="0"/>
              <a:t> Rate by Gender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EDA_Charts!$B$18:$B$19</c:f>
              <c:strCache>
                <c:ptCount val="1"/>
                <c:pt idx="0">
                  <c:v>Non-Churn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EDA_Charts!$A$20:$A$22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EDA_Charts!$B$20:$B$22</c:f>
              <c:numCache>
                <c:formatCode>General</c:formatCode>
                <c:ptCount val="2"/>
                <c:pt idx="0">
                  <c:v>412</c:v>
                </c:pt>
                <c:pt idx="1">
                  <c:v>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CE-49A1-A55D-DBDCF13E82B7}"/>
            </c:ext>
          </c:extLst>
        </c:ser>
        <c:ser>
          <c:idx val="1"/>
          <c:order val="1"/>
          <c:tx>
            <c:strRef>
              <c:f>EDA_Charts!$C$18:$C$19</c:f>
              <c:strCache>
                <c:ptCount val="1"/>
                <c:pt idx="0">
                  <c:v>Churn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EDA_Charts!$A$20:$A$22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EDA_Charts!$C$20:$C$22</c:f>
              <c:numCache>
                <c:formatCode>General</c:formatCode>
                <c:ptCount val="2"/>
                <c:pt idx="0">
                  <c:v>101</c:v>
                </c:pt>
                <c:pt idx="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BCE-49A1-A55D-DBDCF13E82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59870800"/>
        <c:axId val="359871216"/>
      </c:barChart>
      <c:catAx>
        <c:axId val="35987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59871216"/>
        <c:crosses val="autoZero"/>
        <c:auto val="1"/>
        <c:lblAlgn val="ctr"/>
        <c:lblOffset val="100"/>
        <c:noMultiLvlLbl val="0"/>
      </c:catAx>
      <c:valAx>
        <c:axId val="35987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5987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[Customer_Churn_Analysis.xlsx]EDA_Charts!PivotTable3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b="1"/>
              <a:t>Churn</a:t>
            </a:r>
            <a:r>
              <a:rPr lang="id-ID" b="1" baseline="0"/>
              <a:t> Rate by Income Level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EDA_Charts!$B$35:$B$36</c:f>
              <c:strCache>
                <c:ptCount val="1"/>
                <c:pt idx="0">
                  <c:v>Non-Churn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EDA_Charts!$A$37:$A$40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EDA_Charts!$B$37:$B$40</c:f>
              <c:numCache>
                <c:formatCode>General</c:formatCode>
                <c:ptCount val="3"/>
                <c:pt idx="0">
                  <c:v>282</c:v>
                </c:pt>
                <c:pt idx="1">
                  <c:v>253</c:v>
                </c:pt>
                <c:pt idx="2">
                  <c:v>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58-4923-89FF-EA9E098A331D}"/>
            </c:ext>
          </c:extLst>
        </c:ser>
        <c:ser>
          <c:idx val="1"/>
          <c:order val="1"/>
          <c:tx>
            <c:strRef>
              <c:f>EDA_Charts!$C$35:$C$36</c:f>
              <c:strCache>
                <c:ptCount val="1"/>
                <c:pt idx="0">
                  <c:v>Churn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EDA_Charts!$A$37:$A$40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EDA_Charts!$C$37:$C$40</c:f>
              <c:numCache>
                <c:formatCode>General</c:formatCode>
                <c:ptCount val="3"/>
                <c:pt idx="0">
                  <c:v>67</c:v>
                </c:pt>
                <c:pt idx="1">
                  <c:v>72</c:v>
                </c:pt>
                <c:pt idx="2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58-4923-89FF-EA9E098A33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97751296"/>
        <c:axId val="597753792"/>
      </c:barChart>
      <c:catAx>
        <c:axId val="597751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97753792"/>
        <c:crosses val="autoZero"/>
        <c:auto val="1"/>
        <c:lblAlgn val="ctr"/>
        <c:lblOffset val="100"/>
        <c:noMultiLvlLbl val="0"/>
      </c:catAx>
      <c:valAx>
        <c:axId val="597753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977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[Customer_Churn_Analysis.xlsx]EDA_Charts!PivotTable5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b="1"/>
              <a:t>Churn</a:t>
            </a:r>
            <a:r>
              <a:rPr lang="id-ID" b="1" baseline="0"/>
              <a:t> Rate by Age Group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EDA_Charts!$B$52:$B$53</c:f>
              <c:strCache>
                <c:ptCount val="1"/>
                <c:pt idx="0">
                  <c:v>Non-Churn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EDA_Charts!$A$54:$A$58</c:f>
              <c:strCache>
                <c:ptCount val="4"/>
                <c:pt idx="0">
                  <c:v>18-30</c:v>
                </c:pt>
                <c:pt idx="1">
                  <c:v>31-45</c:v>
                </c:pt>
                <c:pt idx="2">
                  <c:v>46-60</c:v>
                </c:pt>
                <c:pt idx="3">
                  <c:v>61+</c:v>
                </c:pt>
              </c:strCache>
            </c:strRef>
          </c:cat>
          <c:val>
            <c:numRef>
              <c:f>EDA_Charts!$B$54:$B$58</c:f>
              <c:numCache>
                <c:formatCode>General</c:formatCode>
                <c:ptCount val="4"/>
                <c:pt idx="0">
                  <c:v>214</c:v>
                </c:pt>
                <c:pt idx="1">
                  <c:v>216</c:v>
                </c:pt>
                <c:pt idx="2">
                  <c:v>228</c:v>
                </c:pt>
                <c:pt idx="3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12-4E12-BC73-890643983009}"/>
            </c:ext>
          </c:extLst>
        </c:ser>
        <c:ser>
          <c:idx val="1"/>
          <c:order val="1"/>
          <c:tx>
            <c:strRef>
              <c:f>EDA_Charts!$C$52:$C$53</c:f>
              <c:strCache>
                <c:ptCount val="1"/>
                <c:pt idx="0">
                  <c:v>Churn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EDA_Charts!$A$54:$A$58</c:f>
              <c:strCache>
                <c:ptCount val="4"/>
                <c:pt idx="0">
                  <c:v>18-30</c:v>
                </c:pt>
                <c:pt idx="1">
                  <c:v>31-45</c:v>
                </c:pt>
                <c:pt idx="2">
                  <c:v>46-60</c:v>
                </c:pt>
                <c:pt idx="3">
                  <c:v>61+</c:v>
                </c:pt>
              </c:strCache>
            </c:strRef>
          </c:cat>
          <c:val>
            <c:numRef>
              <c:f>EDA_Charts!$C$54:$C$58</c:f>
              <c:numCache>
                <c:formatCode>General</c:formatCode>
                <c:ptCount val="4"/>
                <c:pt idx="0">
                  <c:v>52</c:v>
                </c:pt>
                <c:pt idx="1">
                  <c:v>60</c:v>
                </c:pt>
                <c:pt idx="2">
                  <c:v>56</c:v>
                </c:pt>
                <c:pt idx="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12-4E12-BC73-8906439830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81114160"/>
        <c:axId val="381114992"/>
      </c:barChart>
      <c:catAx>
        <c:axId val="38111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81114992"/>
        <c:crosses val="autoZero"/>
        <c:auto val="1"/>
        <c:lblAlgn val="ctr"/>
        <c:lblOffset val="100"/>
        <c:noMultiLvlLbl val="0"/>
      </c:catAx>
      <c:valAx>
        <c:axId val="38111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81114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[Customer_Churn_Analysis.xlsx]EDA_Charts!PivotTable6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b="1"/>
              <a:t>Churn</a:t>
            </a:r>
            <a:r>
              <a:rPr lang="id-ID" b="1" baseline="0"/>
              <a:t> Rate by Service Usage</a:t>
            </a:r>
            <a:endParaRPr lang="id-ID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EDA_Charts!$B$68:$B$69</c:f>
              <c:strCache>
                <c:ptCount val="1"/>
                <c:pt idx="0">
                  <c:v>Non_Churn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EDA_Charts!$A$70:$A$73</c:f>
              <c:strCache>
                <c:ptCount val="3"/>
                <c:pt idx="0">
                  <c:v>Mobile App</c:v>
                </c:pt>
                <c:pt idx="1">
                  <c:v>Online Banking</c:v>
                </c:pt>
                <c:pt idx="2">
                  <c:v>Website</c:v>
                </c:pt>
              </c:strCache>
            </c:strRef>
          </c:cat>
          <c:val>
            <c:numRef>
              <c:f>EDA_Charts!$B$70:$B$73</c:f>
              <c:numCache>
                <c:formatCode>General</c:formatCode>
                <c:ptCount val="3"/>
                <c:pt idx="0">
                  <c:v>263</c:v>
                </c:pt>
                <c:pt idx="1">
                  <c:v>279</c:v>
                </c:pt>
                <c:pt idx="2">
                  <c:v>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22-497A-B04C-0548C710CC7B}"/>
            </c:ext>
          </c:extLst>
        </c:ser>
        <c:ser>
          <c:idx val="1"/>
          <c:order val="1"/>
          <c:tx>
            <c:strRef>
              <c:f>EDA_Charts!$C$68:$C$69</c:f>
              <c:strCache>
                <c:ptCount val="1"/>
                <c:pt idx="0">
                  <c:v>Churn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EDA_Charts!$A$70:$A$73</c:f>
              <c:strCache>
                <c:ptCount val="3"/>
                <c:pt idx="0">
                  <c:v>Mobile App</c:v>
                </c:pt>
                <c:pt idx="1">
                  <c:v>Online Banking</c:v>
                </c:pt>
                <c:pt idx="2">
                  <c:v>Website</c:v>
                </c:pt>
              </c:strCache>
            </c:strRef>
          </c:cat>
          <c:val>
            <c:numRef>
              <c:f>EDA_Charts!$C$70:$C$73</c:f>
              <c:numCache>
                <c:formatCode>General</c:formatCode>
                <c:ptCount val="3"/>
                <c:pt idx="0">
                  <c:v>79</c:v>
                </c:pt>
                <c:pt idx="1">
                  <c:v>70</c:v>
                </c:pt>
                <c:pt idx="2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22-497A-B04C-0548C710CC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6574640"/>
        <c:axId val="276576720"/>
      </c:barChart>
      <c:catAx>
        <c:axId val="276574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76576720"/>
        <c:crosses val="autoZero"/>
        <c:auto val="1"/>
        <c:lblAlgn val="ctr"/>
        <c:lblOffset val="100"/>
        <c:noMultiLvlLbl val="0"/>
      </c:catAx>
      <c:valAx>
        <c:axId val="27657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76574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[Customer_Churn_Analysis.xlsx]EDA_Charts!PivotTable7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b="1"/>
              <a:t>Avg</a:t>
            </a:r>
            <a:r>
              <a:rPr lang="id-ID" b="1" baseline="0"/>
              <a:t> Login Frequency by Churn Status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EDA_Charts!$B$84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EDA_Charts!$A$85:$A$87</c:f>
              <c:strCache>
                <c:ptCount val="2"/>
                <c:pt idx="0">
                  <c:v>Non-Churn</c:v>
                </c:pt>
                <c:pt idx="1">
                  <c:v>Churn</c:v>
                </c:pt>
              </c:strCache>
            </c:strRef>
          </c:cat>
          <c:val>
            <c:numRef>
              <c:f>EDA_Charts!$B$85:$B$87</c:f>
              <c:numCache>
                <c:formatCode>_-* #,##0.000_-;\-* #,##0.000_-;_-* "-"??_-;_-@_-</c:formatCode>
                <c:ptCount val="2"/>
                <c:pt idx="0">
                  <c:v>26.492462311557787</c:v>
                </c:pt>
                <c:pt idx="1">
                  <c:v>23.647058823529413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45-4BB4-863A-E2541F014B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37353967"/>
        <c:axId val="637353135"/>
      </c:barChart>
      <c:catAx>
        <c:axId val="63735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637353135"/>
        <c:crosses val="autoZero"/>
        <c:auto val="1"/>
        <c:lblAlgn val="ctr"/>
        <c:lblOffset val="100"/>
        <c:noMultiLvlLbl val="0"/>
      </c:catAx>
      <c:valAx>
        <c:axId val="63735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0_-;\-* #,##0.0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637353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[Customer_Churn_Analysis.xlsx]EDA_Charts!PivotTable4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400" b="1" i="0" u="none" strike="noStrike" baseline="0"/>
              <a:t>Unresolved Issues vs Churn</a:t>
            </a:r>
            <a:endParaRPr lang="id-ID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EDA_Charts!$B$100:$B$101</c:f>
              <c:strCache>
                <c:ptCount val="1"/>
                <c:pt idx="0">
                  <c:v>Non-churn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EDA_Charts!$A$102:$A$104</c:f>
              <c:strCache>
                <c:ptCount val="2"/>
                <c:pt idx="0">
                  <c:v>No Unresolved</c:v>
                </c:pt>
                <c:pt idx="1">
                  <c:v>Has Unresolved</c:v>
                </c:pt>
              </c:strCache>
            </c:strRef>
          </c:cat>
          <c:val>
            <c:numRef>
              <c:f>EDA_Charts!$B$102:$B$104</c:f>
              <c:numCache>
                <c:formatCode>General</c:formatCode>
                <c:ptCount val="2"/>
                <c:pt idx="0">
                  <c:v>471</c:v>
                </c:pt>
                <c:pt idx="1">
                  <c:v>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BF-45AF-AC18-4BC267D1E3AF}"/>
            </c:ext>
          </c:extLst>
        </c:ser>
        <c:ser>
          <c:idx val="1"/>
          <c:order val="1"/>
          <c:tx>
            <c:strRef>
              <c:f>EDA_Charts!$C$100:$C$101</c:f>
              <c:strCache>
                <c:ptCount val="1"/>
                <c:pt idx="0">
                  <c:v>Churn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EDA_Charts!$A$102:$A$104</c:f>
              <c:strCache>
                <c:ptCount val="2"/>
                <c:pt idx="0">
                  <c:v>No Unresolved</c:v>
                </c:pt>
                <c:pt idx="1">
                  <c:v>Has Unresolved</c:v>
                </c:pt>
              </c:strCache>
            </c:strRef>
          </c:cat>
          <c:val>
            <c:numRef>
              <c:f>EDA_Charts!$C$102:$C$104</c:f>
              <c:numCache>
                <c:formatCode>General</c:formatCode>
                <c:ptCount val="2"/>
                <c:pt idx="0">
                  <c:v>118</c:v>
                </c:pt>
                <c:pt idx="1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BF-45AF-AC18-4BC267D1E3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56112015"/>
        <c:axId val="456114927"/>
      </c:barChart>
      <c:catAx>
        <c:axId val="456112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56114927"/>
        <c:crosses val="autoZero"/>
        <c:auto val="1"/>
        <c:lblAlgn val="ctr"/>
        <c:lblOffset val="100"/>
        <c:noMultiLvlLbl val="0"/>
      </c:catAx>
      <c:valAx>
        <c:axId val="45611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56112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254008</xdr:colOff>
      <xdr:row>0</xdr:row>
      <xdr:rowOff>33338</xdr:rowOff>
    </xdr:from>
    <xdr:to>
      <xdr:col>8</xdr:col>
      <xdr:colOff>190508</xdr:colOff>
      <xdr:row>14</xdr:row>
      <xdr:rowOff>103187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DC7ADB-AD81-4538-95ED-AC95C2A34D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76994</xdr:colOff>
      <xdr:row>17</xdr:row>
      <xdr:rowOff>33338</xdr:rowOff>
    </xdr:from>
    <xdr:to>
      <xdr:col>9</xdr:col>
      <xdr:colOff>432593</xdr:colOff>
      <xdr:row>32</xdr:row>
      <xdr:rowOff>38101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3A5961-1309-4267-862B-466F5B71C9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39696</xdr:colOff>
      <xdr:row>33</xdr:row>
      <xdr:rowOff>144463</xdr:rowOff>
    </xdr:from>
    <xdr:to>
      <xdr:col>9</xdr:col>
      <xdr:colOff>539757</xdr:colOff>
      <xdr:row>48</xdr:row>
      <xdr:rowOff>149226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F380051-DCF4-43BE-8A63-95E0871FD7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281781</xdr:colOff>
      <xdr:row>50</xdr:row>
      <xdr:rowOff>168275</xdr:rowOff>
    </xdr:from>
    <xdr:to>
      <xdr:col>10</xdr:col>
      <xdr:colOff>170655</xdr:colOff>
      <xdr:row>65</xdr:row>
      <xdr:rowOff>173037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0F917CC-6034-4591-AF32-C31082F430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206383</xdr:colOff>
      <xdr:row>66</xdr:row>
      <xdr:rowOff>120650</xdr:rowOff>
    </xdr:from>
    <xdr:to>
      <xdr:col>10</xdr:col>
      <xdr:colOff>95258</xdr:colOff>
      <xdr:row>81</xdr:row>
      <xdr:rowOff>125412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CCE1131-0AB7-40D7-B6E4-508995207E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595313</xdr:colOff>
      <xdr:row>82</xdr:row>
      <xdr:rowOff>144463</xdr:rowOff>
    </xdr:from>
    <xdr:to>
      <xdr:col>9</xdr:col>
      <xdr:colOff>325438</xdr:colOff>
      <xdr:row>97</xdr:row>
      <xdr:rowOff>149225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BD1B7D0-619C-46B6-835C-26A61F34BE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210344</xdr:colOff>
      <xdr:row>98</xdr:row>
      <xdr:rowOff>41275</xdr:rowOff>
    </xdr:from>
    <xdr:to>
      <xdr:col>10</xdr:col>
      <xdr:colOff>99219</xdr:colOff>
      <xdr:row>113</xdr:row>
      <xdr:rowOff>46037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036ABF0-6BDB-42C0-839E-0A0423AE1B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van" refreshedDate="46170.553150115738" createdVersion="7" refreshedVersion="7" minRefreshableVersion="3" recordCount="1000" xr:uid="{1FF35EA5-9EE6-4523-BEA5-2F2FB0A54860}">
  <cacheSource type="worksheet">
    <worksheetSource name="Table6"/>
  </cacheSource>
  <cacheFields count="22">
    <cacheField name="CustomerID" numFmtId="0">
      <sharedItems containsSemiMixedTypes="0" containsString="0" containsNumber="1" containsInteger="1" minValue="1" maxValue="1000"/>
    </cacheField>
    <cacheField name="Age" numFmtId="0">
      <sharedItems containsSemiMixedTypes="0" containsString="0" containsNumber="1" containsInteger="1" minValue="18" maxValue="69"/>
    </cacheField>
    <cacheField name="Age_Group" numFmtId="0">
      <sharedItems count="4">
        <s v="61+"/>
        <s v="18-30"/>
        <s v="46-60"/>
        <s v="31-45"/>
      </sharedItems>
    </cacheField>
    <cacheField name="Gender" numFmtId="0">
      <sharedItems count="2">
        <s v="M"/>
        <s v="F"/>
      </sharedItems>
    </cacheField>
    <cacheField name="MaritalStatus" numFmtId="0">
      <sharedItems/>
    </cacheField>
    <cacheField name="IncomeLevel" numFmtId="0">
      <sharedItems count="3">
        <s v="Low"/>
        <s v="Medium"/>
        <s v="High"/>
      </sharedItems>
    </cacheField>
    <cacheField name="ChurnStatus" numFmtId="0">
      <sharedItems containsSemiMixedTypes="0" containsString="0" containsNumber="1" containsInteger="1" minValue="0" maxValue="1" count="2">
        <n v="0"/>
        <n v="1"/>
      </sharedItems>
    </cacheField>
    <cacheField name="LoginFrequency" numFmtId="0">
      <sharedItems containsSemiMixedTypes="0" containsString="0" containsNumber="1" containsInteger="1" minValue="1" maxValue="49"/>
    </cacheField>
    <cacheField name="ServiceUsage" numFmtId="0">
      <sharedItems count="3">
        <s v="Mobile App"/>
        <s v="Website"/>
        <s v="Online Banking"/>
      </sharedItems>
    </cacheField>
    <cacheField name="Total_Amount_Spent" numFmtId="43">
      <sharedItems containsSemiMixedTypes="0" containsString="0" containsNumber="1" minValue="9.8000000000000007" maxValue="3386.0400000000004"/>
    </cacheField>
    <cacheField name="Avg_Amount_Spent" numFmtId="43">
      <sharedItems containsSemiMixedTypes="0" containsString="0" containsNumber="1" minValue="9.8000000000000007" maxValue="496.99"/>
    </cacheField>
    <cacheField name="Jumlah_Transaksi" numFmtId="0">
      <sharedItems containsSemiMixedTypes="0" containsString="0" containsNumber="1" containsInteger="1" minValue="1" maxValue="9"/>
    </cacheField>
    <cacheField name="Total_Interaction" numFmtId="0">
      <sharedItems containsSemiMixedTypes="0" containsString="0" containsNumber="1" containsInteger="1" minValue="0" maxValue="2"/>
    </cacheField>
    <cacheField name="Has_Unresolved" numFmtId="0">
      <sharedItems containsSemiMixedTypes="0" containsString="0" containsNumber="1" containsInteger="1" minValue="0" maxValue="1" count="2">
        <n v="0"/>
        <n v="1"/>
      </sharedItems>
    </cacheField>
    <cacheField name="Pernah_Complaint" numFmtId="0">
      <sharedItems containsSemiMixedTypes="0" containsString="0" containsNumber="1" containsInteger="1" minValue="0" maxValue="1"/>
    </cacheField>
    <cacheField name="Pernah_Inquiry" numFmtId="0">
      <sharedItems containsSemiMixedTypes="0" containsString="0" containsNumber="1" containsInteger="1" minValue="0" maxValue="1"/>
    </cacheField>
    <cacheField name="Pernah_Feedback" numFmtId="0">
      <sharedItems containsSemiMixedTypes="0" containsString="0" containsNumber="1" containsInteger="1" minValue="0" maxValue="1"/>
    </cacheField>
    <cacheField name="Recency_Days" numFmtId="0">
      <sharedItems containsSemiMixedTypes="0" containsString="0" containsNumber="1" containsInteger="1" minValue="0" maxValue="355"/>
    </cacheField>
    <cacheField name="Recency_Score" numFmtId="0">
      <sharedItems containsSemiMixedTypes="0" containsString="0" containsNumber="1" containsInteger="1" minValue="1" maxValue="3"/>
    </cacheField>
    <cacheField name="Frequency_Score" numFmtId="0">
      <sharedItems containsSemiMixedTypes="0" containsString="0" containsNumber="1" containsInteger="1" minValue="1" maxValue="3"/>
    </cacheField>
    <cacheField name="Monetary_Score" numFmtId="0">
      <sharedItems containsSemiMixedTypes="0" containsString="0" containsNumber="1" containsInteger="1" minValue="1" maxValue="3"/>
    </cacheField>
    <cacheField name="RFM_Score" numFmtId="0">
      <sharedItems containsSemiMixedTypes="0" containsString="0" containsNumber="1" containsInteger="1" minValue="3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62"/>
    <x v="0"/>
    <x v="0"/>
    <s v="Single"/>
    <x v="0"/>
    <x v="0"/>
    <n v="34"/>
    <x v="0"/>
    <n v="416.5"/>
    <n v="416.5"/>
    <n v="1"/>
    <n v="1"/>
    <x v="0"/>
    <n v="0"/>
    <n v="1"/>
    <n v="0"/>
    <n v="279"/>
    <n v="1"/>
    <n v="1"/>
    <n v="1"/>
    <n v="3"/>
  </r>
  <r>
    <n v="2"/>
    <n v="65"/>
    <x v="0"/>
    <x v="0"/>
    <s v="Married"/>
    <x v="0"/>
    <x v="1"/>
    <n v="5"/>
    <x v="1"/>
    <n v="1547.4199999999998"/>
    <n v="221.05999999999997"/>
    <n v="7"/>
    <n v="1"/>
    <x v="0"/>
    <n v="0"/>
    <n v="1"/>
    <n v="0"/>
    <n v="42"/>
    <n v="2"/>
    <n v="2"/>
    <n v="2"/>
    <n v="6"/>
  </r>
  <r>
    <n v="3"/>
    <n v="18"/>
    <x v="1"/>
    <x v="0"/>
    <s v="Single"/>
    <x v="0"/>
    <x v="0"/>
    <n v="3"/>
    <x v="1"/>
    <n v="1702.9799999999998"/>
    <n v="283.83"/>
    <n v="6"/>
    <n v="1"/>
    <x v="0"/>
    <n v="0"/>
    <n v="1"/>
    <n v="0"/>
    <n v="84"/>
    <n v="1"/>
    <n v="2"/>
    <n v="3"/>
    <n v="6"/>
  </r>
  <r>
    <n v="4"/>
    <n v="21"/>
    <x v="1"/>
    <x v="0"/>
    <s v="Widowed"/>
    <x v="0"/>
    <x v="0"/>
    <n v="2"/>
    <x v="1"/>
    <n v="917.29"/>
    <n v="183.458"/>
    <n v="5"/>
    <n v="2"/>
    <x v="1"/>
    <n v="0"/>
    <n v="1"/>
    <n v="0"/>
    <n v="4"/>
    <n v="3"/>
    <n v="2"/>
    <n v="2"/>
    <n v="7"/>
  </r>
  <r>
    <n v="5"/>
    <n v="21"/>
    <x v="1"/>
    <x v="0"/>
    <s v="Divorced"/>
    <x v="1"/>
    <x v="0"/>
    <n v="41"/>
    <x v="1"/>
    <n v="2001.49"/>
    <n v="250.18625"/>
    <n v="8"/>
    <n v="0"/>
    <x v="0"/>
    <n v="0"/>
    <n v="0"/>
    <n v="0"/>
    <n v="10"/>
    <n v="3"/>
    <n v="3"/>
    <n v="3"/>
    <n v="9"/>
  </r>
  <r>
    <n v="6"/>
    <n v="57"/>
    <x v="2"/>
    <x v="1"/>
    <s v="Divorced"/>
    <x v="1"/>
    <x v="0"/>
    <n v="2"/>
    <x v="1"/>
    <n v="1164.2900000000002"/>
    <n v="232.85800000000003"/>
    <n v="5"/>
    <n v="1"/>
    <x v="0"/>
    <n v="0"/>
    <n v="0"/>
    <n v="1"/>
    <n v="63"/>
    <n v="2"/>
    <n v="2"/>
    <n v="2"/>
    <n v="6"/>
  </r>
  <r>
    <n v="7"/>
    <n v="27"/>
    <x v="1"/>
    <x v="1"/>
    <s v="Married"/>
    <x v="2"/>
    <x v="0"/>
    <n v="32"/>
    <x v="0"/>
    <n v="86.73"/>
    <n v="86.73"/>
    <n v="1"/>
    <n v="0"/>
    <x v="0"/>
    <n v="0"/>
    <n v="0"/>
    <n v="0"/>
    <n v="68"/>
    <n v="2"/>
    <n v="1"/>
    <n v="1"/>
    <n v="4"/>
  </r>
  <r>
    <n v="8"/>
    <n v="37"/>
    <x v="3"/>
    <x v="0"/>
    <s v="Single"/>
    <x v="0"/>
    <x v="1"/>
    <n v="17"/>
    <x v="2"/>
    <n v="2046.8799999999999"/>
    <n v="292.41142857142853"/>
    <n v="7"/>
    <n v="2"/>
    <x v="1"/>
    <n v="0"/>
    <n v="1"/>
    <n v="1"/>
    <n v="52"/>
    <n v="2"/>
    <n v="2"/>
    <n v="3"/>
    <n v="7"/>
  </r>
  <r>
    <n v="9"/>
    <n v="39"/>
    <x v="3"/>
    <x v="0"/>
    <s v="Divorced"/>
    <x v="2"/>
    <x v="0"/>
    <n v="24"/>
    <x v="1"/>
    <n v="1317.24"/>
    <n v="263.44799999999998"/>
    <n v="5"/>
    <n v="1"/>
    <x v="0"/>
    <n v="0"/>
    <n v="1"/>
    <n v="0"/>
    <n v="73"/>
    <n v="2"/>
    <n v="2"/>
    <n v="2"/>
    <n v="6"/>
  </r>
  <r>
    <n v="10"/>
    <n v="68"/>
    <x v="0"/>
    <x v="0"/>
    <s v="Married"/>
    <x v="2"/>
    <x v="1"/>
    <n v="29"/>
    <x v="2"/>
    <n v="1397.36"/>
    <n v="199.62285714285713"/>
    <n v="7"/>
    <n v="0"/>
    <x v="0"/>
    <n v="0"/>
    <n v="0"/>
    <n v="0"/>
    <n v="61"/>
    <n v="2"/>
    <n v="2"/>
    <n v="2"/>
    <n v="6"/>
  </r>
  <r>
    <n v="11"/>
    <n v="54"/>
    <x v="2"/>
    <x v="0"/>
    <s v="Divorced"/>
    <x v="1"/>
    <x v="0"/>
    <n v="30"/>
    <x v="2"/>
    <n v="1733.83"/>
    <n v="346.76599999999996"/>
    <n v="5"/>
    <n v="2"/>
    <x v="1"/>
    <n v="0"/>
    <n v="0"/>
    <n v="1"/>
    <n v="17"/>
    <n v="3"/>
    <n v="2"/>
    <n v="3"/>
    <n v="8"/>
  </r>
  <r>
    <n v="12"/>
    <n v="41"/>
    <x v="3"/>
    <x v="1"/>
    <s v="Married"/>
    <x v="0"/>
    <x v="0"/>
    <n v="43"/>
    <x v="1"/>
    <n v="87.1"/>
    <n v="87.1"/>
    <n v="1"/>
    <n v="2"/>
    <x v="1"/>
    <n v="0"/>
    <n v="1"/>
    <n v="1"/>
    <n v="59"/>
    <n v="2"/>
    <n v="1"/>
    <n v="1"/>
    <n v="4"/>
  </r>
  <r>
    <n v="13"/>
    <n v="24"/>
    <x v="1"/>
    <x v="1"/>
    <s v="Divorced"/>
    <x v="0"/>
    <x v="0"/>
    <n v="10"/>
    <x v="0"/>
    <n v="392.02"/>
    <n v="130.67333333333332"/>
    <n v="3"/>
    <n v="1"/>
    <x v="0"/>
    <n v="1"/>
    <n v="0"/>
    <n v="0"/>
    <n v="95"/>
    <n v="1"/>
    <n v="2"/>
    <n v="1"/>
    <n v="4"/>
  </r>
  <r>
    <n v="14"/>
    <n v="42"/>
    <x v="3"/>
    <x v="0"/>
    <s v="Widowed"/>
    <x v="1"/>
    <x v="0"/>
    <n v="26"/>
    <x v="2"/>
    <n v="2843.5899999999997"/>
    <n v="315.95444444444439"/>
    <n v="9"/>
    <n v="2"/>
    <x v="1"/>
    <n v="1"/>
    <n v="0"/>
    <n v="1"/>
    <n v="53"/>
    <n v="2"/>
    <n v="3"/>
    <n v="3"/>
    <n v="8"/>
  </r>
  <r>
    <n v="15"/>
    <n v="42"/>
    <x v="3"/>
    <x v="0"/>
    <s v="Divorced"/>
    <x v="1"/>
    <x v="0"/>
    <n v="44"/>
    <x v="2"/>
    <n v="1914.02"/>
    <n v="239.2525"/>
    <n v="8"/>
    <n v="2"/>
    <x v="1"/>
    <n v="1"/>
    <n v="0"/>
    <n v="1"/>
    <n v="15"/>
    <n v="3"/>
    <n v="3"/>
    <n v="3"/>
    <n v="9"/>
  </r>
  <r>
    <n v="16"/>
    <n v="30"/>
    <x v="1"/>
    <x v="1"/>
    <s v="Single"/>
    <x v="1"/>
    <x v="1"/>
    <n v="41"/>
    <x v="2"/>
    <n v="2019.79"/>
    <n v="224.42111111111112"/>
    <n v="9"/>
    <n v="2"/>
    <x v="0"/>
    <n v="0"/>
    <n v="1"/>
    <n v="0"/>
    <n v="17"/>
    <n v="3"/>
    <n v="3"/>
    <n v="3"/>
    <n v="9"/>
  </r>
  <r>
    <n v="17"/>
    <n v="19"/>
    <x v="1"/>
    <x v="0"/>
    <s v="Married"/>
    <x v="0"/>
    <x v="0"/>
    <n v="8"/>
    <x v="2"/>
    <n v="1625.27"/>
    <n v="232.18142857142857"/>
    <n v="7"/>
    <n v="2"/>
    <x v="1"/>
    <n v="0"/>
    <n v="1"/>
    <n v="0"/>
    <n v="37"/>
    <n v="2"/>
    <n v="2"/>
    <n v="3"/>
    <n v="7"/>
  </r>
  <r>
    <n v="18"/>
    <n v="56"/>
    <x v="2"/>
    <x v="1"/>
    <s v="Married"/>
    <x v="2"/>
    <x v="1"/>
    <n v="37"/>
    <x v="1"/>
    <n v="951.38000000000011"/>
    <n v="190.27600000000001"/>
    <n v="5"/>
    <n v="1"/>
    <x v="1"/>
    <n v="0"/>
    <n v="1"/>
    <n v="0"/>
    <n v="123"/>
    <n v="1"/>
    <n v="2"/>
    <n v="2"/>
    <n v="5"/>
  </r>
  <r>
    <n v="19"/>
    <n v="57"/>
    <x v="2"/>
    <x v="1"/>
    <s v="Divorced"/>
    <x v="2"/>
    <x v="0"/>
    <n v="39"/>
    <x v="2"/>
    <n v="1017.26"/>
    <n v="203.452"/>
    <n v="5"/>
    <n v="2"/>
    <x v="1"/>
    <n v="1"/>
    <n v="0"/>
    <n v="0"/>
    <n v="9"/>
    <n v="3"/>
    <n v="2"/>
    <n v="2"/>
    <n v="7"/>
  </r>
  <r>
    <n v="20"/>
    <n v="41"/>
    <x v="3"/>
    <x v="0"/>
    <s v="Single"/>
    <x v="0"/>
    <x v="0"/>
    <n v="16"/>
    <x v="1"/>
    <n v="2775.85"/>
    <n v="308.42777777777775"/>
    <n v="9"/>
    <n v="1"/>
    <x v="0"/>
    <n v="0"/>
    <n v="0"/>
    <n v="1"/>
    <n v="14"/>
    <n v="3"/>
    <n v="3"/>
    <n v="3"/>
    <n v="9"/>
  </r>
  <r>
    <n v="21"/>
    <n v="64"/>
    <x v="0"/>
    <x v="0"/>
    <s v="Divorced"/>
    <x v="2"/>
    <x v="0"/>
    <n v="18"/>
    <x v="1"/>
    <n v="913.0200000000001"/>
    <n v="182.60400000000001"/>
    <n v="5"/>
    <n v="0"/>
    <x v="0"/>
    <n v="0"/>
    <n v="0"/>
    <n v="0"/>
    <n v="151"/>
    <n v="1"/>
    <n v="2"/>
    <n v="2"/>
    <n v="5"/>
  </r>
  <r>
    <n v="22"/>
    <n v="42"/>
    <x v="3"/>
    <x v="1"/>
    <s v="Divorced"/>
    <x v="0"/>
    <x v="0"/>
    <n v="42"/>
    <x v="0"/>
    <n v="1582.73"/>
    <n v="263.78833333333336"/>
    <n v="6"/>
    <n v="2"/>
    <x v="0"/>
    <n v="0"/>
    <n v="1"/>
    <n v="0"/>
    <n v="73"/>
    <n v="2"/>
    <n v="2"/>
    <n v="3"/>
    <n v="7"/>
  </r>
  <r>
    <n v="23"/>
    <n v="35"/>
    <x v="3"/>
    <x v="1"/>
    <s v="Divorced"/>
    <x v="0"/>
    <x v="0"/>
    <n v="19"/>
    <x v="0"/>
    <n v="1490.7399999999998"/>
    <n v="372.68499999999995"/>
    <n v="4"/>
    <n v="2"/>
    <x v="1"/>
    <n v="1"/>
    <n v="0"/>
    <n v="0"/>
    <n v="54"/>
    <n v="2"/>
    <n v="2"/>
    <n v="2"/>
    <n v="6"/>
  </r>
  <r>
    <n v="24"/>
    <n v="55"/>
    <x v="2"/>
    <x v="0"/>
    <s v="Widowed"/>
    <x v="1"/>
    <x v="0"/>
    <n v="12"/>
    <x v="0"/>
    <n v="1143.22"/>
    <n v="228.64400000000001"/>
    <n v="5"/>
    <n v="1"/>
    <x v="0"/>
    <n v="1"/>
    <n v="0"/>
    <n v="0"/>
    <n v="19"/>
    <n v="3"/>
    <n v="2"/>
    <n v="2"/>
    <n v="7"/>
  </r>
  <r>
    <n v="25"/>
    <n v="43"/>
    <x v="3"/>
    <x v="1"/>
    <s v="Married"/>
    <x v="0"/>
    <x v="0"/>
    <n v="27"/>
    <x v="0"/>
    <n v="764.77"/>
    <n v="254.92333333333332"/>
    <n v="3"/>
    <n v="1"/>
    <x v="0"/>
    <n v="0"/>
    <n v="0"/>
    <n v="1"/>
    <n v="85"/>
    <n v="1"/>
    <n v="2"/>
    <n v="1"/>
    <n v="4"/>
  </r>
  <r>
    <n v="26"/>
    <n v="31"/>
    <x v="3"/>
    <x v="0"/>
    <s v="Single"/>
    <x v="1"/>
    <x v="1"/>
    <n v="45"/>
    <x v="0"/>
    <n v="571.76"/>
    <n v="190.58666666666667"/>
    <n v="3"/>
    <n v="1"/>
    <x v="0"/>
    <n v="1"/>
    <n v="0"/>
    <n v="0"/>
    <n v="3"/>
    <n v="3"/>
    <n v="2"/>
    <n v="1"/>
    <n v="6"/>
  </r>
  <r>
    <n v="27"/>
    <n v="26"/>
    <x v="1"/>
    <x v="0"/>
    <s v="Widowed"/>
    <x v="1"/>
    <x v="0"/>
    <n v="22"/>
    <x v="0"/>
    <n v="2210.6"/>
    <n v="276.32499999999999"/>
    <n v="8"/>
    <n v="1"/>
    <x v="1"/>
    <n v="0"/>
    <n v="0"/>
    <n v="1"/>
    <n v="51"/>
    <n v="2"/>
    <n v="3"/>
    <n v="3"/>
    <n v="8"/>
  </r>
  <r>
    <n v="28"/>
    <n v="27"/>
    <x v="1"/>
    <x v="1"/>
    <s v="Widowed"/>
    <x v="2"/>
    <x v="0"/>
    <n v="42"/>
    <x v="2"/>
    <n v="1702.2600000000002"/>
    <n v="283.71000000000004"/>
    <n v="6"/>
    <n v="2"/>
    <x v="1"/>
    <n v="1"/>
    <n v="1"/>
    <n v="0"/>
    <n v="13"/>
    <n v="3"/>
    <n v="2"/>
    <n v="3"/>
    <n v="8"/>
  </r>
  <r>
    <n v="29"/>
    <n v="38"/>
    <x v="3"/>
    <x v="1"/>
    <s v="Divorced"/>
    <x v="1"/>
    <x v="0"/>
    <n v="34"/>
    <x v="1"/>
    <n v="853.06999999999994"/>
    <n v="284.35666666666663"/>
    <n v="3"/>
    <n v="2"/>
    <x v="1"/>
    <n v="0"/>
    <n v="1"/>
    <n v="1"/>
    <n v="98"/>
    <n v="1"/>
    <n v="2"/>
    <n v="2"/>
    <n v="5"/>
  </r>
  <r>
    <n v="30"/>
    <n v="69"/>
    <x v="0"/>
    <x v="0"/>
    <s v="Divorced"/>
    <x v="2"/>
    <x v="0"/>
    <n v="38"/>
    <x v="1"/>
    <n v="706.66"/>
    <n v="353.33"/>
    <n v="2"/>
    <n v="2"/>
    <x v="1"/>
    <n v="1"/>
    <n v="0"/>
    <n v="0"/>
    <n v="105"/>
    <n v="1"/>
    <n v="1"/>
    <n v="1"/>
    <n v="3"/>
  </r>
  <r>
    <n v="31"/>
    <n v="34"/>
    <x v="3"/>
    <x v="0"/>
    <s v="Divorced"/>
    <x v="0"/>
    <x v="0"/>
    <n v="23"/>
    <x v="2"/>
    <n v="1108.56"/>
    <n v="221.71199999999999"/>
    <n v="5"/>
    <n v="2"/>
    <x v="0"/>
    <n v="1"/>
    <n v="1"/>
    <n v="0"/>
    <n v="22"/>
    <n v="3"/>
    <n v="2"/>
    <n v="2"/>
    <n v="7"/>
  </r>
  <r>
    <n v="32"/>
    <n v="69"/>
    <x v="0"/>
    <x v="1"/>
    <s v="Married"/>
    <x v="2"/>
    <x v="0"/>
    <n v="48"/>
    <x v="0"/>
    <n v="1225.52"/>
    <n v="245.10399999999998"/>
    <n v="5"/>
    <n v="0"/>
    <x v="0"/>
    <n v="0"/>
    <n v="0"/>
    <n v="0"/>
    <n v="88"/>
    <n v="1"/>
    <n v="2"/>
    <n v="2"/>
    <n v="5"/>
  </r>
  <r>
    <n v="33"/>
    <n v="23"/>
    <x v="1"/>
    <x v="0"/>
    <s v="Divorced"/>
    <x v="2"/>
    <x v="1"/>
    <n v="24"/>
    <x v="0"/>
    <n v="689"/>
    <n v="344.5"/>
    <n v="2"/>
    <n v="1"/>
    <x v="0"/>
    <n v="0"/>
    <n v="0"/>
    <n v="1"/>
    <n v="54"/>
    <n v="2"/>
    <n v="1"/>
    <n v="1"/>
    <n v="4"/>
  </r>
  <r>
    <n v="34"/>
    <n v="33"/>
    <x v="3"/>
    <x v="0"/>
    <s v="Widowed"/>
    <x v="2"/>
    <x v="0"/>
    <n v="44"/>
    <x v="2"/>
    <n v="1886.3999999999999"/>
    <n v="209.6"/>
    <n v="9"/>
    <n v="2"/>
    <x v="1"/>
    <n v="0"/>
    <n v="0"/>
    <n v="1"/>
    <n v="9"/>
    <n v="3"/>
    <n v="3"/>
    <n v="3"/>
    <n v="9"/>
  </r>
  <r>
    <n v="35"/>
    <n v="65"/>
    <x v="0"/>
    <x v="0"/>
    <s v="Married"/>
    <x v="0"/>
    <x v="0"/>
    <n v="19"/>
    <x v="0"/>
    <n v="779.84"/>
    <n v="259.94666666666666"/>
    <n v="3"/>
    <n v="1"/>
    <x v="1"/>
    <n v="1"/>
    <n v="0"/>
    <n v="0"/>
    <n v="114"/>
    <n v="1"/>
    <n v="2"/>
    <n v="1"/>
    <n v="4"/>
  </r>
  <r>
    <n v="36"/>
    <n v="18"/>
    <x v="1"/>
    <x v="1"/>
    <s v="Widowed"/>
    <x v="0"/>
    <x v="0"/>
    <n v="6"/>
    <x v="2"/>
    <n v="1321.5500000000002"/>
    <n v="220.25833333333335"/>
    <n v="6"/>
    <n v="1"/>
    <x v="0"/>
    <n v="0"/>
    <n v="0"/>
    <n v="1"/>
    <n v="65"/>
    <n v="2"/>
    <n v="2"/>
    <n v="2"/>
    <n v="6"/>
  </r>
  <r>
    <n v="37"/>
    <n v="36"/>
    <x v="3"/>
    <x v="1"/>
    <s v="Married"/>
    <x v="1"/>
    <x v="0"/>
    <n v="3"/>
    <x v="2"/>
    <n v="3166.88"/>
    <n v="351.87555555555559"/>
    <n v="9"/>
    <n v="1"/>
    <x v="0"/>
    <n v="1"/>
    <n v="0"/>
    <n v="0"/>
    <n v="24"/>
    <n v="3"/>
    <n v="3"/>
    <n v="3"/>
    <n v="9"/>
  </r>
  <r>
    <n v="38"/>
    <n v="53"/>
    <x v="2"/>
    <x v="1"/>
    <s v="Married"/>
    <x v="0"/>
    <x v="0"/>
    <n v="47"/>
    <x v="2"/>
    <n v="874.86"/>
    <n v="291.62"/>
    <n v="3"/>
    <n v="1"/>
    <x v="0"/>
    <n v="0"/>
    <n v="1"/>
    <n v="0"/>
    <n v="26"/>
    <n v="3"/>
    <n v="2"/>
    <n v="2"/>
    <n v="7"/>
  </r>
  <r>
    <n v="39"/>
    <n v="42"/>
    <x v="3"/>
    <x v="0"/>
    <s v="Married"/>
    <x v="1"/>
    <x v="0"/>
    <n v="26"/>
    <x v="2"/>
    <n v="1191.94"/>
    <n v="238.38800000000001"/>
    <n v="5"/>
    <n v="0"/>
    <x v="0"/>
    <n v="0"/>
    <n v="0"/>
    <n v="0"/>
    <n v="20"/>
    <n v="3"/>
    <n v="2"/>
    <n v="2"/>
    <n v="7"/>
  </r>
  <r>
    <n v="40"/>
    <n v="67"/>
    <x v="0"/>
    <x v="1"/>
    <s v="Widowed"/>
    <x v="0"/>
    <x v="0"/>
    <n v="20"/>
    <x v="1"/>
    <n v="1578.3500000000001"/>
    <n v="225.47857142857146"/>
    <n v="7"/>
    <n v="1"/>
    <x v="0"/>
    <n v="1"/>
    <n v="0"/>
    <n v="0"/>
    <n v="151"/>
    <n v="1"/>
    <n v="2"/>
    <n v="3"/>
    <n v="6"/>
  </r>
  <r>
    <n v="41"/>
    <n v="69"/>
    <x v="0"/>
    <x v="1"/>
    <s v="Married"/>
    <x v="2"/>
    <x v="1"/>
    <n v="38"/>
    <x v="0"/>
    <n v="363.22"/>
    <n v="181.61"/>
    <n v="2"/>
    <n v="1"/>
    <x v="1"/>
    <n v="0"/>
    <n v="1"/>
    <n v="0"/>
    <n v="319"/>
    <n v="1"/>
    <n v="1"/>
    <n v="1"/>
    <n v="3"/>
  </r>
  <r>
    <n v="42"/>
    <n v="47"/>
    <x v="2"/>
    <x v="0"/>
    <s v="Widowed"/>
    <x v="1"/>
    <x v="0"/>
    <n v="10"/>
    <x v="0"/>
    <n v="530.61"/>
    <n v="176.87"/>
    <n v="3"/>
    <n v="0"/>
    <x v="0"/>
    <n v="0"/>
    <n v="0"/>
    <n v="0"/>
    <n v="71"/>
    <n v="2"/>
    <n v="2"/>
    <n v="1"/>
    <n v="5"/>
  </r>
  <r>
    <n v="43"/>
    <n v="37"/>
    <x v="3"/>
    <x v="0"/>
    <s v="Single"/>
    <x v="0"/>
    <x v="0"/>
    <n v="25"/>
    <x v="0"/>
    <n v="2213.63"/>
    <n v="316.23285714285714"/>
    <n v="7"/>
    <n v="2"/>
    <x v="1"/>
    <n v="0"/>
    <n v="1"/>
    <n v="0"/>
    <n v="59"/>
    <n v="2"/>
    <n v="2"/>
    <n v="3"/>
    <n v="7"/>
  </r>
  <r>
    <n v="44"/>
    <n v="37"/>
    <x v="3"/>
    <x v="1"/>
    <s v="Widowed"/>
    <x v="0"/>
    <x v="0"/>
    <n v="35"/>
    <x v="0"/>
    <n v="687.81999999999994"/>
    <n v="229.27333333333331"/>
    <n v="3"/>
    <n v="1"/>
    <x v="1"/>
    <n v="0"/>
    <n v="0"/>
    <n v="1"/>
    <n v="38"/>
    <n v="2"/>
    <n v="2"/>
    <n v="1"/>
    <n v="5"/>
  </r>
  <r>
    <n v="45"/>
    <n v="32"/>
    <x v="3"/>
    <x v="1"/>
    <s v="Widowed"/>
    <x v="0"/>
    <x v="0"/>
    <n v="49"/>
    <x v="2"/>
    <n v="300.42"/>
    <n v="300.42"/>
    <n v="1"/>
    <n v="1"/>
    <x v="1"/>
    <n v="1"/>
    <n v="0"/>
    <n v="0"/>
    <n v="8"/>
    <n v="3"/>
    <n v="1"/>
    <n v="1"/>
    <n v="5"/>
  </r>
  <r>
    <n v="46"/>
    <n v="57"/>
    <x v="2"/>
    <x v="1"/>
    <s v="Married"/>
    <x v="2"/>
    <x v="1"/>
    <n v="24"/>
    <x v="2"/>
    <n v="134.66999999999999"/>
    <n v="134.66999999999999"/>
    <n v="1"/>
    <n v="0"/>
    <x v="0"/>
    <n v="0"/>
    <n v="0"/>
    <n v="0"/>
    <n v="133"/>
    <n v="1"/>
    <n v="1"/>
    <n v="1"/>
    <n v="3"/>
  </r>
  <r>
    <n v="47"/>
    <n v="50"/>
    <x v="2"/>
    <x v="1"/>
    <s v="Married"/>
    <x v="1"/>
    <x v="0"/>
    <n v="21"/>
    <x v="1"/>
    <n v="1466.3700000000001"/>
    <n v="209.48142857142858"/>
    <n v="7"/>
    <n v="0"/>
    <x v="0"/>
    <n v="0"/>
    <n v="0"/>
    <n v="0"/>
    <n v="42"/>
    <n v="2"/>
    <n v="2"/>
    <n v="2"/>
    <n v="6"/>
  </r>
  <r>
    <n v="48"/>
    <n v="19"/>
    <x v="1"/>
    <x v="0"/>
    <s v="Divorced"/>
    <x v="1"/>
    <x v="0"/>
    <n v="34"/>
    <x v="1"/>
    <n v="1597.2899999999997"/>
    <n v="228.18428571428566"/>
    <n v="7"/>
    <n v="0"/>
    <x v="0"/>
    <n v="0"/>
    <n v="0"/>
    <n v="0"/>
    <n v="22"/>
    <n v="3"/>
    <n v="2"/>
    <n v="3"/>
    <n v="8"/>
  </r>
  <r>
    <n v="49"/>
    <n v="27"/>
    <x v="1"/>
    <x v="1"/>
    <s v="Single"/>
    <x v="1"/>
    <x v="0"/>
    <n v="18"/>
    <x v="2"/>
    <n v="641.48"/>
    <n v="213.82666666666668"/>
    <n v="3"/>
    <n v="0"/>
    <x v="0"/>
    <n v="0"/>
    <n v="0"/>
    <n v="0"/>
    <n v="207"/>
    <n v="1"/>
    <n v="2"/>
    <n v="1"/>
    <n v="4"/>
  </r>
  <r>
    <n v="50"/>
    <n v="50"/>
    <x v="2"/>
    <x v="1"/>
    <s v="Single"/>
    <x v="0"/>
    <x v="0"/>
    <n v="19"/>
    <x v="2"/>
    <n v="1514.6200000000001"/>
    <n v="378.65500000000003"/>
    <n v="4"/>
    <n v="2"/>
    <x v="1"/>
    <n v="1"/>
    <n v="0"/>
    <n v="1"/>
    <n v="22"/>
    <n v="3"/>
    <n v="2"/>
    <n v="2"/>
    <n v="7"/>
  </r>
  <r>
    <n v="51"/>
    <n v="49"/>
    <x v="2"/>
    <x v="0"/>
    <s v="Divorced"/>
    <x v="1"/>
    <x v="1"/>
    <n v="3"/>
    <x v="0"/>
    <n v="549.86"/>
    <n v="183.28666666666666"/>
    <n v="3"/>
    <n v="0"/>
    <x v="0"/>
    <n v="0"/>
    <n v="0"/>
    <n v="0"/>
    <n v="164"/>
    <n v="1"/>
    <n v="2"/>
    <n v="1"/>
    <n v="4"/>
  </r>
  <r>
    <n v="52"/>
    <n v="28"/>
    <x v="1"/>
    <x v="0"/>
    <s v="Widowed"/>
    <x v="1"/>
    <x v="0"/>
    <n v="6"/>
    <x v="0"/>
    <n v="401.25"/>
    <n v="401.25"/>
    <n v="1"/>
    <n v="0"/>
    <x v="0"/>
    <n v="0"/>
    <n v="0"/>
    <n v="0"/>
    <n v="317"/>
    <n v="1"/>
    <n v="1"/>
    <n v="1"/>
    <n v="3"/>
  </r>
  <r>
    <n v="53"/>
    <n v="41"/>
    <x v="3"/>
    <x v="1"/>
    <s v="Widowed"/>
    <x v="0"/>
    <x v="0"/>
    <n v="20"/>
    <x v="0"/>
    <n v="1255.3400000000001"/>
    <n v="179.33428571428573"/>
    <n v="7"/>
    <n v="0"/>
    <x v="0"/>
    <n v="0"/>
    <n v="0"/>
    <n v="0"/>
    <n v="3"/>
    <n v="3"/>
    <n v="2"/>
    <n v="2"/>
    <n v="7"/>
  </r>
  <r>
    <n v="54"/>
    <n v="53"/>
    <x v="2"/>
    <x v="1"/>
    <s v="Married"/>
    <x v="0"/>
    <x v="0"/>
    <n v="22"/>
    <x v="2"/>
    <n v="461.21000000000004"/>
    <n v="230.60500000000002"/>
    <n v="2"/>
    <n v="2"/>
    <x v="0"/>
    <n v="1"/>
    <n v="0"/>
    <n v="1"/>
    <n v="180"/>
    <n v="1"/>
    <n v="1"/>
    <n v="1"/>
    <n v="3"/>
  </r>
  <r>
    <n v="55"/>
    <n v="29"/>
    <x v="1"/>
    <x v="1"/>
    <s v="Single"/>
    <x v="0"/>
    <x v="0"/>
    <n v="33"/>
    <x v="1"/>
    <n v="1129.3500000000001"/>
    <n v="225.87000000000003"/>
    <n v="5"/>
    <n v="0"/>
    <x v="0"/>
    <n v="0"/>
    <n v="0"/>
    <n v="0"/>
    <n v="116"/>
    <n v="1"/>
    <n v="2"/>
    <n v="2"/>
    <n v="5"/>
  </r>
  <r>
    <n v="56"/>
    <n v="68"/>
    <x v="0"/>
    <x v="1"/>
    <s v="Married"/>
    <x v="0"/>
    <x v="0"/>
    <n v="14"/>
    <x v="0"/>
    <n v="1443.46"/>
    <n v="288.69200000000001"/>
    <n v="5"/>
    <n v="0"/>
    <x v="0"/>
    <n v="0"/>
    <n v="0"/>
    <n v="0"/>
    <n v="16"/>
    <n v="3"/>
    <n v="2"/>
    <n v="2"/>
    <n v="7"/>
  </r>
  <r>
    <n v="57"/>
    <n v="46"/>
    <x v="2"/>
    <x v="1"/>
    <s v="Divorced"/>
    <x v="2"/>
    <x v="0"/>
    <n v="44"/>
    <x v="2"/>
    <n v="597.75"/>
    <n v="199.25"/>
    <n v="3"/>
    <n v="1"/>
    <x v="1"/>
    <n v="1"/>
    <n v="0"/>
    <n v="0"/>
    <n v="33"/>
    <n v="2"/>
    <n v="2"/>
    <n v="1"/>
    <n v="5"/>
  </r>
  <r>
    <n v="58"/>
    <n v="52"/>
    <x v="2"/>
    <x v="0"/>
    <s v="Single"/>
    <x v="2"/>
    <x v="0"/>
    <n v="9"/>
    <x v="2"/>
    <n v="2215.8200000000002"/>
    <n v="369.30333333333334"/>
    <n v="6"/>
    <n v="2"/>
    <x v="1"/>
    <n v="1"/>
    <n v="1"/>
    <n v="0"/>
    <n v="43"/>
    <n v="2"/>
    <n v="2"/>
    <n v="3"/>
    <n v="7"/>
  </r>
  <r>
    <n v="59"/>
    <n v="18"/>
    <x v="1"/>
    <x v="0"/>
    <s v="Married"/>
    <x v="1"/>
    <x v="0"/>
    <n v="45"/>
    <x v="2"/>
    <n v="292.51"/>
    <n v="97.50333333333333"/>
    <n v="3"/>
    <n v="0"/>
    <x v="0"/>
    <n v="0"/>
    <n v="0"/>
    <n v="0"/>
    <n v="30"/>
    <n v="2"/>
    <n v="2"/>
    <n v="1"/>
    <n v="5"/>
  </r>
  <r>
    <n v="60"/>
    <n v="18"/>
    <x v="1"/>
    <x v="1"/>
    <s v="Single"/>
    <x v="2"/>
    <x v="0"/>
    <n v="25"/>
    <x v="0"/>
    <n v="781.09"/>
    <n v="195.27250000000001"/>
    <n v="4"/>
    <n v="2"/>
    <x v="1"/>
    <n v="0"/>
    <n v="0"/>
    <n v="1"/>
    <n v="11"/>
    <n v="3"/>
    <n v="2"/>
    <n v="1"/>
    <n v="6"/>
  </r>
  <r>
    <n v="61"/>
    <n v="54"/>
    <x v="2"/>
    <x v="0"/>
    <s v="Single"/>
    <x v="0"/>
    <x v="1"/>
    <n v="47"/>
    <x v="1"/>
    <n v="678.97"/>
    <n v="226.32333333333335"/>
    <n v="3"/>
    <n v="1"/>
    <x v="0"/>
    <n v="1"/>
    <n v="0"/>
    <n v="0"/>
    <n v="81"/>
    <n v="2"/>
    <n v="2"/>
    <n v="1"/>
    <n v="5"/>
  </r>
  <r>
    <n v="62"/>
    <n v="23"/>
    <x v="1"/>
    <x v="1"/>
    <s v="Married"/>
    <x v="2"/>
    <x v="0"/>
    <n v="16"/>
    <x v="0"/>
    <n v="840"/>
    <n v="210"/>
    <n v="4"/>
    <n v="2"/>
    <x v="0"/>
    <n v="1"/>
    <n v="1"/>
    <n v="0"/>
    <n v="35"/>
    <n v="2"/>
    <n v="2"/>
    <n v="2"/>
    <n v="6"/>
  </r>
  <r>
    <n v="63"/>
    <n v="56"/>
    <x v="2"/>
    <x v="0"/>
    <s v="Married"/>
    <x v="0"/>
    <x v="0"/>
    <n v="7"/>
    <x v="0"/>
    <n v="2205.11"/>
    <n v="245.01222222222225"/>
    <n v="9"/>
    <n v="0"/>
    <x v="0"/>
    <n v="0"/>
    <n v="0"/>
    <n v="0"/>
    <n v="18"/>
    <n v="3"/>
    <n v="3"/>
    <n v="3"/>
    <n v="9"/>
  </r>
  <r>
    <n v="64"/>
    <n v="58"/>
    <x v="2"/>
    <x v="1"/>
    <s v="Single"/>
    <x v="2"/>
    <x v="0"/>
    <n v="11"/>
    <x v="2"/>
    <n v="965.21"/>
    <n v="321.73666666666668"/>
    <n v="3"/>
    <n v="0"/>
    <x v="0"/>
    <n v="0"/>
    <n v="0"/>
    <n v="0"/>
    <n v="13"/>
    <n v="3"/>
    <n v="2"/>
    <n v="2"/>
    <n v="7"/>
  </r>
  <r>
    <n v="65"/>
    <n v="35"/>
    <x v="3"/>
    <x v="1"/>
    <s v="Divorced"/>
    <x v="0"/>
    <x v="0"/>
    <n v="27"/>
    <x v="0"/>
    <n v="1359.8899999999999"/>
    <n v="271.97799999999995"/>
    <n v="5"/>
    <n v="0"/>
    <x v="0"/>
    <n v="0"/>
    <n v="0"/>
    <n v="0"/>
    <n v="44"/>
    <n v="2"/>
    <n v="2"/>
    <n v="2"/>
    <n v="6"/>
  </r>
  <r>
    <n v="66"/>
    <n v="33"/>
    <x v="3"/>
    <x v="0"/>
    <s v="Widowed"/>
    <x v="1"/>
    <x v="0"/>
    <n v="40"/>
    <x v="2"/>
    <n v="1409.11"/>
    <n v="176.13874999999999"/>
    <n v="8"/>
    <n v="0"/>
    <x v="0"/>
    <n v="0"/>
    <n v="0"/>
    <n v="0"/>
    <n v="10"/>
    <n v="3"/>
    <n v="3"/>
    <n v="2"/>
    <n v="8"/>
  </r>
  <r>
    <n v="67"/>
    <n v="22"/>
    <x v="1"/>
    <x v="1"/>
    <s v="Single"/>
    <x v="1"/>
    <x v="0"/>
    <n v="17"/>
    <x v="2"/>
    <n v="701.76"/>
    <n v="175.44"/>
    <n v="4"/>
    <n v="2"/>
    <x v="0"/>
    <n v="0"/>
    <n v="1"/>
    <n v="0"/>
    <n v="52"/>
    <n v="2"/>
    <n v="2"/>
    <n v="1"/>
    <n v="5"/>
  </r>
  <r>
    <n v="68"/>
    <n v="59"/>
    <x v="2"/>
    <x v="1"/>
    <s v="Divorced"/>
    <x v="2"/>
    <x v="1"/>
    <n v="5"/>
    <x v="1"/>
    <n v="886.4799999999999"/>
    <n v="221.61999999999998"/>
    <n v="4"/>
    <n v="2"/>
    <x v="1"/>
    <n v="1"/>
    <n v="1"/>
    <n v="0"/>
    <n v="55"/>
    <n v="2"/>
    <n v="2"/>
    <n v="2"/>
    <n v="6"/>
  </r>
  <r>
    <n v="69"/>
    <n v="60"/>
    <x v="2"/>
    <x v="1"/>
    <s v="Single"/>
    <x v="0"/>
    <x v="0"/>
    <n v="29"/>
    <x v="0"/>
    <n v="1038.5300000000002"/>
    <n v="259.63250000000005"/>
    <n v="4"/>
    <n v="1"/>
    <x v="0"/>
    <n v="0"/>
    <n v="0"/>
    <n v="1"/>
    <n v="27"/>
    <n v="3"/>
    <n v="2"/>
    <n v="2"/>
    <n v="7"/>
  </r>
  <r>
    <n v="70"/>
    <n v="49"/>
    <x v="2"/>
    <x v="1"/>
    <s v="Married"/>
    <x v="1"/>
    <x v="0"/>
    <n v="10"/>
    <x v="0"/>
    <n v="2453.98"/>
    <n v="350.56857142857143"/>
    <n v="7"/>
    <n v="0"/>
    <x v="0"/>
    <n v="0"/>
    <n v="0"/>
    <n v="0"/>
    <n v="18"/>
    <n v="3"/>
    <n v="2"/>
    <n v="3"/>
    <n v="8"/>
  </r>
  <r>
    <n v="71"/>
    <n v="19"/>
    <x v="1"/>
    <x v="1"/>
    <s v="Divorced"/>
    <x v="0"/>
    <x v="1"/>
    <n v="47"/>
    <x v="2"/>
    <n v="474.59000000000003"/>
    <n v="158.19666666666669"/>
    <n v="3"/>
    <n v="2"/>
    <x v="1"/>
    <n v="0"/>
    <n v="1"/>
    <n v="1"/>
    <n v="58"/>
    <n v="2"/>
    <n v="2"/>
    <n v="1"/>
    <n v="5"/>
  </r>
  <r>
    <n v="72"/>
    <n v="19"/>
    <x v="1"/>
    <x v="1"/>
    <s v="Divorced"/>
    <x v="2"/>
    <x v="1"/>
    <n v="25"/>
    <x v="2"/>
    <n v="1080.4000000000001"/>
    <n v="180.06666666666669"/>
    <n v="6"/>
    <n v="2"/>
    <x v="1"/>
    <n v="1"/>
    <n v="0"/>
    <n v="0"/>
    <n v="39"/>
    <n v="2"/>
    <n v="2"/>
    <n v="2"/>
    <n v="6"/>
  </r>
  <r>
    <n v="73"/>
    <n v="57"/>
    <x v="2"/>
    <x v="0"/>
    <s v="Single"/>
    <x v="0"/>
    <x v="1"/>
    <n v="24"/>
    <x v="2"/>
    <n v="2254.2200000000003"/>
    <n v="250.46888888888893"/>
    <n v="9"/>
    <n v="1"/>
    <x v="0"/>
    <n v="0"/>
    <n v="1"/>
    <n v="0"/>
    <n v="45"/>
    <n v="2"/>
    <n v="3"/>
    <n v="3"/>
    <n v="8"/>
  </r>
  <r>
    <n v="74"/>
    <n v="59"/>
    <x v="2"/>
    <x v="0"/>
    <s v="Widowed"/>
    <x v="0"/>
    <x v="0"/>
    <n v="44"/>
    <x v="0"/>
    <n v="2083.79"/>
    <n v="260.47375"/>
    <n v="8"/>
    <n v="1"/>
    <x v="0"/>
    <n v="1"/>
    <n v="0"/>
    <n v="0"/>
    <n v="126"/>
    <n v="1"/>
    <n v="3"/>
    <n v="3"/>
    <n v="7"/>
  </r>
  <r>
    <n v="75"/>
    <n v="53"/>
    <x v="2"/>
    <x v="1"/>
    <s v="Single"/>
    <x v="2"/>
    <x v="1"/>
    <n v="12"/>
    <x v="0"/>
    <n v="769.97"/>
    <n v="192.49250000000001"/>
    <n v="4"/>
    <n v="1"/>
    <x v="0"/>
    <n v="0"/>
    <n v="1"/>
    <n v="0"/>
    <n v="0"/>
    <n v="3"/>
    <n v="2"/>
    <n v="1"/>
    <n v="6"/>
  </r>
  <r>
    <n v="76"/>
    <n v="56"/>
    <x v="2"/>
    <x v="1"/>
    <s v="Widowed"/>
    <x v="1"/>
    <x v="1"/>
    <n v="5"/>
    <x v="1"/>
    <n v="883.92"/>
    <n v="220.98"/>
    <n v="4"/>
    <n v="2"/>
    <x v="1"/>
    <n v="1"/>
    <n v="1"/>
    <n v="0"/>
    <n v="24"/>
    <n v="3"/>
    <n v="2"/>
    <n v="2"/>
    <n v="7"/>
  </r>
  <r>
    <n v="77"/>
    <n v="29"/>
    <x v="1"/>
    <x v="0"/>
    <s v="Divorced"/>
    <x v="2"/>
    <x v="0"/>
    <n v="29"/>
    <x v="2"/>
    <n v="1797.06"/>
    <n v="224.63249999999999"/>
    <n v="8"/>
    <n v="0"/>
    <x v="0"/>
    <n v="0"/>
    <n v="0"/>
    <n v="0"/>
    <n v="27"/>
    <n v="3"/>
    <n v="3"/>
    <n v="3"/>
    <n v="9"/>
  </r>
  <r>
    <n v="78"/>
    <n v="64"/>
    <x v="0"/>
    <x v="0"/>
    <s v="Widowed"/>
    <x v="0"/>
    <x v="0"/>
    <n v="35"/>
    <x v="0"/>
    <n v="816.89"/>
    <n v="272.29666666666668"/>
    <n v="3"/>
    <n v="1"/>
    <x v="1"/>
    <n v="0"/>
    <n v="1"/>
    <n v="0"/>
    <n v="259"/>
    <n v="1"/>
    <n v="2"/>
    <n v="1"/>
    <n v="4"/>
  </r>
  <r>
    <n v="79"/>
    <n v="36"/>
    <x v="3"/>
    <x v="0"/>
    <s v="Married"/>
    <x v="2"/>
    <x v="1"/>
    <n v="23"/>
    <x v="2"/>
    <n v="931.31999999999994"/>
    <n v="310.44"/>
    <n v="3"/>
    <n v="1"/>
    <x v="0"/>
    <n v="1"/>
    <n v="0"/>
    <n v="0"/>
    <n v="17"/>
    <n v="3"/>
    <n v="2"/>
    <n v="2"/>
    <n v="7"/>
  </r>
  <r>
    <n v="80"/>
    <n v="45"/>
    <x v="3"/>
    <x v="0"/>
    <s v="Widowed"/>
    <x v="2"/>
    <x v="0"/>
    <n v="32"/>
    <x v="0"/>
    <n v="110.82"/>
    <n v="110.82"/>
    <n v="1"/>
    <n v="0"/>
    <x v="0"/>
    <n v="0"/>
    <n v="0"/>
    <n v="0"/>
    <n v="270"/>
    <n v="1"/>
    <n v="1"/>
    <n v="1"/>
    <n v="3"/>
  </r>
  <r>
    <n v="81"/>
    <n v="18"/>
    <x v="1"/>
    <x v="1"/>
    <s v="Widowed"/>
    <x v="0"/>
    <x v="1"/>
    <n v="40"/>
    <x v="1"/>
    <n v="2181.77"/>
    <n v="272.72125"/>
    <n v="8"/>
    <n v="0"/>
    <x v="0"/>
    <n v="0"/>
    <n v="0"/>
    <n v="0"/>
    <n v="122"/>
    <n v="1"/>
    <n v="3"/>
    <n v="3"/>
    <n v="7"/>
  </r>
  <r>
    <n v="82"/>
    <n v="32"/>
    <x v="3"/>
    <x v="1"/>
    <s v="Divorced"/>
    <x v="2"/>
    <x v="0"/>
    <n v="19"/>
    <x v="0"/>
    <n v="232.38"/>
    <n v="232.38"/>
    <n v="1"/>
    <n v="0"/>
    <x v="0"/>
    <n v="0"/>
    <n v="0"/>
    <n v="0"/>
    <n v="333"/>
    <n v="1"/>
    <n v="1"/>
    <n v="1"/>
    <n v="3"/>
  </r>
  <r>
    <n v="83"/>
    <n v="53"/>
    <x v="2"/>
    <x v="0"/>
    <s v="Widowed"/>
    <x v="1"/>
    <x v="0"/>
    <n v="25"/>
    <x v="0"/>
    <n v="1419.92"/>
    <n v="236.65333333333334"/>
    <n v="6"/>
    <n v="2"/>
    <x v="1"/>
    <n v="0"/>
    <n v="0"/>
    <n v="1"/>
    <n v="77"/>
    <n v="2"/>
    <n v="2"/>
    <n v="2"/>
    <n v="6"/>
  </r>
  <r>
    <n v="84"/>
    <n v="30"/>
    <x v="1"/>
    <x v="0"/>
    <s v="Divorced"/>
    <x v="1"/>
    <x v="0"/>
    <n v="45"/>
    <x v="2"/>
    <n v="1545.9099999999999"/>
    <n v="309.18199999999996"/>
    <n v="5"/>
    <n v="0"/>
    <x v="0"/>
    <n v="0"/>
    <n v="0"/>
    <n v="0"/>
    <n v="16"/>
    <n v="3"/>
    <n v="2"/>
    <n v="2"/>
    <n v="7"/>
  </r>
  <r>
    <n v="85"/>
    <n v="60"/>
    <x v="2"/>
    <x v="0"/>
    <s v="Married"/>
    <x v="2"/>
    <x v="0"/>
    <n v="37"/>
    <x v="0"/>
    <n v="1690.08"/>
    <n v="187.78666666666666"/>
    <n v="9"/>
    <n v="0"/>
    <x v="0"/>
    <n v="0"/>
    <n v="0"/>
    <n v="0"/>
    <n v="25"/>
    <n v="3"/>
    <n v="3"/>
    <n v="3"/>
    <n v="9"/>
  </r>
  <r>
    <n v="86"/>
    <n v="38"/>
    <x v="3"/>
    <x v="0"/>
    <s v="Married"/>
    <x v="0"/>
    <x v="0"/>
    <n v="1"/>
    <x v="1"/>
    <n v="1674.6599999999999"/>
    <n v="239.23714285714283"/>
    <n v="7"/>
    <n v="0"/>
    <x v="0"/>
    <n v="0"/>
    <n v="0"/>
    <n v="0"/>
    <n v="29"/>
    <n v="2"/>
    <n v="2"/>
    <n v="3"/>
    <n v="7"/>
  </r>
  <r>
    <n v="87"/>
    <n v="29"/>
    <x v="1"/>
    <x v="1"/>
    <s v="Single"/>
    <x v="2"/>
    <x v="0"/>
    <n v="43"/>
    <x v="1"/>
    <n v="1411.8399999999997"/>
    <n v="282.36799999999994"/>
    <n v="5"/>
    <n v="2"/>
    <x v="1"/>
    <n v="1"/>
    <n v="1"/>
    <n v="0"/>
    <n v="5"/>
    <n v="3"/>
    <n v="2"/>
    <n v="2"/>
    <n v="7"/>
  </r>
  <r>
    <n v="88"/>
    <n v="22"/>
    <x v="1"/>
    <x v="0"/>
    <s v="Single"/>
    <x v="2"/>
    <x v="0"/>
    <n v="13"/>
    <x v="2"/>
    <n v="447.34000000000003"/>
    <n v="223.67000000000002"/>
    <n v="2"/>
    <n v="0"/>
    <x v="0"/>
    <n v="0"/>
    <n v="0"/>
    <n v="0"/>
    <n v="140"/>
    <n v="1"/>
    <n v="1"/>
    <n v="1"/>
    <n v="3"/>
  </r>
  <r>
    <n v="89"/>
    <n v="24"/>
    <x v="1"/>
    <x v="0"/>
    <s v="Single"/>
    <x v="1"/>
    <x v="0"/>
    <n v="12"/>
    <x v="0"/>
    <n v="1951.9899999999998"/>
    <n v="278.85571428571427"/>
    <n v="7"/>
    <n v="0"/>
    <x v="0"/>
    <n v="0"/>
    <n v="0"/>
    <n v="0"/>
    <n v="80"/>
    <n v="2"/>
    <n v="2"/>
    <n v="3"/>
    <n v="7"/>
  </r>
  <r>
    <n v="90"/>
    <n v="22"/>
    <x v="1"/>
    <x v="0"/>
    <s v="Married"/>
    <x v="1"/>
    <x v="0"/>
    <n v="47"/>
    <x v="2"/>
    <n v="1229.96"/>
    <n v="204.99333333333334"/>
    <n v="6"/>
    <n v="1"/>
    <x v="0"/>
    <n v="0"/>
    <n v="1"/>
    <n v="0"/>
    <n v="1"/>
    <n v="3"/>
    <n v="2"/>
    <n v="2"/>
    <n v="7"/>
  </r>
  <r>
    <n v="91"/>
    <n v="65"/>
    <x v="0"/>
    <x v="1"/>
    <s v="Widowed"/>
    <x v="0"/>
    <x v="0"/>
    <n v="43"/>
    <x v="0"/>
    <n v="1804.7400000000002"/>
    <n v="200.5266666666667"/>
    <n v="9"/>
    <n v="2"/>
    <x v="1"/>
    <n v="0"/>
    <n v="1"/>
    <n v="1"/>
    <n v="64"/>
    <n v="2"/>
    <n v="3"/>
    <n v="3"/>
    <n v="8"/>
  </r>
  <r>
    <n v="92"/>
    <n v="21"/>
    <x v="1"/>
    <x v="1"/>
    <s v="Divorced"/>
    <x v="0"/>
    <x v="0"/>
    <n v="37"/>
    <x v="0"/>
    <n v="2265.2800000000002"/>
    <n v="283.16000000000003"/>
    <n v="8"/>
    <n v="2"/>
    <x v="1"/>
    <n v="0"/>
    <n v="1"/>
    <n v="1"/>
    <n v="22"/>
    <n v="3"/>
    <n v="3"/>
    <n v="3"/>
    <n v="9"/>
  </r>
  <r>
    <n v="93"/>
    <n v="30"/>
    <x v="1"/>
    <x v="1"/>
    <s v="Married"/>
    <x v="0"/>
    <x v="0"/>
    <n v="42"/>
    <x v="0"/>
    <n v="848.07"/>
    <n v="169.614"/>
    <n v="5"/>
    <n v="2"/>
    <x v="0"/>
    <n v="1"/>
    <n v="0"/>
    <n v="0"/>
    <n v="21"/>
    <n v="3"/>
    <n v="2"/>
    <n v="2"/>
    <n v="7"/>
  </r>
  <r>
    <n v="94"/>
    <n v="54"/>
    <x v="2"/>
    <x v="0"/>
    <s v="Widowed"/>
    <x v="2"/>
    <x v="0"/>
    <n v="41"/>
    <x v="1"/>
    <n v="1113.6100000000001"/>
    <n v="371.20333333333338"/>
    <n v="3"/>
    <n v="0"/>
    <x v="0"/>
    <n v="0"/>
    <n v="0"/>
    <n v="0"/>
    <n v="2"/>
    <n v="3"/>
    <n v="2"/>
    <n v="2"/>
    <n v="7"/>
  </r>
  <r>
    <n v="95"/>
    <n v="58"/>
    <x v="2"/>
    <x v="1"/>
    <s v="Single"/>
    <x v="2"/>
    <x v="0"/>
    <n v="12"/>
    <x v="2"/>
    <n v="677.27"/>
    <n v="225.75666666666666"/>
    <n v="3"/>
    <n v="1"/>
    <x v="0"/>
    <n v="1"/>
    <n v="0"/>
    <n v="0"/>
    <n v="54"/>
    <n v="2"/>
    <n v="2"/>
    <n v="1"/>
    <n v="5"/>
  </r>
  <r>
    <n v="96"/>
    <n v="32"/>
    <x v="3"/>
    <x v="1"/>
    <s v="Divorced"/>
    <x v="2"/>
    <x v="0"/>
    <n v="36"/>
    <x v="0"/>
    <n v="161.84"/>
    <n v="161.84"/>
    <n v="1"/>
    <n v="2"/>
    <x v="1"/>
    <n v="1"/>
    <n v="0"/>
    <n v="0"/>
    <n v="129"/>
    <n v="1"/>
    <n v="1"/>
    <n v="1"/>
    <n v="3"/>
  </r>
  <r>
    <n v="97"/>
    <n v="33"/>
    <x v="3"/>
    <x v="0"/>
    <s v="Single"/>
    <x v="2"/>
    <x v="0"/>
    <n v="38"/>
    <x v="1"/>
    <n v="553.65"/>
    <n v="276.82499999999999"/>
    <n v="2"/>
    <n v="2"/>
    <x v="0"/>
    <n v="1"/>
    <n v="1"/>
    <n v="0"/>
    <n v="111"/>
    <n v="1"/>
    <n v="1"/>
    <n v="1"/>
    <n v="3"/>
  </r>
  <r>
    <n v="98"/>
    <n v="38"/>
    <x v="3"/>
    <x v="1"/>
    <s v="Divorced"/>
    <x v="0"/>
    <x v="0"/>
    <n v="9"/>
    <x v="0"/>
    <n v="893.7600000000001"/>
    <n v="178.75200000000001"/>
    <n v="5"/>
    <n v="1"/>
    <x v="0"/>
    <n v="0"/>
    <n v="0"/>
    <n v="1"/>
    <n v="50"/>
    <n v="2"/>
    <n v="2"/>
    <n v="2"/>
    <n v="6"/>
  </r>
  <r>
    <n v="99"/>
    <n v="53"/>
    <x v="2"/>
    <x v="0"/>
    <s v="Widowed"/>
    <x v="0"/>
    <x v="0"/>
    <n v="14"/>
    <x v="2"/>
    <n v="889.75"/>
    <n v="177.95"/>
    <n v="5"/>
    <n v="0"/>
    <x v="0"/>
    <n v="0"/>
    <n v="0"/>
    <n v="0"/>
    <n v="52"/>
    <n v="2"/>
    <n v="2"/>
    <n v="2"/>
    <n v="6"/>
  </r>
  <r>
    <n v="100"/>
    <n v="41"/>
    <x v="3"/>
    <x v="1"/>
    <s v="Married"/>
    <x v="0"/>
    <x v="1"/>
    <n v="45"/>
    <x v="2"/>
    <n v="1108.56"/>
    <n v="277.14"/>
    <n v="4"/>
    <n v="2"/>
    <x v="0"/>
    <n v="1"/>
    <n v="0"/>
    <n v="1"/>
    <n v="4"/>
    <n v="3"/>
    <n v="2"/>
    <n v="2"/>
    <n v="7"/>
  </r>
  <r>
    <n v="101"/>
    <n v="33"/>
    <x v="3"/>
    <x v="1"/>
    <s v="Single"/>
    <x v="2"/>
    <x v="0"/>
    <n v="35"/>
    <x v="2"/>
    <n v="492.35"/>
    <n v="492.35"/>
    <n v="1"/>
    <n v="2"/>
    <x v="1"/>
    <n v="0"/>
    <n v="1"/>
    <n v="1"/>
    <n v="206"/>
    <n v="1"/>
    <n v="1"/>
    <n v="1"/>
    <n v="3"/>
  </r>
  <r>
    <n v="102"/>
    <n v="31"/>
    <x v="3"/>
    <x v="0"/>
    <s v="Married"/>
    <x v="2"/>
    <x v="0"/>
    <n v="32"/>
    <x v="2"/>
    <n v="2029.9599999999998"/>
    <n v="338.32666666666665"/>
    <n v="6"/>
    <n v="2"/>
    <x v="1"/>
    <n v="1"/>
    <n v="0"/>
    <n v="1"/>
    <n v="1"/>
    <n v="3"/>
    <n v="2"/>
    <n v="3"/>
    <n v="8"/>
  </r>
  <r>
    <n v="103"/>
    <n v="39"/>
    <x v="3"/>
    <x v="0"/>
    <s v="Widowed"/>
    <x v="0"/>
    <x v="0"/>
    <n v="46"/>
    <x v="0"/>
    <n v="2297.73"/>
    <n v="255.30333333333334"/>
    <n v="9"/>
    <n v="2"/>
    <x v="0"/>
    <n v="0"/>
    <n v="0"/>
    <n v="1"/>
    <n v="11"/>
    <n v="3"/>
    <n v="3"/>
    <n v="3"/>
    <n v="9"/>
  </r>
  <r>
    <n v="104"/>
    <n v="66"/>
    <x v="0"/>
    <x v="1"/>
    <s v="Widowed"/>
    <x v="1"/>
    <x v="1"/>
    <n v="3"/>
    <x v="2"/>
    <n v="2666.8399999999997"/>
    <n v="296.31555555555553"/>
    <n v="9"/>
    <n v="2"/>
    <x v="1"/>
    <n v="0"/>
    <n v="1"/>
    <n v="0"/>
    <n v="12"/>
    <n v="3"/>
    <n v="3"/>
    <n v="3"/>
    <n v="9"/>
  </r>
  <r>
    <n v="105"/>
    <n v="67"/>
    <x v="0"/>
    <x v="1"/>
    <s v="Widowed"/>
    <x v="0"/>
    <x v="0"/>
    <n v="30"/>
    <x v="1"/>
    <n v="1863.6"/>
    <n v="232.95"/>
    <n v="8"/>
    <n v="2"/>
    <x v="1"/>
    <n v="0"/>
    <n v="1"/>
    <n v="0"/>
    <n v="11"/>
    <n v="3"/>
    <n v="3"/>
    <n v="3"/>
    <n v="9"/>
  </r>
  <r>
    <n v="106"/>
    <n v="23"/>
    <x v="1"/>
    <x v="0"/>
    <s v="Married"/>
    <x v="2"/>
    <x v="0"/>
    <n v="49"/>
    <x v="0"/>
    <n v="875.07999999999993"/>
    <n v="291.69333333333333"/>
    <n v="3"/>
    <n v="2"/>
    <x v="1"/>
    <n v="1"/>
    <n v="1"/>
    <n v="0"/>
    <n v="32"/>
    <n v="2"/>
    <n v="2"/>
    <n v="2"/>
    <n v="6"/>
  </r>
  <r>
    <n v="107"/>
    <n v="59"/>
    <x v="2"/>
    <x v="1"/>
    <s v="Married"/>
    <x v="2"/>
    <x v="1"/>
    <n v="7"/>
    <x v="2"/>
    <n v="1542.76"/>
    <n v="257.12666666666667"/>
    <n v="6"/>
    <n v="0"/>
    <x v="0"/>
    <n v="0"/>
    <n v="0"/>
    <n v="0"/>
    <n v="35"/>
    <n v="2"/>
    <n v="2"/>
    <n v="2"/>
    <n v="6"/>
  </r>
  <r>
    <n v="108"/>
    <n v="53"/>
    <x v="2"/>
    <x v="0"/>
    <s v="Divorced"/>
    <x v="0"/>
    <x v="1"/>
    <n v="1"/>
    <x v="0"/>
    <n v="494.30999999999995"/>
    <n v="247.15499999999997"/>
    <n v="2"/>
    <n v="2"/>
    <x v="1"/>
    <n v="0"/>
    <n v="1"/>
    <n v="1"/>
    <n v="74"/>
    <n v="2"/>
    <n v="1"/>
    <n v="1"/>
    <n v="4"/>
  </r>
  <r>
    <n v="109"/>
    <n v="18"/>
    <x v="1"/>
    <x v="0"/>
    <s v="Married"/>
    <x v="1"/>
    <x v="0"/>
    <n v="20"/>
    <x v="0"/>
    <n v="1274.7"/>
    <n v="212.45000000000002"/>
    <n v="6"/>
    <n v="2"/>
    <x v="1"/>
    <n v="1"/>
    <n v="1"/>
    <n v="0"/>
    <n v="7"/>
    <n v="3"/>
    <n v="2"/>
    <n v="2"/>
    <n v="7"/>
  </r>
  <r>
    <n v="110"/>
    <n v="49"/>
    <x v="2"/>
    <x v="0"/>
    <s v="Married"/>
    <x v="1"/>
    <x v="1"/>
    <n v="25"/>
    <x v="1"/>
    <n v="723"/>
    <n v="241"/>
    <n v="3"/>
    <n v="2"/>
    <x v="0"/>
    <n v="0"/>
    <n v="1"/>
    <n v="1"/>
    <n v="48"/>
    <n v="2"/>
    <n v="2"/>
    <n v="1"/>
    <n v="5"/>
  </r>
  <r>
    <n v="111"/>
    <n v="23"/>
    <x v="1"/>
    <x v="1"/>
    <s v="Widowed"/>
    <x v="2"/>
    <x v="1"/>
    <n v="33"/>
    <x v="1"/>
    <n v="613.18000000000006"/>
    <n v="306.59000000000003"/>
    <n v="2"/>
    <n v="1"/>
    <x v="1"/>
    <n v="0"/>
    <n v="1"/>
    <n v="0"/>
    <n v="83"/>
    <n v="1"/>
    <n v="1"/>
    <n v="1"/>
    <n v="3"/>
  </r>
  <r>
    <n v="112"/>
    <n v="48"/>
    <x v="2"/>
    <x v="1"/>
    <s v="Divorced"/>
    <x v="2"/>
    <x v="0"/>
    <n v="35"/>
    <x v="1"/>
    <n v="750.17"/>
    <n v="250.05666666666664"/>
    <n v="3"/>
    <n v="1"/>
    <x v="0"/>
    <n v="0"/>
    <n v="1"/>
    <n v="0"/>
    <n v="2"/>
    <n v="3"/>
    <n v="2"/>
    <n v="1"/>
    <n v="6"/>
  </r>
  <r>
    <n v="113"/>
    <n v="18"/>
    <x v="1"/>
    <x v="1"/>
    <s v="Married"/>
    <x v="2"/>
    <x v="0"/>
    <n v="44"/>
    <x v="2"/>
    <n v="1834.01"/>
    <n v="262.00142857142856"/>
    <n v="7"/>
    <n v="1"/>
    <x v="1"/>
    <n v="1"/>
    <n v="0"/>
    <n v="0"/>
    <n v="73"/>
    <n v="2"/>
    <n v="2"/>
    <n v="3"/>
    <n v="7"/>
  </r>
  <r>
    <n v="114"/>
    <n v="67"/>
    <x v="0"/>
    <x v="1"/>
    <s v="Married"/>
    <x v="0"/>
    <x v="0"/>
    <n v="24"/>
    <x v="1"/>
    <n v="2133.2800000000002"/>
    <n v="266.66000000000003"/>
    <n v="8"/>
    <n v="0"/>
    <x v="0"/>
    <n v="0"/>
    <n v="0"/>
    <n v="0"/>
    <n v="27"/>
    <n v="3"/>
    <n v="3"/>
    <n v="3"/>
    <n v="9"/>
  </r>
  <r>
    <n v="115"/>
    <n v="68"/>
    <x v="0"/>
    <x v="1"/>
    <s v="Widowed"/>
    <x v="2"/>
    <x v="0"/>
    <n v="14"/>
    <x v="0"/>
    <n v="653.62000000000012"/>
    <n v="130.72400000000002"/>
    <n v="5"/>
    <n v="0"/>
    <x v="0"/>
    <n v="0"/>
    <n v="0"/>
    <n v="0"/>
    <n v="100"/>
    <n v="1"/>
    <n v="2"/>
    <n v="1"/>
    <n v="4"/>
  </r>
  <r>
    <n v="116"/>
    <n v="54"/>
    <x v="2"/>
    <x v="0"/>
    <s v="Married"/>
    <x v="2"/>
    <x v="0"/>
    <n v="39"/>
    <x v="0"/>
    <n v="1504.28"/>
    <n v="214.89714285714285"/>
    <n v="7"/>
    <n v="1"/>
    <x v="0"/>
    <n v="1"/>
    <n v="0"/>
    <n v="0"/>
    <n v="11"/>
    <n v="3"/>
    <n v="2"/>
    <n v="2"/>
    <n v="7"/>
  </r>
  <r>
    <n v="117"/>
    <n v="52"/>
    <x v="2"/>
    <x v="1"/>
    <s v="Widowed"/>
    <x v="2"/>
    <x v="0"/>
    <n v="44"/>
    <x v="2"/>
    <n v="448.48"/>
    <n v="224.24"/>
    <n v="2"/>
    <n v="0"/>
    <x v="0"/>
    <n v="0"/>
    <n v="0"/>
    <n v="0"/>
    <n v="4"/>
    <n v="3"/>
    <n v="1"/>
    <n v="1"/>
    <n v="5"/>
  </r>
  <r>
    <n v="118"/>
    <n v="66"/>
    <x v="0"/>
    <x v="0"/>
    <s v="Divorced"/>
    <x v="1"/>
    <x v="0"/>
    <n v="34"/>
    <x v="2"/>
    <n v="1625.39"/>
    <n v="270.89833333333337"/>
    <n v="6"/>
    <n v="1"/>
    <x v="1"/>
    <n v="0"/>
    <n v="1"/>
    <n v="0"/>
    <n v="13"/>
    <n v="3"/>
    <n v="2"/>
    <n v="3"/>
    <n v="8"/>
  </r>
  <r>
    <n v="119"/>
    <n v="47"/>
    <x v="2"/>
    <x v="0"/>
    <s v="Widowed"/>
    <x v="1"/>
    <x v="1"/>
    <n v="18"/>
    <x v="0"/>
    <n v="2012.3300000000002"/>
    <n v="251.54125000000002"/>
    <n v="8"/>
    <n v="2"/>
    <x v="0"/>
    <n v="1"/>
    <n v="0"/>
    <n v="1"/>
    <n v="57"/>
    <n v="2"/>
    <n v="3"/>
    <n v="3"/>
    <n v="8"/>
  </r>
  <r>
    <n v="120"/>
    <n v="21"/>
    <x v="1"/>
    <x v="1"/>
    <s v="Widowed"/>
    <x v="2"/>
    <x v="0"/>
    <n v="2"/>
    <x v="2"/>
    <n v="1168.79"/>
    <n v="194.79833333333332"/>
    <n v="6"/>
    <n v="2"/>
    <x v="1"/>
    <n v="1"/>
    <n v="0"/>
    <n v="1"/>
    <n v="2"/>
    <n v="3"/>
    <n v="2"/>
    <n v="2"/>
    <n v="7"/>
  </r>
  <r>
    <n v="121"/>
    <n v="52"/>
    <x v="2"/>
    <x v="0"/>
    <s v="Divorced"/>
    <x v="1"/>
    <x v="0"/>
    <n v="38"/>
    <x v="0"/>
    <n v="1073.01"/>
    <n v="214.602"/>
    <n v="5"/>
    <n v="2"/>
    <x v="1"/>
    <n v="1"/>
    <n v="0"/>
    <n v="0"/>
    <n v="39"/>
    <n v="2"/>
    <n v="2"/>
    <n v="2"/>
    <n v="6"/>
  </r>
  <r>
    <n v="122"/>
    <n v="60"/>
    <x v="2"/>
    <x v="1"/>
    <s v="Single"/>
    <x v="1"/>
    <x v="1"/>
    <n v="17"/>
    <x v="0"/>
    <n v="2825.5200000000004"/>
    <n v="313.94666666666672"/>
    <n v="9"/>
    <n v="1"/>
    <x v="0"/>
    <n v="0"/>
    <n v="0"/>
    <n v="1"/>
    <n v="15"/>
    <n v="3"/>
    <n v="3"/>
    <n v="3"/>
    <n v="9"/>
  </r>
  <r>
    <n v="123"/>
    <n v="31"/>
    <x v="3"/>
    <x v="0"/>
    <s v="Widowed"/>
    <x v="1"/>
    <x v="1"/>
    <n v="23"/>
    <x v="0"/>
    <n v="938.58"/>
    <n v="312.86"/>
    <n v="3"/>
    <n v="2"/>
    <x v="0"/>
    <n v="0"/>
    <n v="1"/>
    <n v="0"/>
    <n v="15"/>
    <n v="3"/>
    <n v="2"/>
    <n v="2"/>
    <n v="7"/>
  </r>
  <r>
    <n v="124"/>
    <n v="66"/>
    <x v="0"/>
    <x v="0"/>
    <s v="Married"/>
    <x v="1"/>
    <x v="0"/>
    <n v="33"/>
    <x v="1"/>
    <n v="2283.88"/>
    <n v="326.26857142857142"/>
    <n v="7"/>
    <n v="2"/>
    <x v="0"/>
    <n v="0"/>
    <n v="1"/>
    <n v="1"/>
    <n v="34"/>
    <n v="2"/>
    <n v="2"/>
    <n v="3"/>
    <n v="7"/>
  </r>
  <r>
    <n v="125"/>
    <n v="57"/>
    <x v="2"/>
    <x v="0"/>
    <s v="Widowed"/>
    <x v="0"/>
    <x v="0"/>
    <n v="28"/>
    <x v="2"/>
    <n v="744.89"/>
    <n v="372.44499999999999"/>
    <n v="2"/>
    <n v="0"/>
    <x v="0"/>
    <n v="0"/>
    <n v="0"/>
    <n v="0"/>
    <n v="123"/>
    <n v="1"/>
    <n v="1"/>
    <n v="1"/>
    <n v="3"/>
  </r>
  <r>
    <n v="126"/>
    <n v="39"/>
    <x v="3"/>
    <x v="1"/>
    <s v="Divorced"/>
    <x v="1"/>
    <x v="0"/>
    <n v="15"/>
    <x v="1"/>
    <n v="2323.02"/>
    <n v="258.11333333333334"/>
    <n v="9"/>
    <n v="0"/>
    <x v="0"/>
    <n v="0"/>
    <n v="0"/>
    <n v="0"/>
    <n v="49"/>
    <n v="2"/>
    <n v="3"/>
    <n v="3"/>
    <n v="8"/>
  </r>
  <r>
    <n v="127"/>
    <n v="27"/>
    <x v="1"/>
    <x v="1"/>
    <s v="Married"/>
    <x v="1"/>
    <x v="0"/>
    <n v="11"/>
    <x v="1"/>
    <n v="1976.17"/>
    <n v="247.02125000000001"/>
    <n v="8"/>
    <n v="1"/>
    <x v="0"/>
    <n v="0"/>
    <n v="0"/>
    <n v="1"/>
    <n v="0"/>
    <n v="3"/>
    <n v="3"/>
    <n v="3"/>
    <n v="9"/>
  </r>
  <r>
    <n v="128"/>
    <n v="18"/>
    <x v="1"/>
    <x v="1"/>
    <s v="Divorced"/>
    <x v="1"/>
    <x v="1"/>
    <n v="23"/>
    <x v="1"/>
    <n v="630.20000000000005"/>
    <n v="315.10000000000002"/>
    <n v="2"/>
    <n v="2"/>
    <x v="1"/>
    <n v="1"/>
    <n v="0"/>
    <n v="0"/>
    <n v="239"/>
    <n v="1"/>
    <n v="1"/>
    <n v="1"/>
    <n v="3"/>
  </r>
  <r>
    <n v="129"/>
    <n v="28"/>
    <x v="1"/>
    <x v="1"/>
    <s v="Widowed"/>
    <x v="1"/>
    <x v="0"/>
    <n v="13"/>
    <x v="1"/>
    <n v="243.55"/>
    <n v="121.77500000000001"/>
    <n v="2"/>
    <n v="1"/>
    <x v="0"/>
    <n v="0"/>
    <n v="1"/>
    <n v="0"/>
    <n v="32"/>
    <n v="2"/>
    <n v="1"/>
    <n v="1"/>
    <n v="4"/>
  </r>
  <r>
    <n v="130"/>
    <n v="68"/>
    <x v="0"/>
    <x v="0"/>
    <s v="Divorced"/>
    <x v="0"/>
    <x v="0"/>
    <n v="47"/>
    <x v="0"/>
    <n v="552.23"/>
    <n v="276.11500000000001"/>
    <n v="2"/>
    <n v="1"/>
    <x v="1"/>
    <n v="0"/>
    <n v="0"/>
    <n v="1"/>
    <n v="54"/>
    <n v="2"/>
    <n v="1"/>
    <n v="1"/>
    <n v="4"/>
  </r>
  <r>
    <n v="131"/>
    <n v="61"/>
    <x v="0"/>
    <x v="1"/>
    <s v="Divorced"/>
    <x v="0"/>
    <x v="0"/>
    <n v="11"/>
    <x v="1"/>
    <n v="2726.7"/>
    <n v="340.83749999999998"/>
    <n v="8"/>
    <n v="1"/>
    <x v="0"/>
    <n v="0"/>
    <n v="1"/>
    <n v="0"/>
    <n v="87"/>
    <n v="1"/>
    <n v="3"/>
    <n v="3"/>
    <n v="7"/>
  </r>
  <r>
    <n v="132"/>
    <n v="41"/>
    <x v="3"/>
    <x v="1"/>
    <s v="Single"/>
    <x v="2"/>
    <x v="0"/>
    <n v="36"/>
    <x v="1"/>
    <n v="1879.94"/>
    <n v="208.88222222222223"/>
    <n v="9"/>
    <n v="0"/>
    <x v="0"/>
    <n v="0"/>
    <n v="0"/>
    <n v="0"/>
    <n v="73"/>
    <n v="2"/>
    <n v="3"/>
    <n v="3"/>
    <n v="8"/>
  </r>
  <r>
    <n v="133"/>
    <n v="20"/>
    <x v="1"/>
    <x v="0"/>
    <s v="Widowed"/>
    <x v="1"/>
    <x v="0"/>
    <n v="38"/>
    <x v="0"/>
    <n v="896.27"/>
    <n v="224.0675"/>
    <n v="4"/>
    <n v="1"/>
    <x v="0"/>
    <n v="0"/>
    <n v="1"/>
    <n v="0"/>
    <n v="124"/>
    <n v="1"/>
    <n v="2"/>
    <n v="2"/>
    <n v="5"/>
  </r>
  <r>
    <n v="134"/>
    <n v="52"/>
    <x v="2"/>
    <x v="0"/>
    <s v="Widowed"/>
    <x v="1"/>
    <x v="0"/>
    <n v="27"/>
    <x v="0"/>
    <n v="1570.08"/>
    <n v="261.68"/>
    <n v="6"/>
    <n v="1"/>
    <x v="1"/>
    <n v="0"/>
    <n v="1"/>
    <n v="0"/>
    <n v="2"/>
    <n v="3"/>
    <n v="2"/>
    <n v="2"/>
    <n v="7"/>
  </r>
  <r>
    <n v="135"/>
    <n v="53"/>
    <x v="2"/>
    <x v="1"/>
    <s v="Widowed"/>
    <x v="2"/>
    <x v="0"/>
    <n v="18"/>
    <x v="0"/>
    <n v="441.75"/>
    <n v="220.875"/>
    <n v="2"/>
    <n v="0"/>
    <x v="0"/>
    <n v="0"/>
    <n v="0"/>
    <n v="0"/>
    <n v="221"/>
    <n v="1"/>
    <n v="1"/>
    <n v="1"/>
    <n v="3"/>
  </r>
  <r>
    <n v="136"/>
    <n v="48"/>
    <x v="2"/>
    <x v="0"/>
    <s v="Widowed"/>
    <x v="0"/>
    <x v="0"/>
    <n v="40"/>
    <x v="0"/>
    <n v="419.86"/>
    <n v="209.93"/>
    <n v="2"/>
    <n v="0"/>
    <x v="0"/>
    <n v="0"/>
    <n v="0"/>
    <n v="0"/>
    <n v="1"/>
    <n v="3"/>
    <n v="1"/>
    <n v="1"/>
    <n v="5"/>
  </r>
  <r>
    <n v="137"/>
    <n v="21"/>
    <x v="1"/>
    <x v="1"/>
    <s v="Married"/>
    <x v="2"/>
    <x v="1"/>
    <n v="38"/>
    <x v="2"/>
    <n v="431.47"/>
    <n v="431.47"/>
    <n v="1"/>
    <n v="0"/>
    <x v="0"/>
    <n v="0"/>
    <n v="0"/>
    <n v="0"/>
    <n v="195"/>
    <n v="1"/>
    <n v="1"/>
    <n v="1"/>
    <n v="3"/>
  </r>
  <r>
    <n v="138"/>
    <n v="36"/>
    <x v="3"/>
    <x v="0"/>
    <s v="Divorced"/>
    <x v="0"/>
    <x v="0"/>
    <n v="34"/>
    <x v="2"/>
    <n v="2804.65"/>
    <n v="350.58125000000001"/>
    <n v="8"/>
    <n v="1"/>
    <x v="1"/>
    <n v="0"/>
    <n v="1"/>
    <n v="0"/>
    <n v="82"/>
    <n v="2"/>
    <n v="3"/>
    <n v="3"/>
    <n v="8"/>
  </r>
  <r>
    <n v="139"/>
    <n v="64"/>
    <x v="0"/>
    <x v="1"/>
    <s v="Widowed"/>
    <x v="2"/>
    <x v="0"/>
    <n v="22"/>
    <x v="1"/>
    <n v="2045.49"/>
    <n v="292.21285714285716"/>
    <n v="7"/>
    <n v="2"/>
    <x v="1"/>
    <n v="0"/>
    <n v="1"/>
    <n v="1"/>
    <n v="162"/>
    <n v="1"/>
    <n v="2"/>
    <n v="3"/>
    <n v="6"/>
  </r>
  <r>
    <n v="140"/>
    <n v="53"/>
    <x v="2"/>
    <x v="0"/>
    <s v="Married"/>
    <x v="2"/>
    <x v="0"/>
    <n v="18"/>
    <x v="0"/>
    <n v="1024.23"/>
    <n v="341.41"/>
    <n v="3"/>
    <n v="1"/>
    <x v="0"/>
    <n v="0"/>
    <n v="0"/>
    <n v="1"/>
    <n v="110"/>
    <n v="1"/>
    <n v="2"/>
    <n v="2"/>
    <n v="5"/>
  </r>
  <r>
    <n v="141"/>
    <n v="38"/>
    <x v="3"/>
    <x v="1"/>
    <s v="Widowed"/>
    <x v="1"/>
    <x v="0"/>
    <n v="41"/>
    <x v="2"/>
    <n v="2483.7500000000005"/>
    <n v="354.82142857142861"/>
    <n v="7"/>
    <n v="2"/>
    <x v="0"/>
    <n v="1"/>
    <n v="0"/>
    <n v="0"/>
    <n v="27"/>
    <n v="3"/>
    <n v="2"/>
    <n v="3"/>
    <n v="8"/>
  </r>
  <r>
    <n v="142"/>
    <n v="35"/>
    <x v="3"/>
    <x v="0"/>
    <s v="Divorced"/>
    <x v="2"/>
    <x v="0"/>
    <n v="18"/>
    <x v="0"/>
    <n v="1391.9899999999998"/>
    <n v="278.39799999999997"/>
    <n v="5"/>
    <n v="1"/>
    <x v="1"/>
    <n v="0"/>
    <n v="0"/>
    <n v="1"/>
    <n v="31"/>
    <n v="2"/>
    <n v="2"/>
    <n v="2"/>
    <n v="6"/>
  </r>
  <r>
    <n v="143"/>
    <n v="68"/>
    <x v="0"/>
    <x v="1"/>
    <s v="Widowed"/>
    <x v="0"/>
    <x v="0"/>
    <n v="13"/>
    <x v="1"/>
    <n v="343.27"/>
    <n v="171.63499999999999"/>
    <n v="2"/>
    <n v="1"/>
    <x v="0"/>
    <n v="0"/>
    <n v="1"/>
    <n v="0"/>
    <n v="298"/>
    <n v="1"/>
    <n v="1"/>
    <n v="1"/>
    <n v="3"/>
  </r>
  <r>
    <n v="144"/>
    <n v="45"/>
    <x v="3"/>
    <x v="1"/>
    <s v="Married"/>
    <x v="0"/>
    <x v="1"/>
    <n v="39"/>
    <x v="2"/>
    <n v="419.85"/>
    <n v="419.85"/>
    <n v="1"/>
    <n v="1"/>
    <x v="0"/>
    <n v="0"/>
    <n v="1"/>
    <n v="0"/>
    <n v="65"/>
    <n v="2"/>
    <n v="1"/>
    <n v="1"/>
    <n v="4"/>
  </r>
  <r>
    <n v="145"/>
    <n v="32"/>
    <x v="3"/>
    <x v="1"/>
    <s v="Married"/>
    <x v="2"/>
    <x v="0"/>
    <n v="16"/>
    <x v="2"/>
    <n v="1768.7"/>
    <n v="353.74"/>
    <n v="5"/>
    <n v="2"/>
    <x v="1"/>
    <n v="1"/>
    <n v="0"/>
    <n v="1"/>
    <n v="13"/>
    <n v="3"/>
    <n v="2"/>
    <n v="3"/>
    <n v="8"/>
  </r>
  <r>
    <n v="146"/>
    <n v="59"/>
    <x v="2"/>
    <x v="1"/>
    <s v="Divorced"/>
    <x v="0"/>
    <x v="0"/>
    <n v="8"/>
    <x v="0"/>
    <n v="1373.73"/>
    <n v="274.74599999999998"/>
    <n v="5"/>
    <n v="0"/>
    <x v="0"/>
    <n v="0"/>
    <n v="0"/>
    <n v="0"/>
    <n v="7"/>
    <n v="3"/>
    <n v="2"/>
    <n v="2"/>
    <n v="7"/>
  </r>
  <r>
    <n v="147"/>
    <n v="19"/>
    <x v="1"/>
    <x v="1"/>
    <s v="Widowed"/>
    <x v="2"/>
    <x v="0"/>
    <n v="34"/>
    <x v="0"/>
    <n v="2260.34"/>
    <n v="282.54250000000002"/>
    <n v="8"/>
    <n v="2"/>
    <x v="1"/>
    <n v="1"/>
    <n v="0"/>
    <n v="1"/>
    <n v="34"/>
    <n v="2"/>
    <n v="3"/>
    <n v="3"/>
    <n v="8"/>
  </r>
  <r>
    <n v="148"/>
    <n v="54"/>
    <x v="2"/>
    <x v="1"/>
    <s v="Married"/>
    <x v="1"/>
    <x v="0"/>
    <n v="29"/>
    <x v="1"/>
    <n v="13.04"/>
    <n v="13.04"/>
    <n v="1"/>
    <n v="2"/>
    <x v="1"/>
    <n v="1"/>
    <n v="1"/>
    <n v="0"/>
    <n v="28"/>
    <n v="3"/>
    <n v="1"/>
    <n v="1"/>
    <n v="5"/>
  </r>
  <r>
    <n v="149"/>
    <n v="28"/>
    <x v="1"/>
    <x v="0"/>
    <s v="Single"/>
    <x v="1"/>
    <x v="0"/>
    <n v="6"/>
    <x v="2"/>
    <n v="444.84"/>
    <n v="444.84"/>
    <n v="1"/>
    <n v="1"/>
    <x v="0"/>
    <n v="1"/>
    <n v="0"/>
    <n v="0"/>
    <n v="247"/>
    <n v="1"/>
    <n v="1"/>
    <n v="1"/>
    <n v="3"/>
  </r>
  <r>
    <n v="150"/>
    <n v="40"/>
    <x v="3"/>
    <x v="1"/>
    <s v="Widowed"/>
    <x v="1"/>
    <x v="0"/>
    <n v="38"/>
    <x v="0"/>
    <n v="1193.26"/>
    <n v="149.1575"/>
    <n v="8"/>
    <n v="0"/>
    <x v="0"/>
    <n v="0"/>
    <n v="0"/>
    <n v="0"/>
    <n v="18"/>
    <n v="3"/>
    <n v="3"/>
    <n v="2"/>
    <n v="8"/>
  </r>
  <r>
    <n v="151"/>
    <n v="61"/>
    <x v="0"/>
    <x v="0"/>
    <s v="Single"/>
    <x v="1"/>
    <x v="0"/>
    <n v="36"/>
    <x v="0"/>
    <n v="334.2"/>
    <n v="334.2"/>
    <n v="1"/>
    <n v="2"/>
    <x v="1"/>
    <n v="0"/>
    <n v="1"/>
    <n v="1"/>
    <n v="11"/>
    <n v="3"/>
    <n v="1"/>
    <n v="1"/>
    <n v="5"/>
  </r>
  <r>
    <n v="152"/>
    <n v="58"/>
    <x v="2"/>
    <x v="1"/>
    <s v="Married"/>
    <x v="2"/>
    <x v="0"/>
    <n v="48"/>
    <x v="0"/>
    <n v="1448.8000000000002"/>
    <n v="206.97142857142859"/>
    <n v="7"/>
    <n v="0"/>
    <x v="0"/>
    <n v="0"/>
    <n v="0"/>
    <n v="0"/>
    <n v="18"/>
    <n v="3"/>
    <n v="2"/>
    <n v="2"/>
    <n v="7"/>
  </r>
  <r>
    <n v="153"/>
    <n v="29"/>
    <x v="1"/>
    <x v="0"/>
    <s v="Married"/>
    <x v="0"/>
    <x v="0"/>
    <n v="42"/>
    <x v="2"/>
    <n v="1735.1599999999999"/>
    <n v="347.03199999999998"/>
    <n v="5"/>
    <n v="1"/>
    <x v="1"/>
    <n v="1"/>
    <n v="0"/>
    <n v="0"/>
    <n v="82"/>
    <n v="2"/>
    <n v="2"/>
    <n v="3"/>
    <n v="7"/>
  </r>
  <r>
    <n v="154"/>
    <n v="20"/>
    <x v="1"/>
    <x v="1"/>
    <s v="Divorced"/>
    <x v="2"/>
    <x v="0"/>
    <n v="26"/>
    <x v="0"/>
    <n v="1753.55"/>
    <n v="250.50714285714284"/>
    <n v="7"/>
    <n v="0"/>
    <x v="0"/>
    <n v="0"/>
    <n v="0"/>
    <n v="0"/>
    <n v="139"/>
    <n v="1"/>
    <n v="2"/>
    <n v="3"/>
    <n v="6"/>
  </r>
  <r>
    <n v="155"/>
    <n v="69"/>
    <x v="0"/>
    <x v="0"/>
    <s v="Divorced"/>
    <x v="0"/>
    <x v="0"/>
    <n v="18"/>
    <x v="1"/>
    <n v="1883.08"/>
    <n v="235.38499999999999"/>
    <n v="8"/>
    <n v="2"/>
    <x v="0"/>
    <n v="1"/>
    <n v="0"/>
    <n v="0"/>
    <n v="73"/>
    <n v="2"/>
    <n v="3"/>
    <n v="3"/>
    <n v="8"/>
  </r>
  <r>
    <n v="156"/>
    <n v="34"/>
    <x v="3"/>
    <x v="1"/>
    <s v="Widowed"/>
    <x v="2"/>
    <x v="0"/>
    <n v="11"/>
    <x v="0"/>
    <n v="702.92"/>
    <n v="100.41714285714285"/>
    <n v="7"/>
    <n v="0"/>
    <x v="0"/>
    <n v="0"/>
    <n v="0"/>
    <n v="0"/>
    <n v="189"/>
    <n v="1"/>
    <n v="2"/>
    <n v="1"/>
    <n v="4"/>
  </r>
  <r>
    <n v="157"/>
    <n v="50"/>
    <x v="2"/>
    <x v="0"/>
    <s v="Married"/>
    <x v="0"/>
    <x v="0"/>
    <n v="27"/>
    <x v="0"/>
    <n v="2412.6800000000003"/>
    <n v="344.66857142857145"/>
    <n v="7"/>
    <n v="0"/>
    <x v="0"/>
    <n v="0"/>
    <n v="0"/>
    <n v="0"/>
    <n v="52"/>
    <n v="2"/>
    <n v="2"/>
    <n v="3"/>
    <n v="7"/>
  </r>
  <r>
    <n v="158"/>
    <n v="18"/>
    <x v="1"/>
    <x v="1"/>
    <s v="Married"/>
    <x v="0"/>
    <x v="0"/>
    <n v="30"/>
    <x v="2"/>
    <n v="1471.29"/>
    <n v="210.18428571428572"/>
    <n v="7"/>
    <n v="0"/>
    <x v="0"/>
    <n v="0"/>
    <n v="0"/>
    <n v="0"/>
    <n v="71"/>
    <n v="2"/>
    <n v="2"/>
    <n v="2"/>
    <n v="6"/>
  </r>
  <r>
    <n v="159"/>
    <n v="56"/>
    <x v="2"/>
    <x v="0"/>
    <s v="Married"/>
    <x v="2"/>
    <x v="0"/>
    <n v="18"/>
    <x v="1"/>
    <n v="25.75"/>
    <n v="25.75"/>
    <n v="1"/>
    <n v="2"/>
    <x v="1"/>
    <n v="1"/>
    <n v="1"/>
    <n v="0"/>
    <n v="276"/>
    <n v="1"/>
    <n v="1"/>
    <n v="1"/>
    <n v="3"/>
  </r>
  <r>
    <n v="160"/>
    <n v="37"/>
    <x v="3"/>
    <x v="0"/>
    <s v="Married"/>
    <x v="1"/>
    <x v="1"/>
    <n v="43"/>
    <x v="2"/>
    <n v="2053.13"/>
    <n v="256.64125000000001"/>
    <n v="8"/>
    <n v="2"/>
    <x v="1"/>
    <n v="1"/>
    <n v="1"/>
    <n v="0"/>
    <n v="18"/>
    <n v="3"/>
    <n v="3"/>
    <n v="3"/>
    <n v="9"/>
  </r>
  <r>
    <n v="161"/>
    <n v="64"/>
    <x v="0"/>
    <x v="0"/>
    <s v="Single"/>
    <x v="2"/>
    <x v="0"/>
    <n v="4"/>
    <x v="0"/>
    <n v="1983.84"/>
    <n v="330.64"/>
    <n v="6"/>
    <n v="1"/>
    <x v="1"/>
    <n v="1"/>
    <n v="0"/>
    <n v="0"/>
    <n v="121"/>
    <n v="1"/>
    <n v="2"/>
    <n v="3"/>
    <n v="6"/>
  </r>
  <r>
    <n v="162"/>
    <n v="60"/>
    <x v="2"/>
    <x v="1"/>
    <s v="Married"/>
    <x v="1"/>
    <x v="0"/>
    <n v="6"/>
    <x v="0"/>
    <n v="425.88000000000005"/>
    <n v="141.96"/>
    <n v="3"/>
    <n v="2"/>
    <x v="1"/>
    <n v="1"/>
    <n v="0"/>
    <n v="1"/>
    <n v="137"/>
    <n v="1"/>
    <n v="2"/>
    <n v="1"/>
    <n v="4"/>
  </r>
  <r>
    <n v="163"/>
    <n v="69"/>
    <x v="0"/>
    <x v="0"/>
    <s v="Divorced"/>
    <x v="2"/>
    <x v="0"/>
    <n v="22"/>
    <x v="0"/>
    <n v="1064.8799999999999"/>
    <n v="354.96"/>
    <n v="3"/>
    <n v="2"/>
    <x v="1"/>
    <n v="0"/>
    <n v="1"/>
    <n v="1"/>
    <n v="24"/>
    <n v="3"/>
    <n v="2"/>
    <n v="2"/>
    <n v="7"/>
  </r>
  <r>
    <n v="164"/>
    <n v="58"/>
    <x v="2"/>
    <x v="1"/>
    <s v="Widowed"/>
    <x v="0"/>
    <x v="1"/>
    <n v="2"/>
    <x v="1"/>
    <n v="955.49"/>
    <n v="191.09800000000001"/>
    <n v="5"/>
    <n v="1"/>
    <x v="0"/>
    <n v="0"/>
    <n v="0"/>
    <n v="1"/>
    <n v="73"/>
    <n v="2"/>
    <n v="2"/>
    <n v="2"/>
    <n v="6"/>
  </r>
  <r>
    <n v="165"/>
    <n v="31"/>
    <x v="3"/>
    <x v="1"/>
    <s v="Widowed"/>
    <x v="1"/>
    <x v="0"/>
    <n v="47"/>
    <x v="0"/>
    <n v="181.34"/>
    <n v="181.34"/>
    <n v="1"/>
    <n v="0"/>
    <x v="0"/>
    <n v="0"/>
    <n v="0"/>
    <n v="0"/>
    <n v="85"/>
    <n v="1"/>
    <n v="1"/>
    <n v="1"/>
    <n v="3"/>
  </r>
  <r>
    <n v="166"/>
    <n v="48"/>
    <x v="2"/>
    <x v="1"/>
    <s v="Widowed"/>
    <x v="0"/>
    <x v="0"/>
    <n v="48"/>
    <x v="2"/>
    <n v="1241.5"/>
    <n v="248.3"/>
    <n v="5"/>
    <n v="1"/>
    <x v="0"/>
    <n v="0"/>
    <n v="0"/>
    <n v="1"/>
    <n v="23"/>
    <n v="3"/>
    <n v="2"/>
    <n v="2"/>
    <n v="7"/>
  </r>
  <r>
    <n v="167"/>
    <n v="42"/>
    <x v="3"/>
    <x v="1"/>
    <s v="Single"/>
    <x v="0"/>
    <x v="0"/>
    <n v="40"/>
    <x v="1"/>
    <n v="2356.3500000000004"/>
    <n v="294.54375000000005"/>
    <n v="8"/>
    <n v="1"/>
    <x v="0"/>
    <n v="0"/>
    <n v="0"/>
    <n v="1"/>
    <n v="4"/>
    <n v="3"/>
    <n v="3"/>
    <n v="3"/>
    <n v="9"/>
  </r>
  <r>
    <n v="168"/>
    <n v="20"/>
    <x v="1"/>
    <x v="0"/>
    <s v="Married"/>
    <x v="0"/>
    <x v="1"/>
    <n v="32"/>
    <x v="1"/>
    <n v="1126.93"/>
    <n v="281.73250000000002"/>
    <n v="4"/>
    <n v="2"/>
    <x v="1"/>
    <n v="1"/>
    <n v="0"/>
    <n v="0"/>
    <n v="224"/>
    <n v="1"/>
    <n v="2"/>
    <n v="2"/>
    <n v="5"/>
  </r>
  <r>
    <n v="169"/>
    <n v="21"/>
    <x v="1"/>
    <x v="1"/>
    <s v="Widowed"/>
    <x v="2"/>
    <x v="0"/>
    <n v="39"/>
    <x v="0"/>
    <n v="2164.75"/>
    <n v="240.52777777777777"/>
    <n v="9"/>
    <n v="1"/>
    <x v="1"/>
    <n v="0"/>
    <n v="1"/>
    <n v="0"/>
    <n v="16"/>
    <n v="3"/>
    <n v="3"/>
    <n v="3"/>
    <n v="9"/>
  </r>
  <r>
    <n v="170"/>
    <n v="48"/>
    <x v="2"/>
    <x v="0"/>
    <s v="Divorced"/>
    <x v="0"/>
    <x v="1"/>
    <n v="21"/>
    <x v="1"/>
    <n v="1448.33"/>
    <n v="206.90428571428569"/>
    <n v="7"/>
    <n v="1"/>
    <x v="1"/>
    <n v="0"/>
    <n v="1"/>
    <n v="0"/>
    <n v="9"/>
    <n v="3"/>
    <n v="2"/>
    <n v="2"/>
    <n v="7"/>
  </r>
  <r>
    <n v="171"/>
    <n v="52"/>
    <x v="2"/>
    <x v="1"/>
    <s v="Single"/>
    <x v="2"/>
    <x v="0"/>
    <n v="8"/>
    <x v="0"/>
    <n v="2532.71"/>
    <n v="361.81571428571431"/>
    <n v="7"/>
    <n v="1"/>
    <x v="0"/>
    <n v="0"/>
    <n v="0"/>
    <n v="1"/>
    <n v="101"/>
    <n v="1"/>
    <n v="2"/>
    <n v="3"/>
    <n v="6"/>
  </r>
  <r>
    <n v="172"/>
    <n v="61"/>
    <x v="0"/>
    <x v="0"/>
    <s v="Married"/>
    <x v="1"/>
    <x v="0"/>
    <n v="25"/>
    <x v="1"/>
    <n v="1972.76"/>
    <n v="328.79333333333335"/>
    <n v="6"/>
    <n v="2"/>
    <x v="1"/>
    <n v="1"/>
    <n v="1"/>
    <n v="0"/>
    <n v="35"/>
    <n v="2"/>
    <n v="2"/>
    <n v="3"/>
    <n v="7"/>
  </r>
  <r>
    <n v="173"/>
    <n v="31"/>
    <x v="3"/>
    <x v="1"/>
    <s v="Married"/>
    <x v="0"/>
    <x v="0"/>
    <n v="41"/>
    <x v="0"/>
    <n v="606.09"/>
    <n v="202.03"/>
    <n v="3"/>
    <n v="1"/>
    <x v="0"/>
    <n v="0"/>
    <n v="1"/>
    <n v="0"/>
    <n v="82"/>
    <n v="2"/>
    <n v="2"/>
    <n v="1"/>
    <n v="5"/>
  </r>
  <r>
    <n v="174"/>
    <n v="66"/>
    <x v="0"/>
    <x v="1"/>
    <s v="Married"/>
    <x v="1"/>
    <x v="1"/>
    <n v="36"/>
    <x v="0"/>
    <n v="1801.4599999999998"/>
    <n v="257.35142857142853"/>
    <n v="7"/>
    <n v="1"/>
    <x v="1"/>
    <n v="1"/>
    <n v="0"/>
    <n v="0"/>
    <n v="23"/>
    <n v="3"/>
    <n v="2"/>
    <n v="3"/>
    <n v="8"/>
  </r>
  <r>
    <n v="175"/>
    <n v="58"/>
    <x v="2"/>
    <x v="0"/>
    <s v="Married"/>
    <x v="1"/>
    <x v="0"/>
    <n v="4"/>
    <x v="1"/>
    <n v="1218.8999999999999"/>
    <n v="174.12857142857141"/>
    <n v="7"/>
    <n v="2"/>
    <x v="1"/>
    <n v="0"/>
    <n v="1"/>
    <n v="0"/>
    <n v="62"/>
    <n v="2"/>
    <n v="2"/>
    <n v="2"/>
    <n v="6"/>
  </r>
  <r>
    <n v="176"/>
    <n v="26"/>
    <x v="1"/>
    <x v="1"/>
    <s v="Single"/>
    <x v="2"/>
    <x v="1"/>
    <n v="15"/>
    <x v="1"/>
    <n v="936.78"/>
    <n v="156.13"/>
    <n v="6"/>
    <n v="0"/>
    <x v="0"/>
    <n v="0"/>
    <n v="0"/>
    <n v="0"/>
    <n v="13"/>
    <n v="3"/>
    <n v="2"/>
    <n v="2"/>
    <n v="7"/>
  </r>
  <r>
    <n v="177"/>
    <n v="37"/>
    <x v="3"/>
    <x v="1"/>
    <s v="Divorced"/>
    <x v="1"/>
    <x v="0"/>
    <n v="28"/>
    <x v="1"/>
    <n v="429.79"/>
    <n v="429.79"/>
    <n v="1"/>
    <n v="1"/>
    <x v="1"/>
    <n v="0"/>
    <n v="1"/>
    <n v="0"/>
    <n v="110"/>
    <n v="1"/>
    <n v="1"/>
    <n v="1"/>
    <n v="3"/>
  </r>
  <r>
    <n v="178"/>
    <n v="49"/>
    <x v="2"/>
    <x v="1"/>
    <s v="Married"/>
    <x v="2"/>
    <x v="0"/>
    <n v="20"/>
    <x v="1"/>
    <n v="741.63"/>
    <n v="247.21"/>
    <n v="3"/>
    <n v="0"/>
    <x v="0"/>
    <n v="0"/>
    <n v="0"/>
    <n v="0"/>
    <n v="16"/>
    <n v="3"/>
    <n v="2"/>
    <n v="1"/>
    <n v="6"/>
  </r>
  <r>
    <n v="179"/>
    <n v="26"/>
    <x v="1"/>
    <x v="1"/>
    <s v="Single"/>
    <x v="2"/>
    <x v="0"/>
    <n v="38"/>
    <x v="1"/>
    <n v="412.58000000000004"/>
    <n v="206.29000000000002"/>
    <n v="2"/>
    <n v="0"/>
    <x v="0"/>
    <n v="0"/>
    <n v="0"/>
    <n v="0"/>
    <n v="312"/>
    <n v="1"/>
    <n v="1"/>
    <n v="1"/>
    <n v="3"/>
  </r>
  <r>
    <n v="180"/>
    <n v="44"/>
    <x v="3"/>
    <x v="1"/>
    <s v="Single"/>
    <x v="1"/>
    <x v="0"/>
    <n v="6"/>
    <x v="2"/>
    <n v="1985.9300000000003"/>
    <n v="283.70428571428573"/>
    <n v="7"/>
    <n v="0"/>
    <x v="0"/>
    <n v="0"/>
    <n v="0"/>
    <n v="0"/>
    <n v="19"/>
    <n v="3"/>
    <n v="2"/>
    <n v="3"/>
    <n v="8"/>
  </r>
  <r>
    <n v="181"/>
    <n v="20"/>
    <x v="1"/>
    <x v="1"/>
    <s v="Divorced"/>
    <x v="1"/>
    <x v="0"/>
    <n v="30"/>
    <x v="0"/>
    <n v="715.68000000000006"/>
    <n v="357.84000000000003"/>
    <n v="2"/>
    <n v="0"/>
    <x v="0"/>
    <n v="0"/>
    <n v="0"/>
    <n v="0"/>
    <n v="20"/>
    <n v="3"/>
    <n v="1"/>
    <n v="1"/>
    <n v="5"/>
  </r>
  <r>
    <n v="182"/>
    <n v="21"/>
    <x v="1"/>
    <x v="1"/>
    <s v="Single"/>
    <x v="1"/>
    <x v="0"/>
    <n v="32"/>
    <x v="2"/>
    <n v="1491.65"/>
    <n v="298.33000000000004"/>
    <n v="5"/>
    <n v="2"/>
    <x v="0"/>
    <n v="0"/>
    <n v="1"/>
    <n v="0"/>
    <n v="69"/>
    <n v="2"/>
    <n v="2"/>
    <n v="2"/>
    <n v="6"/>
  </r>
  <r>
    <n v="183"/>
    <n v="62"/>
    <x v="0"/>
    <x v="1"/>
    <s v="Single"/>
    <x v="2"/>
    <x v="1"/>
    <n v="49"/>
    <x v="2"/>
    <n v="1135.44"/>
    <n v="378.48"/>
    <n v="3"/>
    <n v="1"/>
    <x v="0"/>
    <n v="0"/>
    <n v="1"/>
    <n v="0"/>
    <n v="69"/>
    <n v="2"/>
    <n v="2"/>
    <n v="2"/>
    <n v="6"/>
  </r>
  <r>
    <n v="184"/>
    <n v="32"/>
    <x v="3"/>
    <x v="0"/>
    <s v="Widowed"/>
    <x v="2"/>
    <x v="0"/>
    <n v="41"/>
    <x v="2"/>
    <n v="97.19"/>
    <n v="48.594999999999999"/>
    <n v="2"/>
    <n v="0"/>
    <x v="0"/>
    <n v="0"/>
    <n v="0"/>
    <n v="0"/>
    <n v="96"/>
    <n v="1"/>
    <n v="1"/>
    <n v="1"/>
    <n v="3"/>
  </r>
  <r>
    <n v="185"/>
    <n v="50"/>
    <x v="2"/>
    <x v="1"/>
    <s v="Widowed"/>
    <x v="1"/>
    <x v="0"/>
    <n v="4"/>
    <x v="2"/>
    <n v="1284.8900000000001"/>
    <n v="214.14833333333334"/>
    <n v="6"/>
    <n v="2"/>
    <x v="0"/>
    <n v="1"/>
    <n v="1"/>
    <n v="0"/>
    <n v="14"/>
    <n v="3"/>
    <n v="2"/>
    <n v="2"/>
    <n v="7"/>
  </r>
  <r>
    <n v="186"/>
    <n v="22"/>
    <x v="1"/>
    <x v="0"/>
    <s v="Divorced"/>
    <x v="2"/>
    <x v="0"/>
    <n v="35"/>
    <x v="0"/>
    <n v="460.87"/>
    <n v="153.62333333333333"/>
    <n v="3"/>
    <n v="0"/>
    <x v="0"/>
    <n v="0"/>
    <n v="0"/>
    <n v="0"/>
    <n v="200"/>
    <n v="1"/>
    <n v="2"/>
    <n v="1"/>
    <n v="4"/>
  </r>
  <r>
    <n v="187"/>
    <n v="21"/>
    <x v="1"/>
    <x v="1"/>
    <s v="Widowed"/>
    <x v="1"/>
    <x v="0"/>
    <n v="30"/>
    <x v="0"/>
    <n v="513.26"/>
    <n v="256.63"/>
    <n v="2"/>
    <n v="2"/>
    <x v="0"/>
    <n v="1"/>
    <n v="0"/>
    <n v="1"/>
    <n v="50"/>
    <n v="2"/>
    <n v="1"/>
    <n v="1"/>
    <n v="4"/>
  </r>
  <r>
    <n v="188"/>
    <n v="63"/>
    <x v="0"/>
    <x v="0"/>
    <s v="Single"/>
    <x v="2"/>
    <x v="0"/>
    <n v="49"/>
    <x v="0"/>
    <n v="1768.2500000000002"/>
    <n v="294.70833333333337"/>
    <n v="6"/>
    <n v="2"/>
    <x v="1"/>
    <n v="0"/>
    <n v="1"/>
    <n v="1"/>
    <n v="30"/>
    <n v="2"/>
    <n v="2"/>
    <n v="3"/>
    <n v="7"/>
  </r>
  <r>
    <n v="189"/>
    <n v="29"/>
    <x v="1"/>
    <x v="0"/>
    <s v="Single"/>
    <x v="2"/>
    <x v="0"/>
    <n v="41"/>
    <x v="0"/>
    <n v="574.46999999999991"/>
    <n v="191.48999999999998"/>
    <n v="3"/>
    <n v="2"/>
    <x v="1"/>
    <n v="0"/>
    <n v="1"/>
    <n v="1"/>
    <n v="180"/>
    <n v="1"/>
    <n v="2"/>
    <n v="1"/>
    <n v="4"/>
  </r>
  <r>
    <n v="190"/>
    <n v="40"/>
    <x v="3"/>
    <x v="0"/>
    <s v="Divorced"/>
    <x v="0"/>
    <x v="1"/>
    <n v="22"/>
    <x v="1"/>
    <n v="1417.97"/>
    <n v="202.56714285714287"/>
    <n v="7"/>
    <n v="1"/>
    <x v="1"/>
    <n v="0"/>
    <n v="1"/>
    <n v="0"/>
    <n v="59"/>
    <n v="2"/>
    <n v="2"/>
    <n v="2"/>
    <n v="6"/>
  </r>
  <r>
    <n v="191"/>
    <n v="31"/>
    <x v="3"/>
    <x v="1"/>
    <s v="Single"/>
    <x v="0"/>
    <x v="0"/>
    <n v="2"/>
    <x v="1"/>
    <n v="1942.6499999999996"/>
    <n v="277.52142857142854"/>
    <n v="7"/>
    <n v="2"/>
    <x v="1"/>
    <n v="0"/>
    <n v="1"/>
    <n v="1"/>
    <n v="46"/>
    <n v="2"/>
    <n v="2"/>
    <n v="3"/>
    <n v="7"/>
  </r>
  <r>
    <n v="192"/>
    <n v="63"/>
    <x v="0"/>
    <x v="1"/>
    <s v="Divorced"/>
    <x v="1"/>
    <x v="0"/>
    <n v="12"/>
    <x v="1"/>
    <n v="1172.53"/>
    <n v="390.84333333333331"/>
    <n v="3"/>
    <n v="2"/>
    <x v="1"/>
    <n v="1"/>
    <n v="0"/>
    <n v="1"/>
    <n v="23"/>
    <n v="3"/>
    <n v="2"/>
    <n v="2"/>
    <n v="7"/>
  </r>
  <r>
    <n v="193"/>
    <n v="29"/>
    <x v="1"/>
    <x v="0"/>
    <s v="Widowed"/>
    <x v="0"/>
    <x v="0"/>
    <n v="34"/>
    <x v="1"/>
    <n v="270.33999999999997"/>
    <n v="270.33999999999997"/>
    <n v="1"/>
    <n v="2"/>
    <x v="1"/>
    <n v="0"/>
    <n v="1"/>
    <n v="1"/>
    <n v="155"/>
    <n v="1"/>
    <n v="1"/>
    <n v="1"/>
    <n v="3"/>
  </r>
  <r>
    <n v="194"/>
    <n v="34"/>
    <x v="3"/>
    <x v="1"/>
    <s v="Widowed"/>
    <x v="2"/>
    <x v="0"/>
    <n v="34"/>
    <x v="1"/>
    <n v="1388.97"/>
    <n v="277.79399999999998"/>
    <n v="5"/>
    <n v="0"/>
    <x v="0"/>
    <n v="0"/>
    <n v="0"/>
    <n v="0"/>
    <n v="110"/>
    <n v="1"/>
    <n v="2"/>
    <n v="2"/>
    <n v="5"/>
  </r>
  <r>
    <n v="195"/>
    <n v="42"/>
    <x v="3"/>
    <x v="1"/>
    <s v="Married"/>
    <x v="1"/>
    <x v="0"/>
    <n v="14"/>
    <x v="1"/>
    <n v="1711.71"/>
    <n v="285.28500000000003"/>
    <n v="6"/>
    <n v="2"/>
    <x v="1"/>
    <n v="0"/>
    <n v="1"/>
    <n v="1"/>
    <n v="175"/>
    <n v="1"/>
    <n v="2"/>
    <n v="3"/>
    <n v="6"/>
  </r>
  <r>
    <n v="196"/>
    <n v="47"/>
    <x v="2"/>
    <x v="0"/>
    <s v="Widowed"/>
    <x v="0"/>
    <x v="0"/>
    <n v="39"/>
    <x v="1"/>
    <n v="2134.16"/>
    <n v="266.77"/>
    <n v="8"/>
    <n v="2"/>
    <x v="1"/>
    <n v="1"/>
    <n v="1"/>
    <n v="0"/>
    <n v="9"/>
    <n v="3"/>
    <n v="3"/>
    <n v="3"/>
    <n v="9"/>
  </r>
  <r>
    <n v="197"/>
    <n v="39"/>
    <x v="3"/>
    <x v="1"/>
    <s v="Married"/>
    <x v="1"/>
    <x v="1"/>
    <n v="39"/>
    <x v="2"/>
    <n v="925.43000000000006"/>
    <n v="231.35750000000002"/>
    <n v="4"/>
    <n v="2"/>
    <x v="1"/>
    <n v="1"/>
    <n v="1"/>
    <n v="0"/>
    <n v="23"/>
    <n v="3"/>
    <n v="2"/>
    <n v="2"/>
    <n v="7"/>
  </r>
  <r>
    <n v="198"/>
    <n v="64"/>
    <x v="0"/>
    <x v="0"/>
    <s v="Married"/>
    <x v="1"/>
    <x v="0"/>
    <n v="45"/>
    <x v="2"/>
    <n v="1461.2499999999998"/>
    <n v="208.74999999999997"/>
    <n v="7"/>
    <n v="0"/>
    <x v="0"/>
    <n v="0"/>
    <n v="0"/>
    <n v="0"/>
    <n v="38"/>
    <n v="2"/>
    <n v="2"/>
    <n v="2"/>
    <n v="6"/>
  </r>
  <r>
    <n v="199"/>
    <n v="43"/>
    <x v="3"/>
    <x v="0"/>
    <s v="Married"/>
    <x v="2"/>
    <x v="0"/>
    <n v="6"/>
    <x v="1"/>
    <n v="1270.25"/>
    <n v="211.70833333333334"/>
    <n v="6"/>
    <n v="2"/>
    <x v="1"/>
    <n v="1"/>
    <n v="0"/>
    <n v="1"/>
    <n v="40"/>
    <n v="2"/>
    <n v="2"/>
    <n v="2"/>
    <n v="6"/>
  </r>
  <r>
    <n v="200"/>
    <n v="34"/>
    <x v="3"/>
    <x v="1"/>
    <s v="Single"/>
    <x v="0"/>
    <x v="0"/>
    <n v="8"/>
    <x v="2"/>
    <n v="1702.06"/>
    <n v="283.67666666666668"/>
    <n v="6"/>
    <n v="2"/>
    <x v="0"/>
    <n v="1"/>
    <n v="1"/>
    <n v="0"/>
    <n v="57"/>
    <n v="2"/>
    <n v="2"/>
    <n v="3"/>
    <n v="7"/>
  </r>
  <r>
    <n v="201"/>
    <n v="37"/>
    <x v="3"/>
    <x v="0"/>
    <s v="Married"/>
    <x v="2"/>
    <x v="1"/>
    <n v="27"/>
    <x v="2"/>
    <n v="956.57999999999993"/>
    <n v="318.85999999999996"/>
    <n v="3"/>
    <n v="2"/>
    <x v="1"/>
    <n v="0"/>
    <n v="1"/>
    <n v="1"/>
    <n v="290"/>
    <n v="1"/>
    <n v="2"/>
    <n v="2"/>
    <n v="5"/>
  </r>
  <r>
    <n v="202"/>
    <n v="51"/>
    <x v="2"/>
    <x v="1"/>
    <s v="Widowed"/>
    <x v="1"/>
    <x v="0"/>
    <n v="12"/>
    <x v="0"/>
    <n v="336.18"/>
    <n v="336.18"/>
    <n v="1"/>
    <n v="2"/>
    <x v="0"/>
    <n v="0"/>
    <n v="1"/>
    <n v="1"/>
    <n v="200"/>
    <n v="1"/>
    <n v="1"/>
    <n v="1"/>
    <n v="3"/>
  </r>
  <r>
    <n v="203"/>
    <n v="58"/>
    <x v="2"/>
    <x v="1"/>
    <s v="Divorced"/>
    <x v="1"/>
    <x v="0"/>
    <n v="21"/>
    <x v="1"/>
    <n v="1767.8999999999996"/>
    <n v="294.64999999999992"/>
    <n v="6"/>
    <n v="2"/>
    <x v="0"/>
    <n v="1"/>
    <n v="0"/>
    <n v="0"/>
    <n v="13"/>
    <n v="3"/>
    <n v="2"/>
    <n v="3"/>
    <n v="8"/>
  </r>
  <r>
    <n v="204"/>
    <n v="50"/>
    <x v="2"/>
    <x v="1"/>
    <s v="Widowed"/>
    <x v="1"/>
    <x v="0"/>
    <n v="38"/>
    <x v="2"/>
    <n v="454.14"/>
    <n v="227.07"/>
    <n v="2"/>
    <n v="2"/>
    <x v="1"/>
    <n v="0"/>
    <n v="0"/>
    <n v="1"/>
    <n v="138"/>
    <n v="1"/>
    <n v="1"/>
    <n v="1"/>
    <n v="3"/>
  </r>
  <r>
    <n v="205"/>
    <n v="54"/>
    <x v="2"/>
    <x v="1"/>
    <s v="Divorced"/>
    <x v="0"/>
    <x v="0"/>
    <n v="4"/>
    <x v="0"/>
    <n v="741.96999999999991"/>
    <n v="185.49249999999998"/>
    <n v="4"/>
    <n v="0"/>
    <x v="0"/>
    <n v="0"/>
    <n v="0"/>
    <n v="0"/>
    <n v="7"/>
    <n v="3"/>
    <n v="2"/>
    <n v="1"/>
    <n v="6"/>
  </r>
  <r>
    <n v="206"/>
    <n v="24"/>
    <x v="1"/>
    <x v="0"/>
    <s v="Widowed"/>
    <x v="2"/>
    <x v="0"/>
    <n v="25"/>
    <x v="0"/>
    <n v="99.58"/>
    <n v="99.58"/>
    <n v="1"/>
    <n v="0"/>
    <x v="0"/>
    <n v="0"/>
    <n v="0"/>
    <n v="0"/>
    <n v="109"/>
    <n v="1"/>
    <n v="1"/>
    <n v="1"/>
    <n v="3"/>
  </r>
  <r>
    <n v="207"/>
    <n v="39"/>
    <x v="3"/>
    <x v="1"/>
    <s v="Divorced"/>
    <x v="2"/>
    <x v="0"/>
    <n v="43"/>
    <x v="1"/>
    <n v="1799.1699999999998"/>
    <n v="224.89624999999998"/>
    <n v="8"/>
    <n v="0"/>
    <x v="0"/>
    <n v="0"/>
    <n v="0"/>
    <n v="0"/>
    <n v="35"/>
    <n v="2"/>
    <n v="3"/>
    <n v="3"/>
    <n v="8"/>
  </r>
  <r>
    <n v="208"/>
    <n v="49"/>
    <x v="2"/>
    <x v="1"/>
    <s v="Widowed"/>
    <x v="0"/>
    <x v="0"/>
    <n v="24"/>
    <x v="2"/>
    <n v="436.89"/>
    <n v="218.44499999999999"/>
    <n v="2"/>
    <n v="0"/>
    <x v="0"/>
    <n v="0"/>
    <n v="0"/>
    <n v="0"/>
    <n v="293"/>
    <n v="1"/>
    <n v="1"/>
    <n v="1"/>
    <n v="3"/>
  </r>
  <r>
    <n v="209"/>
    <n v="31"/>
    <x v="3"/>
    <x v="1"/>
    <s v="Divorced"/>
    <x v="2"/>
    <x v="0"/>
    <n v="12"/>
    <x v="0"/>
    <n v="1328.06"/>
    <n v="332.01499999999999"/>
    <n v="4"/>
    <n v="0"/>
    <x v="0"/>
    <n v="0"/>
    <n v="0"/>
    <n v="0"/>
    <n v="26"/>
    <n v="3"/>
    <n v="2"/>
    <n v="2"/>
    <n v="7"/>
  </r>
  <r>
    <n v="210"/>
    <n v="25"/>
    <x v="1"/>
    <x v="0"/>
    <s v="Married"/>
    <x v="2"/>
    <x v="0"/>
    <n v="29"/>
    <x v="2"/>
    <n v="1727.27"/>
    <n v="246.75285714285715"/>
    <n v="7"/>
    <n v="0"/>
    <x v="0"/>
    <n v="0"/>
    <n v="0"/>
    <n v="0"/>
    <n v="73"/>
    <n v="2"/>
    <n v="2"/>
    <n v="3"/>
    <n v="7"/>
  </r>
  <r>
    <n v="211"/>
    <n v="42"/>
    <x v="3"/>
    <x v="0"/>
    <s v="Divorced"/>
    <x v="1"/>
    <x v="0"/>
    <n v="35"/>
    <x v="2"/>
    <n v="1222.21"/>
    <n v="203.70166666666668"/>
    <n v="6"/>
    <n v="0"/>
    <x v="0"/>
    <n v="0"/>
    <n v="0"/>
    <n v="0"/>
    <n v="14"/>
    <n v="3"/>
    <n v="2"/>
    <n v="2"/>
    <n v="7"/>
  </r>
  <r>
    <n v="212"/>
    <n v="33"/>
    <x v="3"/>
    <x v="1"/>
    <s v="Married"/>
    <x v="1"/>
    <x v="0"/>
    <n v="37"/>
    <x v="1"/>
    <n v="1047.6100000000001"/>
    <n v="149.65857142857143"/>
    <n v="7"/>
    <n v="1"/>
    <x v="0"/>
    <n v="0"/>
    <n v="0"/>
    <n v="1"/>
    <n v="3"/>
    <n v="3"/>
    <n v="2"/>
    <n v="2"/>
    <n v="7"/>
  </r>
  <r>
    <n v="213"/>
    <n v="59"/>
    <x v="2"/>
    <x v="1"/>
    <s v="Widowed"/>
    <x v="1"/>
    <x v="1"/>
    <n v="30"/>
    <x v="1"/>
    <n v="2092.89"/>
    <n v="298.9842857142857"/>
    <n v="7"/>
    <n v="1"/>
    <x v="0"/>
    <n v="1"/>
    <n v="0"/>
    <n v="0"/>
    <n v="6"/>
    <n v="3"/>
    <n v="2"/>
    <n v="3"/>
    <n v="8"/>
  </r>
  <r>
    <n v="214"/>
    <n v="36"/>
    <x v="3"/>
    <x v="1"/>
    <s v="Divorced"/>
    <x v="0"/>
    <x v="0"/>
    <n v="41"/>
    <x v="2"/>
    <n v="734.1"/>
    <n v="367.05"/>
    <n v="2"/>
    <n v="0"/>
    <x v="0"/>
    <n v="0"/>
    <n v="0"/>
    <n v="0"/>
    <n v="295"/>
    <n v="1"/>
    <n v="1"/>
    <n v="1"/>
    <n v="3"/>
  </r>
  <r>
    <n v="215"/>
    <n v="58"/>
    <x v="2"/>
    <x v="1"/>
    <s v="Divorced"/>
    <x v="1"/>
    <x v="0"/>
    <n v="42"/>
    <x v="2"/>
    <n v="1343.6999999999998"/>
    <n v="223.94999999999996"/>
    <n v="6"/>
    <n v="2"/>
    <x v="1"/>
    <n v="1"/>
    <n v="1"/>
    <n v="0"/>
    <n v="16"/>
    <n v="3"/>
    <n v="2"/>
    <n v="2"/>
    <n v="7"/>
  </r>
  <r>
    <n v="216"/>
    <n v="33"/>
    <x v="3"/>
    <x v="1"/>
    <s v="Widowed"/>
    <x v="2"/>
    <x v="0"/>
    <n v="35"/>
    <x v="0"/>
    <n v="1570.8600000000001"/>
    <n v="314.17200000000003"/>
    <n v="5"/>
    <n v="2"/>
    <x v="0"/>
    <n v="0"/>
    <n v="0"/>
    <n v="1"/>
    <n v="74"/>
    <n v="2"/>
    <n v="2"/>
    <n v="2"/>
    <n v="6"/>
  </r>
  <r>
    <n v="217"/>
    <n v="29"/>
    <x v="1"/>
    <x v="0"/>
    <s v="Married"/>
    <x v="0"/>
    <x v="1"/>
    <n v="1"/>
    <x v="2"/>
    <n v="2576.7800000000002"/>
    <n v="322.09750000000003"/>
    <n v="8"/>
    <n v="1"/>
    <x v="1"/>
    <n v="0"/>
    <n v="0"/>
    <n v="1"/>
    <n v="36"/>
    <n v="2"/>
    <n v="3"/>
    <n v="3"/>
    <n v="8"/>
  </r>
  <r>
    <n v="218"/>
    <n v="56"/>
    <x v="2"/>
    <x v="1"/>
    <s v="Married"/>
    <x v="2"/>
    <x v="0"/>
    <n v="40"/>
    <x v="0"/>
    <n v="1766.57"/>
    <n v="252.36714285714285"/>
    <n v="7"/>
    <n v="0"/>
    <x v="0"/>
    <n v="0"/>
    <n v="0"/>
    <n v="0"/>
    <n v="13"/>
    <n v="3"/>
    <n v="2"/>
    <n v="3"/>
    <n v="8"/>
  </r>
  <r>
    <n v="219"/>
    <n v="65"/>
    <x v="0"/>
    <x v="0"/>
    <s v="Single"/>
    <x v="0"/>
    <x v="0"/>
    <n v="26"/>
    <x v="2"/>
    <n v="1624.32"/>
    <n v="406.08"/>
    <n v="4"/>
    <n v="0"/>
    <x v="0"/>
    <n v="0"/>
    <n v="0"/>
    <n v="0"/>
    <n v="86"/>
    <n v="1"/>
    <n v="2"/>
    <n v="3"/>
    <n v="6"/>
  </r>
  <r>
    <n v="220"/>
    <n v="47"/>
    <x v="2"/>
    <x v="0"/>
    <s v="Single"/>
    <x v="2"/>
    <x v="0"/>
    <n v="35"/>
    <x v="2"/>
    <n v="1030.46"/>
    <n v="343.48666666666668"/>
    <n v="3"/>
    <n v="0"/>
    <x v="0"/>
    <n v="0"/>
    <n v="0"/>
    <n v="0"/>
    <n v="158"/>
    <n v="1"/>
    <n v="2"/>
    <n v="2"/>
    <n v="5"/>
  </r>
  <r>
    <n v="221"/>
    <n v="19"/>
    <x v="1"/>
    <x v="1"/>
    <s v="Single"/>
    <x v="0"/>
    <x v="1"/>
    <n v="42"/>
    <x v="0"/>
    <n v="1277.29"/>
    <n v="319.32249999999999"/>
    <n v="4"/>
    <n v="1"/>
    <x v="0"/>
    <n v="1"/>
    <n v="0"/>
    <n v="0"/>
    <n v="241"/>
    <n v="1"/>
    <n v="2"/>
    <n v="2"/>
    <n v="5"/>
  </r>
  <r>
    <n v="222"/>
    <n v="49"/>
    <x v="2"/>
    <x v="0"/>
    <s v="Divorced"/>
    <x v="2"/>
    <x v="0"/>
    <n v="7"/>
    <x v="1"/>
    <n v="1702.45"/>
    <n v="243.20714285714286"/>
    <n v="7"/>
    <n v="0"/>
    <x v="0"/>
    <n v="0"/>
    <n v="0"/>
    <n v="0"/>
    <n v="19"/>
    <n v="3"/>
    <n v="2"/>
    <n v="3"/>
    <n v="8"/>
  </r>
  <r>
    <n v="223"/>
    <n v="62"/>
    <x v="0"/>
    <x v="1"/>
    <s v="Divorced"/>
    <x v="1"/>
    <x v="0"/>
    <n v="4"/>
    <x v="2"/>
    <n v="1736.26"/>
    <n v="289.37666666666667"/>
    <n v="6"/>
    <n v="1"/>
    <x v="0"/>
    <n v="0"/>
    <n v="1"/>
    <n v="0"/>
    <n v="49"/>
    <n v="2"/>
    <n v="2"/>
    <n v="3"/>
    <n v="7"/>
  </r>
  <r>
    <n v="224"/>
    <n v="42"/>
    <x v="3"/>
    <x v="0"/>
    <s v="Divorced"/>
    <x v="0"/>
    <x v="0"/>
    <n v="5"/>
    <x v="1"/>
    <n v="2520.3200000000002"/>
    <n v="315.04000000000002"/>
    <n v="8"/>
    <n v="0"/>
    <x v="0"/>
    <n v="0"/>
    <n v="0"/>
    <n v="0"/>
    <n v="39"/>
    <n v="2"/>
    <n v="3"/>
    <n v="3"/>
    <n v="8"/>
  </r>
  <r>
    <n v="225"/>
    <n v="42"/>
    <x v="3"/>
    <x v="0"/>
    <s v="Widowed"/>
    <x v="2"/>
    <x v="0"/>
    <n v="39"/>
    <x v="2"/>
    <n v="2650.2899999999995"/>
    <n v="331.28624999999994"/>
    <n v="8"/>
    <n v="2"/>
    <x v="1"/>
    <n v="0"/>
    <n v="0"/>
    <n v="1"/>
    <n v="7"/>
    <n v="3"/>
    <n v="3"/>
    <n v="3"/>
    <n v="9"/>
  </r>
  <r>
    <n v="226"/>
    <n v="21"/>
    <x v="1"/>
    <x v="1"/>
    <s v="Single"/>
    <x v="2"/>
    <x v="0"/>
    <n v="11"/>
    <x v="0"/>
    <n v="1461.1799999999998"/>
    <n v="208.73999999999998"/>
    <n v="7"/>
    <n v="1"/>
    <x v="1"/>
    <n v="0"/>
    <n v="0"/>
    <n v="1"/>
    <n v="15"/>
    <n v="3"/>
    <n v="2"/>
    <n v="2"/>
    <n v="7"/>
  </r>
  <r>
    <n v="227"/>
    <n v="36"/>
    <x v="3"/>
    <x v="0"/>
    <s v="Widowed"/>
    <x v="2"/>
    <x v="1"/>
    <n v="15"/>
    <x v="2"/>
    <n v="1250.3499999999999"/>
    <n v="178.62142857142857"/>
    <n v="7"/>
    <n v="0"/>
    <x v="0"/>
    <n v="0"/>
    <n v="0"/>
    <n v="0"/>
    <n v="11"/>
    <n v="3"/>
    <n v="2"/>
    <n v="2"/>
    <n v="7"/>
  </r>
  <r>
    <n v="228"/>
    <n v="65"/>
    <x v="0"/>
    <x v="1"/>
    <s v="Single"/>
    <x v="2"/>
    <x v="0"/>
    <n v="32"/>
    <x v="1"/>
    <n v="2185.36"/>
    <n v="364.22666666666669"/>
    <n v="6"/>
    <n v="2"/>
    <x v="1"/>
    <n v="0"/>
    <n v="1"/>
    <n v="1"/>
    <n v="178"/>
    <n v="1"/>
    <n v="2"/>
    <n v="3"/>
    <n v="6"/>
  </r>
  <r>
    <n v="229"/>
    <n v="21"/>
    <x v="1"/>
    <x v="1"/>
    <s v="Single"/>
    <x v="1"/>
    <x v="0"/>
    <n v="37"/>
    <x v="1"/>
    <n v="2559.0299999999997"/>
    <n v="284.33666666666664"/>
    <n v="9"/>
    <n v="1"/>
    <x v="1"/>
    <n v="0"/>
    <n v="1"/>
    <n v="0"/>
    <n v="111"/>
    <n v="1"/>
    <n v="3"/>
    <n v="3"/>
    <n v="7"/>
  </r>
  <r>
    <n v="230"/>
    <n v="60"/>
    <x v="2"/>
    <x v="1"/>
    <s v="Divorced"/>
    <x v="1"/>
    <x v="1"/>
    <n v="9"/>
    <x v="2"/>
    <n v="1468.07"/>
    <n v="244.67833333333331"/>
    <n v="6"/>
    <n v="2"/>
    <x v="1"/>
    <n v="1"/>
    <n v="0"/>
    <n v="0"/>
    <n v="35"/>
    <n v="2"/>
    <n v="2"/>
    <n v="2"/>
    <n v="6"/>
  </r>
  <r>
    <n v="231"/>
    <n v="30"/>
    <x v="1"/>
    <x v="1"/>
    <s v="Married"/>
    <x v="0"/>
    <x v="1"/>
    <n v="47"/>
    <x v="2"/>
    <n v="1353.4199999999998"/>
    <n v="338.35499999999996"/>
    <n v="4"/>
    <n v="0"/>
    <x v="0"/>
    <n v="0"/>
    <n v="0"/>
    <n v="0"/>
    <n v="5"/>
    <n v="3"/>
    <n v="2"/>
    <n v="2"/>
    <n v="7"/>
  </r>
  <r>
    <n v="232"/>
    <n v="56"/>
    <x v="2"/>
    <x v="1"/>
    <s v="Single"/>
    <x v="0"/>
    <x v="0"/>
    <n v="32"/>
    <x v="2"/>
    <n v="2082.19"/>
    <n v="260.27375000000001"/>
    <n v="8"/>
    <n v="2"/>
    <x v="1"/>
    <n v="0"/>
    <n v="0"/>
    <n v="1"/>
    <n v="55"/>
    <n v="2"/>
    <n v="3"/>
    <n v="3"/>
    <n v="8"/>
  </r>
  <r>
    <n v="233"/>
    <n v="53"/>
    <x v="2"/>
    <x v="1"/>
    <s v="Married"/>
    <x v="2"/>
    <x v="0"/>
    <n v="33"/>
    <x v="1"/>
    <n v="817.42000000000007"/>
    <n v="272.47333333333336"/>
    <n v="3"/>
    <n v="2"/>
    <x v="0"/>
    <n v="0"/>
    <n v="1"/>
    <n v="0"/>
    <n v="47"/>
    <n v="2"/>
    <n v="2"/>
    <n v="1"/>
    <n v="5"/>
  </r>
  <r>
    <n v="234"/>
    <n v="40"/>
    <x v="3"/>
    <x v="0"/>
    <s v="Widowed"/>
    <x v="0"/>
    <x v="1"/>
    <n v="23"/>
    <x v="2"/>
    <n v="1576.7"/>
    <n v="197.08750000000001"/>
    <n v="8"/>
    <n v="0"/>
    <x v="0"/>
    <n v="0"/>
    <n v="0"/>
    <n v="0"/>
    <n v="91"/>
    <n v="1"/>
    <n v="3"/>
    <n v="2"/>
    <n v="6"/>
  </r>
  <r>
    <n v="235"/>
    <n v="23"/>
    <x v="1"/>
    <x v="0"/>
    <s v="Divorced"/>
    <x v="2"/>
    <x v="0"/>
    <n v="15"/>
    <x v="0"/>
    <n v="770.5"/>
    <n v="256.83333333333331"/>
    <n v="3"/>
    <n v="2"/>
    <x v="1"/>
    <n v="0"/>
    <n v="0"/>
    <n v="1"/>
    <n v="94"/>
    <n v="1"/>
    <n v="2"/>
    <n v="1"/>
    <n v="4"/>
  </r>
  <r>
    <n v="236"/>
    <n v="41"/>
    <x v="3"/>
    <x v="1"/>
    <s v="Single"/>
    <x v="0"/>
    <x v="1"/>
    <n v="30"/>
    <x v="2"/>
    <n v="1482.9900000000002"/>
    <n v="247.16500000000005"/>
    <n v="6"/>
    <n v="2"/>
    <x v="0"/>
    <n v="1"/>
    <n v="0"/>
    <n v="1"/>
    <n v="13"/>
    <n v="3"/>
    <n v="2"/>
    <n v="2"/>
    <n v="7"/>
  </r>
  <r>
    <n v="237"/>
    <n v="61"/>
    <x v="0"/>
    <x v="0"/>
    <s v="Divorced"/>
    <x v="0"/>
    <x v="1"/>
    <n v="16"/>
    <x v="2"/>
    <n v="398.99"/>
    <n v="398.99"/>
    <n v="1"/>
    <n v="0"/>
    <x v="0"/>
    <n v="0"/>
    <n v="0"/>
    <n v="0"/>
    <n v="333"/>
    <n v="1"/>
    <n v="1"/>
    <n v="1"/>
    <n v="3"/>
  </r>
  <r>
    <n v="238"/>
    <n v="50"/>
    <x v="2"/>
    <x v="0"/>
    <s v="Widowed"/>
    <x v="2"/>
    <x v="1"/>
    <n v="22"/>
    <x v="0"/>
    <n v="762.43999999999994"/>
    <n v="254.14666666666665"/>
    <n v="3"/>
    <n v="1"/>
    <x v="1"/>
    <n v="0"/>
    <n v="1"/>
    <n v="0"/>
    <n v="63"/>
    <n v="2"/>
    <n v="2"/>
    <n v="1"/>
    <n v="5"/>
  </r>
  <r>
    <n v="239"/>
    <n v="29"/>
    <x v="1"/>
    <x v="1"/>
    <s v="Married"/>
    <x v="1"/>
    <x v="1"/>
    <n v="43"/>
    <x v="0"/>
    <n v="2654.84"/>
    <n v="294.98222222222222"/>
    <n v="9"/>
    <n v="1"/>
    <x v="1"/>
    <n v="1"/>
    <n v="0"/>
    <n v="0"/>
    <n v="19"/>
    <n v="3"/>
    <n v="3"/>
    <n v="3"/>
    <n v="9"/>
  </r>
  <r>
    <n v="240"/>
    <n v="58"/>
    <x v="2"/>
    <x v="0"/>
    <s v="Divorced"/>
    <x v="2"/>
    <x v="0"/>
    <n v="30"/>
    <x v="2"/>
    <n v="859.47"/>
    <n v="429.73500000000001"/>
    <n v="2"/>
    <n v="1"/>
    <x v="0"/>
    <n v="1"/>
    <n v="0"/>
    <n v="0"/>
    <n v="35"/>
    <n v="2"/>
    <n v="1"/>
    <n v="2"/>
    <n v="5"/>
  </r>
  <r>
    <n v="241"/>
    <n v="38"/>
    <x v="3"/>
    <x v="1"/>
    <s v="Divorced"/>
    <x v="1"/>
    <x v="0"/>
    <n v="1"/>
    <x v="0"/>
    <n v="2185.9300000000003"/>
    <n v="242.88111111111115"/>
    <n v="9"/>
    <n v="1"/>
    <x v="0"/>
    <n v="1"/>
    <n v="0"/>
    <n v="0"/>
    <n v="96"/>
    <n v="1"/>
    <n v="3"/>
    <n v="3"/>
    <n v="7"/>
  </r>
  <r>
    <n v="242"/>
    <n v="28"/>
    <x v="1"/>
    <x v="1"/>
    <s v="Single"/>
    <x v="0"/>
    <x v="1"/>
    <n v="35"/>
    <x v="2"/>
    <n v="726.73"/>
    <n v="242.24333333333334"/>
    <n v="3"/>
    <n v="2"/>
    <x v="1"/>
    <n v="1"/>
    <n v="0"/>
    <n v="1"/>
    <n v="46"/>
    <n v="2"/>
    <n v="2"/>
    <n v="1"/>
    <n v="5"/>
  </r>
  <r>
    <n v="243"/>
    <n v="61"/>
    <x v="0"/>
    <x v="0"/>
    <s v="Married"/>
    <x v="1"/>
    <x v="0"/>
    <n v="18"/>
    <x v="1"/>
    <n v="2362.1800000000003"/>
    <n v="262.4644444444445"/>
    <n v="9"/>
    <n v="1"/>
    <x v="1"/>
    <n v="0"/>
    <n v="1"/>
    <n v="0"/>
    <n v="40"/>
    <n v="2"/>
    <n v="3"/>
    <n v="3"/>
    <n v="8"/>
  </r>
  <r>
    <n v="244"/>
    <n v="55"/>
    <x v="2"/>
    <x v="1"/>
    <s v="Widowed"/>
    <x v="2"/>
    <x v="0"/>
    <n v="15"/>
    <x v="2"/>
    <n v="1649.8999999999999"/>
    <n v="235.7"/>
    <n v="7"/>
    <n v="2"/>
    <x v="1"/>
    <n v="1"/>
    <n v="0"/>
    <n v="0"/>
    <n v="23"/>
    <n v="3"/>
    <n v="2"/>
    <n v="3"/>
    <n v="8"/>
  </r>
  <r>
    <n v="245"/>
    <n v="46"/>
    <x v="2"/>
    <x v="1"/>
    <s v="Single"/>
    <x v="0"/>
    <x v="0"/>
    <n v="21"/>
    <x v="2"/>
    <n v="2965.09"/>
    <n v="329.45444444444445"/>
    <n v="9"/>
    <n v="0"/>
    <x v="0"/>
    <n v="0"/>
    <n v="0"/>
    <n v="0"/>
    <n v="50"/>
    <n v="2"/>
    <n v="3"/>
    <n v="3"/>
    <n v="8"/>
  </r>
  <r>
    <n v="246"/>
    <n v="65"/>
    <x v="0"/>
    <x v="1"/>
    <s v="Divorced"/>
    <x v="1"/>
    <x v="0"/>
    <n v="40"/>
    <x v="0"/>
    <n v="1171.1399999999999"/>
    <n v="292.78499999999997"/>
    <n v="4"/>
    <n v="1"/>
    <x v="0"/>
    <n v="0"/>
    <n v="1"/>
    <n v="0"/>
    <n v="34"/>
    <n v="2"/>
    <n v="2"/>
    <n v="2"/>
    <n v="6"/>
  </r>
  <r>
    <n v="247"/>
    <n v="58"/>
    <x v="2"/>
    <x v="1"/>
    <s v="Divorced"/>
    <x v="1"/>
    <x v="0"/>
    <n v="2"/>
    <x v="2"/>
    <n v="1887.6799999999998"/>
    <n v="269.6685714285714"/>
    <n v="7"/>
    <n v="2"/>
    <x v="0"/>
    <n v="1"/>
    <n v="0"/>
    <n v="1"/>
    <n v="86"/>
    <n v="1"/>
    <n v="2"/>
    <n v="3"/>
    <n v="6"/>
  </r>
  <r>
    <n v="248"/>
    <n v="20"/>
    <x v="1"/>
    <x v="0"/>
    <s v="Married"/>
    <x v="2"/>
    <x v="1"/>
    <n v="30"/>
    <x v="2"/>
    <n v="1519.1399999999999"/>
    <n v="303.82799999999997"/>
    <n v="5"/>
    <n v="1"/>
    <x v="1"/>
    <n v="1"/>
    <n v="0"/>
    <n v="0"/>
    <n v="40"/>
    <n v="2"/>
    <n v="2"/>
    <n v="2"/>
    <n v="6"/>
  </r>
  <r>
    <n v="249"/>
    <n v="45"/>
    <x v="3"/>
    <x v="1"/>
    <s v="Widowed"/>
    <x v="0"/>
    <x v="0"/>
    <n v="40"/>
    <x v="1"/>
    <n v="356.39"/>
    <n v="356.39"/>
    <n v="1"/>
    <n v="1"/>
    <x v="1"/>
    <n v="1"/>
    <n v="0"/>
    <n v="0"/>
    <n v="338"/>
    <n v="1"/>
    <n v="1"/>
    <n v="1"/>
    <n v="3"/>
  </r>
  <r>
    <n v="250"/>
    <n v="37"/>
    <x v="3"/>
    <x v="0"/>
    <s v="Widowed"/>
    <x v="0"/>
    <x v="0"/>
    <n v="32"/>
    <x v="1"/>
    <n v="1607.3600000000001"/>
    <n v="229.62285714285716"/>
    <n v="7"/>
    <n v="1"/>
    <x v="0"/>
    <n v="0"/>
    <n v="1"/>
    <n v="0"/>
    <n v="3"/>
    <n v="3"/>
    <n v="2"/>
    <n v="3"/>
    <n v="8"/>
  </r>
  <r>
    <n v="251"/>
    <n v="43"/>
    <x v="3"/>
    <x v="1"/>
    <s v="Divorced"/>
    <x v="1"/>
    <x v="1"/>
    <n v="28"/>
    <x v="1"/>
    <n v="1968.7899999999997"/>
    <n v="281.25571428571425"/>
    <n v="7"/>
    <n v="1"/>
    <x v="0"/>
    <n v="1"/>
    <n v="0"/>
    <n v="0"/>
    <n v="26"/>
    <n v="3"/>
    <n v="2"/>
    <n v="3"/>
    <n v="8"/>
  </r>
  <r>
    <n v="252"/>
    <n v="41"/>
    <x v="3"/>
    <x v="0"/>
    <s v="Widowed"/>
    <x v="1"/>
    <x v="1"/>
    <n v="11"/>
    <x v="2"/>
    <n v="980.70999999999992"/>
    <n v="245.17749999999998"/>
    <n v="4"/>
    <n v="0"/>
    <x v="0"/>
    <n v="0"/>
    <n v="0"/>
    <n v="0"/>
    <n v="156"/>
    <n v="1"/>
    <n v="2"/>
    <n v="2"/>
    <n v="5"/>
  </r>
  <r>
    <n v="253"/>
    <n v="69"/>
    <x v="0"/>
    <x v="0"/>
    <s v="Single"/>
    <x v="1"/>
    <x v="0"/>
    <n v="7"/>
    <x v="2"/>
    <n v="1319.11"/>
    <n v="263.822"/>
    <n v="5"/>
    <n v="1"/>
    <x v="0"/>
    <n v="1"/>
    <n v="0"/>
    <n v="0"/>
    <n v="30"/>
    <n v="2"/>
    <n v="2"/>
    <n v="2"/>
    <n v="6"/>
  </r>
  <r>
    <n v="254"/>
    <n v="64"/>
    <x v="0"/>
    <x v="1"/>
    <s v="Married"/>
    <x v="0"/>
    <x v="1"/>
    <n v="1"/>
    <x v="0"/>
    <n v="2220.2599999999998"/>
    <n v="246.69555555555553"/>
    <n v="9"/>
    <n v="2"/>
    <x v="1"/>
    <n v="1"/>
    <n v="1"/>
    <n v="0"/>
    <n v="22"/>
    <n v="3"/>
    <n v="3"/>
    <n v="3"/>
    <n v="9"/>
  </r>
  <r>
    <n v="255"/>
    <n v="38"/>
    <x v="3"/>
    <x v="0"/>
    <s v="Divorced"/>
    <x v="1"/>
    <x v="0"/>
    <n v="43"/>
    <x v="0"/>
    <n v="2672.6899999999996"/>
    <n v="381.81285714285707"/>
    <n v="7"/>
    <n v="1"/>
    <x v="1"/>
    <n v="1"/>
    <n v="0"/>
    <n v="0"/>
    <n v="3"/>
    <n v="3"/>
    <n v="2"/>
    <n v="3"/>
    <n v="8"/>
  </r>
  <r>
    <n v="256"/>
    <n v="47"/>
    <x v="2"/>
    <x v="1"/>
    <s v="Widowed"/>
    <x v="1"/>
    <x v="0"/>
    <n v="28"/>
    <x v="0"/>
    <n v="208.67"/>
    <n v="208.67"/>
    <n v="1"/>
    <n v="2"/>
    <x v="1"/>
    <n v="0"/>
    <n v="1"/>
    <n v="1"/>
    <n v="85"/>
    <n v="1"/>
    <n v="1"/>
    <n v="1"/>
    <n v="3"/>
  </r>
  <r>
    <n v="257"/>
    <n v="21"/>
    <x v="1"/>
    <x v="1"/>
    <s v="Widowed"/>
    <x v="0"/>
    <x v="0"/>
    <n v="39"/>
    <x v="1"/>
    <n v="92.62"/>
    <n v="92.62"/>
    <n v="1"/>
    <n v="1"/>
    <x v="0"/>
    <n v="0"/>
    <n v="1"/>
    <n v="0"/>
    <n v="343"/>
    <n v="1"/>
    <n v="1"/>
    <n v="1"/>
    <n v="3"/>
  </r>
  <r>
    <n v="258"/>
    <n v="53"/>
    <x v="2"/>
    <x v="0"/>
    <s v="Single"/>
    <x v="0"/>
    <x v="0"/>
    <n v="19"/>
    <x v="0"/>
    <n v="832.85000000000014"/>
    <n v="208.21250000000003"/>
    <n v="4"/>
    <n v="2"/>
    <x v="1"/>
    <n v="1"/>
    <n v="0"/>
    <n v="1"/>
    <n v="55"/>
    <n v="2"/>
    <n v="2"/>
    <n v="1"/>
    <n v="5"/>
  </r>
  <r>
    <n v="259"/>
    <n v="57"/>
    <x v="2"/>
    <x v="0"/>
    <s v="Widowed"/>
    <x v="2"/>
    <x v="0"/>
    <n v="39"/>
    <x v="2"/>
    <n v="1469.6699999999998"/>
    <n v="244.94499999999996"/>
    <n v="6"/>
    <n v="1"/>
    <x v="0"/>
    <n v="0"/>
    <n v="0"/>
    <n v="1"/>
    <n v="70"/>
    <n v="2"/>
    <n v="2"/>
    <n v="2"/>
    <n v="6"/>
  </r>
  <r>
    <n v="260"/>
    <n v="27"/>
    <x v="1"/>
    <x v="0"/>
    <s v="Single"/>
    <x v="0"/>
    <x v="1"/>
    <n v="32"/>
    <x v="1"/>
    <n v="2395.7200000000003"/>
    <n v="299.46500000000003"/>
    <n v="8"/>
    <n v="1"/>
    <x v="0"/>
    <n v="0"/>
    <n v="1"/>
    <n v="0"/>
    <n v="61"/>
    <n v="2"/>
    <n v="3"/>
    <n v="3"/>
    <n v="8"/>
  </r>
  <r>
    <n v="261"/>
    <n v="27"/>
    <x v="1"/>
    <x v="0"/>
    <s v="Married"/>
    <x v="0"/>
    <x v="1"/>
    <n v="49"/>
    <x v="2"/>
    <n v="489.07"/>
    <n v="489.07"/>
    <n v="1"/>
    <n v="1"/>
    <x v="1"/>
    <n v="1"/>
    <n v="0"/>
    <n v="0"/>
    <n v="214"/>
    <n v="1"/>
    <n v="1"/>
    <n v="1"/>
    <n v="3"/>
  </r>
  <r>
    <n v="262"/>
    <n v="59"/>
    <x v="2"/>
    <x v="1"/>
    <s v="Divorced"/>
    <x v="2"/>
    <x v="1"/>
    <n v="30"/>
    <x v="1"/>
    <n v="2940.59"/>
    <n v="326.73222222222222"/>
    <n v="9"/>
    <n v="2"/>
    <x v="1"/>
    <n v="0"/>
    <n v="0"/>
    <n v="1"/>
    <n v="26"/>
    <n v="3"/>
    <n v="3"/>
    <n v="3"/>
    <n v="9"/>
  </r>
  <r>
    <n v="263"/>
    <n v="41"/>
    <x v="3"/>
    <x v="0"/>
    <s v="Single"/>
    <x v="0"/>
    <x v="0"/>
    <n v="2"/>
    <x v="1"/>
    <n v="13.04"/>
    <n v="13.04"/>
    <n v="1"/>
    <n v="2"/>
    <x v="0"/>
    <n v="1"/>
    <n v="0"/>
    <n v="1"/>
    <n v="51"/>
    <n v="2"/>
    <n v="1"/>
    <n v="1"/>
    <n v="4"/>
  </r>
  <r>
    <n v="264"/>
    <n v="21"/>
    <x v="1"/>
    <x v="1"/>
    <s v="Widowed"/>
    <x v="2"/>
    <x v="0"/>
    <n v="44"/>
    <x v="2"/>
    <n v="525.02"/>
    <n v="262.51"/>
    <n v="2"/>
    <n v="1"/>
    <x v="0"/>
    <n v="0"/>
    <n v="1"/>
    <n v="0"/>
    <n v="161"/>
    <n v="1"/>
    <n v="1"/>
    <n v="1"/>
    <n v="3"/>
  </r>
  <r>
    <n v="265"/>
    <n v="64"/>
    <x v="0"/>
    <x v="0"/>
    <s v="Widowed"/>
    <x v="0"/>
    <x v="0"/>
    <n v="43"/>
    <x v="2"/>
    <n v="1511.87"/>
    <n v="302.37399999999997"/>
    <n v="5"/>
    <n v="0"/>
    <x v="0"/>
    <n v="0"/>
    <n v="0"/>
    <n v="0"/>
    <n v="125"/>
    <n v="1"/>
    <n v="2"/>
    <n v="2"/>
    <n v="5"/>
  </r>
  <r>
    <n v="266"/>
    <n v="44"/>
    <x v="3"/>
    <x v="0"/>
    <s v="Married"/>
    <x v="2"/>
    <x v="0"/>
    <n v="37"/>
    <x v="2"/>
    <n v="459.39"/>
    <n v="459.39"/>
    <n v="1"/>
    <n v="1"/>
    <x v="0"/>
    <n v="0"/>
    <n v="1"/>
    <n v="0"/>
    <n v="254"/>
    <n v="1"/>
    <n v="1"/>
    <n v="1"/>
    <n v="3"/>
  </r>
  <r>
    <n v="267"/>
    <n v="68"/>
    <x v="0"/>
    <x v="1"/>
    <s v="Single"/>
    <x v="1"/>
    <x v="0"/>
    <n v="19"/>
    <x v="2"/>
    <n v="461.36"/>
    <n v="153.78666666666666"/>
    <n v="3"/>
    <n v="1"/>
    <x v="1"/>
    <n v="0"/>
    <n v="1"/>
    <n v="0"/>
    <n v="38"/>
    <n v="2"/>
    <n v="2"/>
    <n v="1"/>
    <n v="5"/>
  </r>
  <r>
    <n v="268"/>
    <n v="62"/>
    <x v="0"/>
    <x v="0"/>
    <s v="Divorced"/>
    <x v="1"/>
    <x v="0"/>
    <n v="26"/>
    <x v="0"/>
    <n v="1096.1600000000001"/>
    <n v="219.23200000000003"/>
    <n v="5"/>
    <n v="0"/>
    <x v="0"/>
    <n v="0"/>
    <n v="0"/>
    <n v="0"/>
    <n v="48"/>
    <n v="2"/>
    <n v="2"/>
    <n v="2"/>
    <n v="6"/>
  </r>
  <r>
    <n v="269"/>
    <n v="21"/>
    <x v="1"/>
    <x v="1"/>
    <s v="Widowed"/>
    <x v="1"/>
    <x v="0"/>
    <n v="1"/>
    <x v="0"/>
    <n v="2123.87"/>
    <n v="235.98555555555555"/>
    <n v="9"/>
    <n v="2"/>
    <x v="1"/>
    <n v="0"/>
    <n v="0"/>
    <n v="1"/>
    <n v="19"/>
    <n v="3"/>
    <n v="3"/>
    <n v="3"/>
    <n v="9"/>
  </r>
  <r>
    <n v="270"/>
    <n v="49"/>
    <x v="2"/>
    <x v="0"/>
    <s v="Single"/>
    <x v="2"/>
    <x v="0"/>
    <n v="42"/>
    <x v="0"/>
    <n v="734.74"/>
    <n v="244.91333333333333"/>
    <n v="3"/>
    <n v="1"/>
    <x v="1"/>
    <n v="0"/>
    <n v="1"/>
    <n v="0"/>
    <n v="37"/>
    <n v="2"/>
    <n v="2"/>
    <n v="1"/>
    <n v="5"/>
  </r>
  <r>
    <n v="271"/>
    <n v="27"/>
    <x v="1"/>
    <x v="0"/>
    <s v="Widowed"/>
    <x v="1"/>
    <x v="1"/>
    <n v="28"/>
    <x v="2"/>
    <n v="865.97"/>
    <n v="288.65666666666669"/>
    <n v="3"/>
    <n v="0"/>
    <x v="0"/>
    <n v="0"/>
    <n v="0"/>
    <n v="0"/>
    <n v="6"/>
    <n v="3"/>
    <n v="2"/>
    <n v="2"/>
    <n v="7"/>
  </r>
  <r>
    <n v="272"/>
    <n v="28"/>
    <x v="1"/>
    <x v="1"/>
    <s v="Divorced"/>
    <x v="0"/>
    <x v="1"/>
    <n v="26"/>
    <x v="2"/>
    <n v="1170.04"/>
    <n v="146.255"/>
    <n v="8"/>
    <n v="2"/>
    <x v="1"/>
    <n v="0"/>
    <n v="1"/>
    <n v="1"/>
    <n v="103"/>
    <n v="1"/>
    <n v="3"/>
    <n v="2"/>
    <n v="6"/>
  </r>
  <r>
    <n v="273"/>
    <n v="45"/>
    <x v="3"/>
    <x v="1"/>
    <s v="Single"/>
    <x v="2"/>
    <x v="0"/>
    <n v="40"/>
    <x v="0"/>
    <n v="1562.83"/>
    <n v="223.26142857142855"/>
    <n v="7"/>
    <n v="0"/>
    <x v="0"/>
    <n v="0"/>
    <n v="0"/>
    <n v="0"/>
    <n v="28"/>
    <n v="3"/>
    <n v="2"/>
    <n v="2"/>
    <n v="7"/>
  </r>
  <r>
    <n v="274"/>
    <n v="63"/>
    <x v="0"/>
    <x v="1"/>
    <s v="Widowed"/>
    <x v="0"/>
    <x v="0"/>
    <n v="35"/>
    <x v="2"/>
    <n v="1117.33"/>
    <n v="279.33249999999998"/>
    <n v="4"/>
    <n v="1"/>
    <x v="1"/>
    <n v="0"/>
    <n v="0"/>
    <n v="1"/>
    <n v="132"/>
    <n v="1"/>
    <n v="2"/>
    <n v="2"/>
    <n v="5"/>
  </r>
  <r>
    <n v="275"/>
    <n v="25"/>
    <x v="1"/>
    <x v="1"/>
    <s v="Divorced"/>
    <x v="0"/>
    <x v="0"/>
    <n v="3"/>
    <x v="1"/>
    <n v="605.79"/>
    <n v="201.92999999999998"/>
    <n v="3"/>
    <n v="2"/>
    <x v="1"/>
    <n v="0"/>
    <n v="1"/>
    <n v="1"/>
    <n v="208"/>
    <n v="1"/>
    <n v="2"/>
    <n v="1"/>
    <n v="4"/>
  </r>
  <r>
    <n v="276"/>
    <n v="57"/>
    <x v="2"/>
    <x v="1"/>
    <s v="Single"/>
    <x v="0"/>
    <x v="1"/>
    <n v="26"/>
    <x v="2"/>
    <n v="2069.6999999999998"/>
    <n v="295.67142857142852"/>
    <n v="7"/>
    <n v="0"/>
    <x v="0"/>
    <n v="0"/>
    <n v="0"/>
    <n v="0"/>
    <n v="92"/>
    <n v="1"/>
    <n v="2"/>
    <n v="3"/>
    <n v="6"/>
  </r>
  <r>
    <n v="277"/>
    <n v="39"/>
    <x v="3"/>
    <x v="1"/>
    <s v="Single"/>
    <x v="2"/>
    <x v="0"/>
    <n v="33"/>
    <x v="0"/>
    <n v="1217.78"/>
    <n v="202.96333333333334"/>
    <n v="6"/>
    <n v="0"/>
    <x v="0"/>
    <n v="0"/>
    <n v="0"/>
    <n v="0"/>
    <n v="55"/>
    <n v="2"/>
    <n v="2"/>
    <n v="2"/>
    <n v="6"/>
  </r>
  <r>
    <n v="278"/>
    <n v="51"/>
    <x v="2"/>
    <x v="1"/>
    <s v="Married"/>
    <x v="0"/>
    <x v="0"/>
    <n v="22"/>
    <x v="2"/>
    <n v="1423.1"/>
    <n v="284.62"/>
    <n v="5"/>
    <n v="1"/>
    <x v="1"/>
    <n v="0"/>
    <n v="0"/>
    <n v="1"/>
    <n v="130"/>
    <n v="1"/>
    <n v="2"/>
    <n v="2"/>
    <n v="5"/>
  </r>
  <r>
    <n v="279"/>
    <n v="62"/>
    <x v="0"/>
    <x v="0"/>
    <s v="Divorced"/>
    <x v="1"/>
    <x v="0"/>
    <n v="6"/>
    <x v="0"/>
    <n v="1209.94"/>
    <n v="302.48500000000001"/>
    <n v="4"/>
    <n v="1"/>
    <x v="0"/>
    <n v="0"/>
    <n v="1"/>
    <n v="0"/>
    <n v="192"/>
    <n v="1"/>
    <n v="2"/>
    <n v="2"/>
    <n v="5"/>
  </r>
  <r>
    <n v="280"/>
    <n v="52"/>
    <x v="2"/>
    <x v="1"/>
    <s v="Single"/>
    <x v="2"/>
    <x v="0"/>
    <n v="42"/>
    <x v="2"/>
    <n v="836.32999999999993"/>
    <n v="209.08249999999998"/>
    <n v="4"/>
    <n v="2"/>
    <x v="1"/>
    <n v="1"/>
    <n v="1"/>
    <n v="0"/>
    <n v="45"/>
    <n v="2"/>
    <n v="2"/>
    <n v="2"/>
    <n v="6"/>
  </r>
  <r>
    <n v="281"/>
    <n v="52"/>
    <x v="2"/>
    <x v="0"/>
    <s v="Married"/>
    <x v="1"/>
    <x v="0"/>
    <n v="34"/>
    <x v="2"/>
    <n v="1563.95"/>
    <n v="195.49375000000001"/>
    <n v="8"/>
    <n v="1"/>
    <x v="0"/>
    <n v="0"/>
    <n v="1"/>
    <n v="0"/>
    <n v="105"/>
    <n v="1"/>
    <n v="3"/>
    <n v="2"/>
    <n v="6"/>
  </r>
  <r>
    <n v="282"/>
    <n v="42"/>
    <x v="3"/>
    <x v="0"/>
    <s v="Single"/>
    <x v="2"/>
    <x v="1"/>
    <n v="3"/>
    <x v="2"/>
    <n v="2016.68"/>
    <n v="403.33600000000001"/>
    <n v="5"/>
    <n v="1"/>
    <x v="0"/>
    <n v="0"/>
    <n v="0"/>
    <n v="1"/>
    <n v="27"/>
    <n v="3"/>
    <n v="2"/>
    <n v="3"/>
    <n v="8"/>
  </r>
  <r>
    <n v="283"/>
    <n v="51"/>
    <x v="2"/>
    <x v="1"/>
    <s v="Widowed"/>
    <x v="0"/>
    <x v="1"/>
    <n v="17"/>
    <x v="2"/>
    <n v="1362.86"/>
    <n v="272.572"/>
    <n v="5"/>
    <n v="0"/>
    <x v="0"/>
    <n v="0"/>
    <n v="0"/>
    <n v="0"/>
    <n v="21"/>
    <n v="3"/>
    <n v="2"/>
    <n v="2"/>
    <n v="7"/>
  </r>
  <r>
    <n v="284"/>
    <n v="23"/>
    <x v="1"/>
    <x v="0"/>
    <s v="Married"/>
    <x v="1"/>
    <x v="0"/>
    <n v="6"/>
    <x v="0"/>
    <n v="1683.13"/>
    <n v="280.5216666666667"/>
    <n v="6"/>
    <n v="0"/>
    <x v="0"/>
    <n v="0"/>
    <n v="0"/>
    <n v="0"/>
    <n v="155"/>
    <n v="1"/>
    <n v="2"/>
    <n v="3"/>
    <n v="6"/>
  </r>
  <r>
    <n v="285"/>
    <n v="58"/>
    <x v="2"/>
    <x v="0"/>
    <s v="Single"/>
    <x v="2"/>
    <x v="0"/>
    <n v="42"/>
    <x v="0"/>
    <n v="1026.5899999999999"/>
    <n v="205.31799999999998"/>
    <n v="5"/>
    <n v="0"/>
    <x v="0"/>
    <n v="0"/>
    <n v="0"/>
    <n v="0"/>
    <n v="16"/>
    <n v="3"/>
    <n v="2"/>
    <n v="2"/>
    <n v="7"/>
  </r>
  <r>
    <n v="286"/>
    <n v="54"/>
    <x v="2"/>
    <x v="1"/>
    <s v="Widowed"/>
    <x v="0"/>
    <x v="1"/>
    <n v="5"/>
    <x v="1"/>
    <n v="512.18999999999994"/>
    <n v="256.09499999999997"/>
    <n v="2"/>
    <n v="2"/>
    <x v="1"/>
    <n v="0"/>
    <n v="0"/>
    <n v="1"/>
    <n v="24"/>
    <n v="3"/>
    <n v="1"/>
    <n v="1"/>
    <n v="5"/>
  </r>
  <r>
    <n v="287"/>
    <n v="18"/>
    <x v="1"/>
    <x v="0"/>
    <s v="Widowed"/>
    <x v="0"/>
    <x v="0"/>
    <n v="20"/>
    <x v="1"/>
    <n v="615.06999999999994"/>
    <n v="307.53499999999997"/>
    <n v="2"/>
    <n v="2"/>
    <x v="1"/>
    <n v="0"/>
    <n v="1"/>
    <n v="0"/>
    <n v="17"/>
    <n v="3"/>
    <n v="1"/>
    <n v="1"/>
    <n v="5"/>
  </r>
  <r>
    <n v="288"/>
    <n v="29"/>
    <x v="1"/>
    <x v="1"/>
    <s v="Widowed"/>
    <x v="2"/>
    <x v="0"/>
    <n v="1"/>
    <x v="1"/>
    <n v="2217.85"/>
    <n v="277.23124999999999"/>
    <n v="8"/>
    <n v="2"/>
    <x v="1"/>
    <n v="1"/>
    <n v="1"/>
    <n v="0"/>
    <n v="33"/>
    <n v="2"/>
    <n v="3"/>
    <n v="3"/>
    <n v="8"/>
  </r>
  <r>
    <n v="289"/>
    <n v="52"/>
    <x v="2"/>
    <x v="0"/>
    <s v="Married"/>
    <x v="2"/>
    <x v="0"/>
    <n v="24"/>
    <x v="0"/>
    <n v="30.48"/>
    <n v="30.48"/>
    <n v="1"/>
    <n v="0"/>
    <x v="0"/>
    <n v="0"/>
    <n v="0"/>
    <n v="0"/>
    <n v="206"/>
    <n v="1"/>
    <n v="1"/>
    <n v="1"/>
    <n v="3"/>
  </r>
  <r>
    <n v="290"/>
    <n v="23"/>
    <x v="1"/>
    <x v="0"/>
    <s v="Widowed"/>
    <x v="2"/>
    <x v="0"/>
    <n v="9"/>
    <x v="0"/>
    <n v="403.33"/>
    <n v="403.33"/>
    <n v="1"/>
    <n v="1"/>
    <x v="1"/>
    <n v="0"/>
    <n v="1"/>
    <n v="0"/>
    <n v="6"/>
    <n v="3"/>
    <n v="1"/>
    <n v="1"/>
    <n v="5"/>
  </r>
  <r>
    <n v="291"/>
    <n v="34"/>
    <x v="3"/>
    <x v="1"/>
    <s v="Divorced"/>
    <x v="2"/>
    <x v="0"/>
    <n v="15"/>
    <x v="1"/>
    <n v="1572.7400000000002"/>
    <n v="262.12333333333339"/>
    <n v="6"/>
    <n v="2"/>
    <x v="1"/>
    <n v="1"/>
    <n v="0"/>
    <n v="1"/>
    <n v="76"/>
    <n v="2"/>
    <n v="2"/>
    <n v="2"/>
    <n v="6"/>
  </r>
  <r>
    <n v="292"/>
    <n v="26"/>
    <x v="1"/>
    <x v="0"/>
    <s v="Single"/>
    <x v="1"/>
    <x v="0"/>
    <n v="37"/>
    <x v="1"/>
    <n v="2429.6999999999998"/>
    <n v="303.71249999999998"/>
    <n v="8"/>
    <n v="2"/>
    <x v="1"/>
    <n v="0"/>
    <n v="0"/>
    <n v="1"/>
    <n v="11"/>
    <n v="3"/>
    <n v="3"/>
    <n v="3"/>
    <n v="9"/>
  </r>
  <r>
    <n v="293"/>
    <n v="19"/>
    <x v="1"/>
    <x v="0"/>
    <s v="Divorced"/>
    <x v="2"/>
    <x v="0"/>
    <n v="18"/>
    <x v="0"/>
    <n v="209.68"/>
    <n v="209.68"/>
    <n v="1"/>
    <n v="0"/>
    <x v="0"/>
    <n v="0"/>
    <n v="0"/>
    <n v="0"/>
    <n v="246"/>
    <n v="1"/>
    <n v="1"/>
    <n v="1"/>
    <n v="3"/>
  </r>
  <r>
    <n v="294"/>
    <n v="35"/>
    <x v="3"/>
    <x v="1"/>
    <s v="Widowed"/>
    <x v="0"/>
    <x v="0"/>
    <n v="22"/>
    <x v="2"/>
    <n v="1882.08"/>
    <n v="313.68"/>
    <n v="6"/>
    <n v="1"/>
    <x v="0"/>
    <n v="0"/>
    <n v="1"/>
    <n v="0"/>
    <n v="30"/>
    <n v="2"/>
    <n v="2"/>
    <n v="3"/>
    <n v="7"/>
  </r>
  <r>
    <n v="295"/>
    <n v="66"/>
    <x v="0"/>
    <x v="1"/>
    <s v="Widowed"/>
    <x v="1"/>
    <x v="0"/>
    <n v="11"/>
    <x v="1"/>
    <n v="960.99"/>
    <n v="320.33"/>
    <n v="3"/>
    <n v="0"/>
    <x v="0"/>
    <n v="0"/>
    <n v="0"/>
    <n v="0"/>
    <n v="117"/>
    <n v="1"/>
    <n v="2"/>
    <n v="2"/>
    <n v="5"/>
  </r>
  <r>
    <n v="296"/>
    <n v="53"/>
    <x v="2"/>
    <x v="0"/>
    <s v="Divorced"/>
    <x v="0"/>
    <x v="0"/>
    <n v="38"/>
    <x v="0"/>
    <n v="261.24"/>
    <n v="261.24"/>
    <n v="1"/>
    <n v="1"/>
    <x v="1"/>
    <n v="0"/>
    <n v="1"/>
    <n v="0"/>
    <n v="207"/>
    <n v="1"/>
    <n v="1"/>
    <n v="1"/>
    <n v="3"/>
  </r>
  <r>
    <n v="297"/>
    <n v="45"/>
    <x v="3"/>
    <x v="0"/>
    <s v="Married"/>
    <x v="0"/>
    <x v="0"/>
    <n v="3"/>
    <x v="0"/>
    <n v="1714.09"/>
    <n v="214.26124999999999"/>
    <n v="8"/>
    <n v="0"/>
    <x v="0"/>
    <n v="0"/>
    <n v="0"/>
    <n v="0"/>
    <n v="99"/>
    <n v="1"/>
    <n v="3"/>
    <n v="3"/>
    <n v="7"/>
  </r>
  <r>
    <n v="298"/>
    <n v="58"/>
    <x v="2"/>
    <x v="1"/>
    <s v="Widowed"/>
    <x v="2"/>
    <x v="0"/>
    <n v="29"/>
    <x v="1"/>
    <n v="1305.25"/>
    <n v="217.54166666666666"/>
    <n v="6"/>
    <n v="1"/>
    <x v="1"/>
    <n v="0"/>
    <n v="0"/>
    <n v="1"/>
    <n v="156"/>
    <n v="1"/>
    <n v="2"/>
    <n v="2"/>
    <n v="5"/>
  </r>
  <r>
    <n v="299"/>
    <n v="54"/>
    <x v="2"/>
    <x v="0"/>
    <s v="Widowed"/>
    <x v="1"/>
    <x v="0"/>
    <n v="46"/>
    <x v="0"/>
    <n v="9.8000000000000007"/>
    <n v="9.8000000000000007"/>
    <n v="1"/>
    <n v="2"/>
    <x v="1"/>
    <n v="0"/>
    <n v="1"/>
    <n v="0"/>
    <n v="40"/>
    <n v="2"/>
    <n v="1"/>
    <n v="1"/>
    <n v="4"/>
  </r>
  <r>
    <n v="300"/>
    <n v="66"/>
    <x v="0"/>
    <x v="1"/>
    <s v="Divorced"/>
    <x v="2"/>
    <x v="0"/>
    <n v="32"/>
    <x v="1"/>
    <n v="926.53"/>
    <n v="231.63249999999999"/>
    <n v="4"/>
    <n v="2"/>
    <x v="0"/>
    <n v="0"/>
    <n v="1"/>
    <n v="1"/>
    <n v="148"/>
    <n v="1"/>
    <n v="2"/>
    <n v="2"/>
    <n v="5"/>
  </r>
  <r>
    <n v="301"/>
    <n v="43"/>
    <x v="3"/>
    <x v="1"/>
    <s v="Widowed"/>
    <x v="0"/>
    <x v="0"/>
    <n v="34"/>
    <x v="2"/>
    <n v="1298.9499999999998"/>
    <n v="216.49166666666665"/>
    <n v="6"/>
    <n v="1"/>
    <x v="0"/>
    <n v="0"/>
    <n v="1"/>
    <n v="0"/>
    <n v="19"/>
    <n v="3"/>
    <n v="2"/>
    <n v="2"/>
    <n v="7"/>
  </r>
  <r>
    <n v="302"/>
    <n v="21"/>
    <x v="1"/>
    <x v="0"/>
    <s v="Widowed"/>
    <x v="2"/>
    <x v="0"/>
    <n v="8"/>
    <x v="1"/>
    <n v="925.58"/>
    <n v="231.39500000000001"/>
    <n v="4"/>
    <n v="2"/>
    <x v="0"/>
    <n v="0"/>
    <n v="1"/>
    <n v="1"/>
    <n v="91"/>
    <n v="1"/>
    <n v="2"/>
    <n v="2"/>
    <n v="5"/>
  </r>
  <r>
    <n v="303"/>
    <n v="57"/>
    <x v="2"/>
    <x v="1"/>
    <s v="Married"/>
    <x v="2"/>
    <x v="0"/>
    <n v="34"/>
    <x v="2"/>
    <n v="948.96"/>
    <n v="316.32"/>
    <n v="3"/>
    <n v="1"/>
    <x v="0"/>
    <n v="1"/>
    <n v="0"/>
    <n v="0"/>
    <n v="237"/>
    <n v="1"/>
    <n v="2"/>
    <n v="2"/>
    <n v="5"/>
  </r>
  <r>
    <n v="304"/>
    <n v="53"/>
    <x v="2"/>
    <x v="1"/>
    <s v="Married"/>
    <x v="2"/>
    <x v="0"/>
    <n v="5"/>
    <x v="2"/>
    <n v="695.73"/>
    <n v="231.91"/>
    <n v="3"/>
    <n v="1"/>
    <x v="1"/>
    <n v="0"/>
    <n v="1"/>
    <n v="0"/>
    <n v="105"/>
    <n v="1"/>
    <n v="2"/>
    <n v="1"/>
    <n v="4"/>
  </r>
  <r>
    <n v="305"/>
    <n v="68"/>
    <x v="0"/>
    <x v="0"/>
    <s v="Married"/>
    <x v="2"/>
    <x v="0"/>
    <n v="9"/>
    <x v="0"/>
    <n v="288.26"/>
    <n v="288.26"/>
    <n v="1"/>
    <n v="0"/>
    <x v="0"/>
    <n v="0"/>
    <n v="0"/>
    <n v="0"/>
    <n v="197"/>
    <n v="1"/>
    <n v="1"/>
    <n v="1"/>
    <n v="3"/>
  </r>
  <r>
    <n v="306"/>
    <n v="48"/>
    <x v="2"/>
    <x v="1"/>
    <s v="Married"/>
    <x v="2"/>
    <x v="0"/>
    <n v="17"/>
    <x v="0"/>
    <n v="2285.6"/>
    <n v="253.95555555555555"/>
    <n v="9"/>
    <n v="0"/>
    <x v="0"/>
    <n v="0"/>
    <n v="0"/>
    <n v="0"/>
    <n v="25"/>
    <n v="3"/>
    <n v="3"/>
    <n v="3"/>
    <n v="9"/>
  </r>
  <r>
    <n v="307"/>
    <n v="47"/>
    <x v="2"/>
    <x v="0"/>
    <s v="Married"/>
    <x v="2"/>
    <x v="0"/>
    <n v="20"/>
    <x v="0"/>
    <n v="1416.68"/>
    <n v="354.17"/>
    <n v="4"/>
    <n v="1"/>
    <x v="0"/>
    <n v="1"/>
    <n v="0"/>
    <n v="0"/>
    <n v="12"/>
    <n v="3"/>
    <n v="2"/>
    <n v="2"/>
    <n v="7"/>
  </r>
  <r>
    <n v="308"/>
    <n v="67"/>
    <x v="0"/>
    <x v="0"/>
    <s v="Widowed"/>
    <x v="1"/>
    <x v="0"/>
    <n v="42"/>
    <x v="0"/>
    <n v="1791.69"/>
    <n v="255.95571428571429"/>
    <n v="7"/>
    <n v="0"/>
    <x v="0"/>
    <n v="0"/>
    <n v="0"/>
    <n v="0"/>
    <n v="13"/>
    <n v="3"/>
    <n v="2"/>
    <n v="3"/>
    <n v="8"/>
  </r>
  <r>
    <n v="309"/>
    <n v="51"/>
    <x v="2"/>
    <x v="0"/>
    <s v="Single"/>
    <x v="2"/>
    <x v="0"/>
    <n v="27"/>
    <x v="2"/>
    <n v="1400.5"/>
    <n v="280.10000000000002"/>
    <n v="5"/>
    <n v="1"/>
    <x v="0"/>
    <n v="0"/>
    <n v="1"/>
    <n v="0"/>
    <n v="62"/>
    <n v="2"/>
    <n v="2"/>
    <n v="2"/>
    <n v="6"/>
  </r>
  <r>
    <n v="310"/>
    <n v="36"/>
    <x v="3"/>
    <x v="1"/>
    <s v="Widowed"/>
    <x v="1"/>
    <x v="0"/>
    <n v="5"/>
    <x v="2"/>
    <n v="1058.1399999999999"/>
    <n v="264.53499999999997"/>
    <n v="4"/>
    <n v="0"/>
    <x v="0"/>
    <n v="0"/>
    <n v="0"/>
    <n v="0"/>
    <n v="17"/>
    <n v="3"/>
    <n v="2"/>
    <n v="2"/>
    <n v="7"/>
  </r>
  <r>
    <n v="311"/>
    <n v="35"/>
    <x v="3"/>
    <x v="0"/>
    <s v="Widowed"/>
    <x v="2"/>
    <x v="1"/>
    <n v="46"/>
    <x v="0"/>
    <n v="592.9"/>
    <n v="118.58"/>
    <n v="5"/>
    <n v="2"/>
    <x v="0"/>
    <n v="1"/>
    <n v="0"/>
    <n v="0"/>
    <n v="97"/>
    <n v="1"/>
    <n v="2"/>
    <n v="1"/>
    <n v="4"/>
  </r>
  <r>
    <n v="312"/>
    <n v="47"/>
    <x v="2"/>
    <x v="0"/>
    <s v="Single"/>
    <x v="1"/>
    <x v="0"/>
    <n v="29"/>
    <x v="1"/>
    <n v="283.16000000000003"/>
    <n v="141.58000000000001"/>
    <n v="2"/>
    <n v="2"/>
    <x v="1"/>
    <n v="0"/>
    <n v="1"/>
    <n v="1"/>
    <n v="283"/>
    <n v="1"/>
    <n v="1"/>
    <n v="1"/>
    <n v="3"/>
  </r>
  <r>
    <n v="313"/>
    <n v="38"/>
    <x v="3"/>
    <x v="0"/>
    <s v="Divorced"/>
    <x v="0"/>
    <x v="0"/>
    <n v="11"/>
    <x v="2"/>
    <n v="34.909999999999997"/>
    <n v="34.909999999999997"/>
    <n v="1"/>
    <n v="0"/>
    <x v="0"/>
    <n v="0"/>
    <n v="0"/>
    <n v="0"/>
    <n v="68"/>
    <n v="2"/>
    <n v="1"/>
    <n v="1"/>
    <n v="4"/>
  </r>
  <r>
    <n v="314"/>
    <n v="20"/>
    <x v="1"/>
    <x v="0"/>
    <s v="Single"/>
    <x v="1"/>
    <x v="0"/>
    <n v="26"/>
    <x v="0"/>
    <n v="536.29"/>
    <n v="268.14499999999998"/>
    <n v="2"/>
    <n v="1"/>
    <x v="1"/>
    <n v="0"/>
    <n v="1"/>
    <n v="0"/>
    <n v="67"/>
    <n v="2"/>
    <n v="1"/>
    <n v="1"/>
    <n v="4"/>
  </r>
  <r>
    <n v="315"/>
    <n v="23"/>
    <x v="1"/>
    <x v="1"/>
    <s v="Married"/>
    <x v="1"/>
    <x v="1"/>
    <n v="23"/>
    <x v="0"/>
    <n v="601.30999999999995"/>
    <n v="300.65499999999997"/>
    <n v="2"/>
    <n v="1"/>
    <x v="1"/>
    <n v="1"/>
    <n v="0"/>
    <n v="0"/>
    <n v="51"/>
    <n v="2"/>
    <n v="1"/>
    <n v="1"/>
    <n v="4"/>
  </r>
  <r>
    <n v="316"/>
    <n v="55"/>
    <x v="2"/>
    <x v="1"/>
    <s v="Widowed"/>
    <x v="0"/>
    <x v="0"/>
    <n v="18"/>
    <x v="0"/>
    <n v="649.71"/>
    <n v="81.213750000000005"/>
    <n v="8"/>
    <n v="0"/>
    <x v="0"/>
    <n v="0"/>
    <n v="0"/>
    <n v="0"/>
    <n v="98"/>
    <n v="1"/>
    <n v="3"/>
    <n v="1"/>
    <n v="5"/>
  </r>
  <r>
    <n v="317"/>
    <n v="30"/>
    <x v="1"/>
    <x v="0"/>
    <s v="Married"/>
    <x v="2"/>
    <x v="0"/>
    <n v="20"/>
    <x v="1"/>
    <n v="467.82999999999993"/>
    <n v="155.9433333333333"/>
    <n v="3"/>
    <n v="2"/>
    <x v="1"/>
    <n v="1"/>
    <n v="0"/>
    <n v="0"/>
    <n v="172"/>
    <n v="1"/>
    <n v="2"/>
    <n v="1"/>
    <n v="4"/>
  </r>
  <r>
    <n v="318"/>
    <n v="62"/>
    <x v="0"/>
    <x v="1"/>
    <s v="Single"/>
    <x v="2"/>
    <x v="0"/>
    <n v="44"/>
    <x v="1"/>
    <n v="2145.44"/>
    <n v="268.18"/>
    <n v="8"/>
    <n v="0"/>
    <x v="0"/>
    <n v="0"/>
    <n v="0"/>
    <n v="0"/>
    <n v="10"/>
    <n v="3"/>
    <n v="3"/>
    <n v="3"/>
    <n v="9"/>
  </r>
  <r>
    <n v="319"/>
    <n v="20"/>
    <x v="1"/>
    <x v="1"/>
    <s v="Divorced"/>
    <x v="1"/>
    <x v="0"/>
    <n v="21"/>
    <x v="2"/>
    <n v="477.46"/>
    <n v="477.46"/>
    <n v="1"/>
    <n v="0"/>
    <x v="0"/>
    <n v="0"/>
    <n v="0"/>
    <n v="0"/>
    <n v="138"/>
    <n v="1"/>
    <n v="1"/>
    <n v="1"/>
    <n v="3"/>
  </r>
  <r>
    <n v="320"/>
    <n v="65"/>
    <x v="0"/>
    <x v="1"/>
    <s v="Divorced"/>
    <x v="2"/>
    <x v="0"/>
    <n v="26"/>
    <x v="2"/>
    <n v="823.75"/>
    <n v="411.875"/>
    <n v="2"/>
    <n v="2"/>
    <x v="1"/>
    <n v="1"/>
    <n v="0"/>
    <n v="1"/>
    <n v="12"/>
    <n v="3"/>
    <n v="1"/>
    <n v="1"/>
    <n v="5"/>
  </r>
  <r>
    <n v="321"/>
    <n v="45"/>
    <x v="3"/>
    <x v="0"/>
    <s v="Widowed"/>
    <x v="2"/>
    <x v="0"/>
    <n v="32"/>
    <x v="2"/>
    <n v="2007.2399999999998"/>
    <n v="223.02666666666664"/>
    <n v="9"/>
    <n v="2"/>
    <x v="1"/>
    <n v="1"/>
    <n v="0"/>
    <n v="1"/>
    <n v="26"/>
    <n v="3"/>
    <n v="3"/>
    <n v="3"/>
    <n v="9"/>
  </r>
  <r>
    <n v="322"/>
    <n v="39"/>
    <x v="3"/>
    <x v="1"/>
    <s v="Single"/>
    <x v="0"/>
    <x v="0"/>
    <n v="1"/>
    <x v="2"/>
    <n v="61.98"/>
    <n v="61.98"/>
    <n v="1"/>
    <n v="2"/>
    <x v="1"/>
    <n v="0"/>
    <n v="1"/>
    <n v="1"/>
    <n v="211"/>
    <n v="1"/>
    <n v="1"/>
    <n v="1"/>
    <n v="3"/>
  </r>
  <r>
    <n v="323"/>
    <n v="57"/>
    <x v="2"/>
    <x v="1"/>
    <s v="Married"/>
    <x v="2"/>
    <x v="1"/>
    <n v="2"/>
    <x v="1"/>
    <n v="839.3"/>
    <n v="209.82499999999999"/>
    <n v="4"/>
    <n v="1"/>
    <x v="0"/>
    <n v="0"/>
    <n v="1"/>
    <n v="0"/>
    <n v="20"/>
    <n v="3"/>
    <n v="2"/>
    <n v="2"/>
    <n v="7"/>
  </r>
  <r>
    <n v="324"/>
    <n v="57"/>
    <x v="2"/>
    <x v="1"/>
    <s v="Married"/>
    <x v="2"/>
    <x v="0"/>
    <n v="4"/>
    <x v="0"/>
    <n v="1369.7"/>
    <n v="228.28333333333333"/>
    <n v="6"/>
    <n v="2"/>
    <x v="1"/>
    <n v="1"/>
    <n v="0"/>
    <n v="0"/>
    <n v="59"/>
    <n v="2"/>
    <n v="2"/>
    <n v="2"/>
    <n v="6"/>
  </r>
  <r>
    <n v="325"/>
    <n v="29"/>
    <x v="1"/>
    <x v="1"/>
    <s v="Divorced"/>
    <x v="1"/>
    <x v="0"/>
    <n v="41"/>
    <x v="2"/>
    <n v="553.79"/>
    <n v="276.89499999999998"/>
    <n v="2"/>
    <n v="2"/>
    <x v="1"/>
    <n v="1"/>
    <n v="0"/>
    <n v="0"/>
    <n v="38"/>
    <n v="2"/>
    <n v="1"/>
    <n v="1"/>
    <n v="4"/>
  </r>
  <r>
    <n v="326"/>
    <n v="40"/>
    <x v="3"/>
    <x v="1"/>
    <s v="Widowed"/>
    <x v="2"/>
    <x v="0"/>
    <n v="10"/>
    <x v="1"/>
    <n v="605.89"/>
    <n v="201.96333333333334"/>
    <n v="3"/>
    <n v="0"/>
    <x v="0"/>
    <n v="0"/>
    <n v="0"/>
    <n v="0"/>
    <n v="107"/>
    <n v="1"/>
    <n v="2"/>
    <n v="1"/>
    <n v="4"/>
  </r>
  <r>
    <n v="327"/>
    <n v="48"/>
    <x v="2"/>
    <x v="0"/>
    <s v="Single"/>
    <x v="2"/>
    <x v="0"/>
    <n v="28"/>
    <x v="1"/>
    <n v="403.37"/>
    <n v="201.685"/>
    <n v="2"/>
    <n v="2"/>
    <x v="1"/>
    <n v="1"/>
    <n v="1"/>
    <n v="0"/>
    <n v="2"/>
    <n v="3"/>
    <n v="1"/>
    <n v="1"/>
    <n v="5"/>
  </r>
  <r>
    <n v="328"/>
    <n v="35"/>
    <x v="3"/>
    <x v="1"/>
    <s v="Married"/>
    <x v="1"/>
    <x v="0"/>
    <n v="49"/>
    <x v="0"/>
    <n v="848.26"/>
    <n v="169.65199999999999"/>
    <n v="5"/>
    <n v="0"/>
    <x v="0"/>
    <n v="0"/>
    <n v="0"/>
    <n v="0"/>
    <n v="33"/>
    <n v="2"/>
    <n v="2"/>
    <n v="2"/>
    <n v="6"/>
  </r>
  <r>
    <n v="329"/>
    <n v="24"/>
    <x v="1"/>
    <x v="1"/>
    <s v="Divorced"/>
    <x v="1"/>
    <x v="0"/>
    <n v="37"/>
    <x v="2"/>
    <n v="2361.19"/>
    <n v="295.14875000000001"/>
    <n v="8"/>
    <n v="1"/>
    <x v="1"/>
    <n v="0"/>
    <n v="0"/>
    <n v="1"/>
    <n v="36"/>
    <n v="2"/>
    <n v="3"/>
    <n v="3"/>
    <n v="8"/>
  </r>
  <r>
    <n v="330"/>
    <n v="25"/>
    <x v="1"/>
    <x v="0"/>
    <s v="Widowed"/>
    <x v="1"/>
    <x v="0"/>
    <n v="17"/>
    <x v="0"/>
    <n v="2582.54"/>
    <n v="286.94888888888886"/>
    <n v="9"/>
    <n v="0"/>
    <x v="0"/>
    <n v="0"/>
    <n v="0"/>
    <n v="0"/>
    <n v="43"/>
    <n v="2"/>
    <n v="3"/>
    <n v="3"/>
    <n v="8"/>
  </r>
  <r>
    <n v="331"/>
    <n v="36"/>
    <x v="3"/>
    <x v="0"/>
    <s v="Divorced"/>
    <x v="2"/>
    <x v="0"/>
    <n v="30"/>
    <x v="1"/>
    <n v="908.31999999999994"/>
    <n v="181.66399999999999"/>
    <n v="5"/>
    <n v="2"/>
    <x v="1"/>
    <n v="1"/>
    <n v="0"/>
    <n v="1"/>
    <n v="10"/>
    <n v="3"/>
    <n v="2"/>
    <n v="2"/>
    <n v="7"/>
  </r>
  <r>
    <n v="332"/>
    <n v="46"/>
    <x v="2"/>
    <x v="0"/>
    <s v="Widowed"/>
    <x v="2"/>
    <x v="0"/>
    <n v="6"/>
    <x v="1"/>
    <n v="1577.44"/>
    <n v="315.488"/>
    <n v="5"/>
    <n v="0"/>
    <x v="0"/>
    <n v="0"/>
    <n v="0"/>
    <n v="0"/>
    <n v="71"/>
    <n v="2"/>
    <n v="2"/>
    <n v="3"/>
    <n v="7"/>
  </r>
  <r>
    <n v="333"/>
    <n v="61"/>
    <x v="0"/>
    <x v="0"/>
    <s v="Single"/>
    <x v="2"/>
    <x v="0"/>
    <n v="11"/>
    <x v="1"/>
    <n v="2439.3900000000003"/>
    <n v="348.48428571428576"/>
    <n v="7"/>
    <n v="2"/>
    <x v="1"/>
    <n v="1"/>
    <n v="1"/>
    <n v="0"/>
    <n v="52"/>
    <n v="2"/>
    <n v="2"/>
    <n v="3"/>
    <n v="7"/>
  </r>
  <r>
    <n v="334"/>
    <n v="37"/>
    <x v="3"/>
    <x v="1"/>
    <s v="Divorced"/>
    <x v="2"/>
    <x v="0"/>
    <n v="11"/>
    <x v="2"/>
    <n v="1719.3700000000001"/>
    <n v="286.56166666666667"/>
    <n v="6"/>
    <n v="1"/>
    <x v="0"/>
    <n v="1"/>
    <n v="0"/>
    <n v="0"/>
    <n v="39"/>
    <n v="2"/>
    <n v="2"/>
    <n v="3"/>
    <n v="7"/>
  </r>
  <r>
    <n v="335"/>
    <n v="67"/>
    <x v="0"/>
    <x v="1"/>
    <s v="Married"/>
    <x v="2"/>
    <x v="1"/>
    <n v="2"/>
    <x v="0"/>
    <n v="756.52"/>
    <n v="378.26"/>
    <n v="2"/>
    <n v="2"/>
    <x v="0"/>
    <n v="0"/>
    <n v="0"/>
    <n v="1"/>
    <n v="24"/>
    <n v="3"/>
    <n v="1"/>
    <n v="1"/>
    <n v="5"/>
  </r>
  <r>
    <n v="336"/>
    <n v="59"/>
    <x v="2"/>
    <x v="1"/>
    <s v="Widowed"/>
    <x v="2"/>
    <x v="0"/>
    <n v="20"/>
    <x v="0"/>
    <n v="135.94"/>
    <n v="135.94"/>
    <n v="1"/>
    <n v="0"/>
    <x v="0"/>
    <n v="0"/>
    <n v="0"/>
    <n v="0"/>
    <n v="11"/>
    <n v="3"/>
    <n v="1"/>
    <n v="1"/>
    <n v="5"/>
  </r>
  <r>
    <n v="337"/>
    <n v="47"/>
    <x v="2"/>
    <x v="1"/>
    <s v="Divorced"/>
    <x v="1"/>
    <x v="0"/>
    <n v="34"/>
    <x v="1"/>
    <n v="608.05999999999995"/>
    <n v="304.02999999999997"/>
    <n v="2"/>
    <n v="0"/>
    <x v="0"/>
    <n v="0"/>
    <n v="0"/>
    <n v="0"/>
    <n v="6"/>
    <n v="3"/>
    <n v="1"/>
    <n v="1"/>
    <n v="5"/>
  </r>
  <r>
    <n v="338"/>
    <n v="64"/>
    <x v="0"/>
    <x v="1"/>
    <s v="Widowed"/>
    <x v="1"/>
    <x v="0"/>
    <n v="41"/>
    <x v="0"/>
    <n v="13.86"/>
    <n v="13.86"/>
    <n v="1"/>
    <n v="0"/>
    <x v="0"/>
    <n v="0"/>
    <n v="0"/>
    <n v="0"/>
    <n v="31"/>
    <n v="2"/>
    <n v="1"/>
    <n v="1"/>
    <n v="4"/>
  </r>
  <r>
    <n v="339"/>
    <n v="39"/>
    <x v="3"/>
    <x v="0"/>
    <s v="Divorced"/>
    <x v="2"/>
    <x v="0"/>
    <n v="1"/>
    <x v="1"/>
    <n v="682.93999999999994"/>
    <n v="170.73499999999999"/>
    <n v="4"/>
    <n v="1"/>
    <x v="0"/>
    <n v="0"/>
    <n v="0"/>
    <n v="1"/>
    <n v="34"/>
    <n v="2"/>
    <n v="2"/>
    <n v="1"/>
    <n v="5"/>
  </r>
  <r>
    <n v="340"/>
    <n v="27"/>
    <x v="1"/>
    <x v="1"/>
    <s v="Divorced"/>
    <x v="0"/>
    <x v="0"/>
    <n v="48"/>
    <x v="0"/>
    <n v="1147.08"/>
    <n v="191.17999999999998"/>
    <n v="6"/>
    <n v="1"/>
    <x v="1"/>
    <n v="1"/>
    <n v="0"/>
    <n v="0"/>
    <n v="53"/>
    <n v="2"/>
    <n v="2"/>
    <n v="2"/>
    <n v="6"/>
  </r>
  <r>
    <n v="341"/>
    <n v="43"/>
    <x v="3"/>
    <x v="0"/>
    <s v="Single"/>
    <x v="1"/>
    <x v="0"/>
    <n v="27"/>
    <x v="2"/>
    <n v="1022.8600000000001"/>
    <n v="170.47666666666669"/>
    <n v="6"/>
    <n v="1"/>
    <x v="0"/>
    <n v="0"/>
    <n v="0"/>
    <n v="1"/>
    <n v="90"/>
    <n v="1"/>
    <n v="2"/>
    <n v="2"/>
    <n v="5"/>
  </r>
  <r>
    <n v="342"/>
    <n v="68"/>
    <x v="0"/>
    <x v="0"/>
    <s v="Married"/>
    <x v="2"/>
    <x v="1"/>
    <n v="26"/>
    <x v="2"/>
    <n v="2295.7599999999998"/>
    <n v="327.96571428571423"/>
    <n v="7"/>
    <n v="1"/>
    <x v="0"/>
    <n v="0"/>
    <n v="0"/>
    <n v="1"/>
    <n v="37"/>
    <n v="2"/>
    <n v="2"/>
    <n v="3"/>
    <n v="7"/>
  </r>
  <r>
    <n v="343"/>
    <n v="50"/>
    <x v="2"/>
    <x v="0"/>
    <s v="Divorced"/>
    <x v="1"/>
    <x v="0"/>
    <n v="26"/>
    <x v="2"/>
    <n v="924.63"/>
    <n v="308.20999999999998"/>
    <n v="3"/>
    <n v="2"/>
    <x v="0"/>
    <n v="0"/>
    <n v="1"/>
    <n v="1"/>
    <n v="191"/>
    <n v="1"/>
    <n v="2"/>
    <n v="2"/>
    <n v="5"/>
  </r>
  <r>
    <n v="344"/>
    <n v="45"/>
    <x v="3"/>
    <x v="1"/>
    <s v="Single"/>
    <x v="0"/>
    <x v="0"/>
    <n v="8"/>
    <x v="0"/>
    <n v="1466.6"/>
    <n v="244.43333333333331"/>
    <n v="6"/>
    <n v="2"/>
    <x v="1"/>
    <n v="1"/>
    <n v="0"/>
    <n v="1"/>
    <n v="56"/>
    <n v="2"/>
    <n v="2"/>
    <n v="2"/>
    <n v="6"/>
  </r>
  <r>
    <n v="345"/>
    <n v="27"/>
    <x v="1"/>
    <x v="1"/>
    <s v="Widowed"/>
    <x v="1"/>
    <x v="0"/>
    <n v="29"/>
    <x v="2"/>
    <n v="1980.5"/>
    <n v="247.5625"/>
    <n v="8"/>
    <n v="1"/>
    <x v="0"/>
    <n v="0"/>
    <n v="1"/>
    <n v="0"/>
    <n v="130"/>
    <n v="1"/>
    <n v="3"/>
    <n v="3"/>
    <n v="7"/>
  </r>
  <r>
    <n v="346"/>
    <n v="46"/>
    <x v="2"/>
    <x v="0"/>
    <s v="Widowed"/>
    <x v="1"/>
    <x v="0"/>
    <n v="17"/>
    <x v="2"/>
    <n v="1641.6200000000001"/>
    <n v="273.60333333333335"/>
    <n v="6"/>
    <n v="1"/>
    <x v="1"/>
    <n v="0"/>
    <n v="1"/>
    <n v="0"/>
    <n v="32"/>
    <n v="2"/>
    <n v="2"/>
    <n v="3"/>
    <n v="7"/>
  </r>
  <r>
    <n v="347"/>
    <n v="61"/>
    <x v="0"/>
    <x v="0"/>
    <s v="Divorced"/>
    <x v="1"/>
    <x v="0"/>
    <n v="33"/>
    <x v="0"/>
    <n v="1974.45"/>
    <n v="219.38333333333333"/>
    <n v="9"/>
    <n v="2"/>
    <x v="1"/>
    <n v="1"/>
    <n v="0"/>
    <n v="1"/>
    <n v="10"/>
    <n v="3"/>
    <n v="3"/>
    <n v="3"/>
    <n v="9"/>
  </r>
  <r>
    <n v="348"/>
    <n v="35"/>
    <x v="3"/>
    <x v="0"/>
    <s v="Married"/>
    <x v="1"/>
    <x v="0"/>
    <n v="1"/>
    <x v="2"/>
    <n v="704.7"/>
    <n v="352.35"/>
    <n v="2"/>
    <n v="1"/>
    <x v="0"/>
    <n v="1"/>
    <n v="0"/>
    <n v="0"/>
    <n v="220"/>
    <n v="1"/>
    <n v="1"/>
    <n v="1"/>
    <n v="3"/>
  </r>
  <r>
    <n v="349"/>
    <n v="59"/>
    <x v="2"/>
    <x v="0"/>
    <s v="Widowed"/>
    <x v="2"/>
    <x v="0"/>
    <n v="24"/>
    <x v="0"/>
    <n v="1376.5400000000002"/>
    <n v="229.42333333333337"/>
    <n v="6"/>
    <n v="2"/>
    <x v="0"/>
    <n v="1"/>
    <n v="0"/>
    <n v="0"/>
    <n v="103"/>
    <n v="1"/>
    <n v="2"/>
    <n v="2"/>
    <n v="5"/>
  </r>
  <r>
    <n v="350"/>
    <n v="18"/>
    <x v="1"/>
    <x v="0"/>
    <s v="Divorced"/>
    <x v="0"/>
    <x v="0"/>
    <n v="25"/>
    <x v="2"/>
    <n v="2702.27"/>
    <n v="300.2522222222222"/>
    <n v="9"/>
    <n v="1"/>
    <x v="1"/>
    <n v="1"/>
    <n v="0"/>
    <n v="0"/>
    <n v="6"/>
    <n v="3"/>
    <n v="3"/>
    <n v="3"/>
    <n v="9"/>
  </r>
  <r>
    <n v="351"/>
    <n v="40"/>
    <x v="3"/>
    <x v="0"/>
    <s v="Widowed"/>
    <x v="2"/>
    <x v="1"/>
    <n v="1"/>
    <x v="0"/>
    <n v="588.67999999999995"/>
    <n v="294.33999999999997"/>
    <n v="2"/>
    <n v="1"/>
    <x v="1"/>
    <n v="1"/>
    <n v="0"/>
    <n v="0"/>
    <n v="134"/>
    <n v="1"/>
    <n v="1"/>
    <n v="1"/>
    <n v="3"/>
  </r>
  <r>
    <n v="352"/>
    <n v="34"/>
    <x v="3"/>
    <x v="1"/>
    <s v="Single"/>
    <x v="1"/>
    <x v="0"/>
    <n v="26"/>
    <x v="1"/>
    <n v="1493.9"/>
    <n v="298.78000000000003"/>
    <n v="5"/>
    <n v="2"/>
    <x v="1"/>
    <n v="1"/>
    <n v="0"/>
    <n v="0"/>
    <n v="60"/>
    <n v="2"/>
    <n v="2"/>
    <n v="2"/>
    <n v="6"/>
  </r>
  <r>
    <n v="353"/>
    <n v="60"/>
    <x v="2"/>
    <x v="0"/>
    <s v="Divorced"/>
    <x v="1"/>
    <x v="1"/>
    <n v="16"/>
    <x v="2"/>
    <n v="266.08"/>
    <n v="266.08"/>
    <n v="1"/>
    <n v="2"/>
    <x v="1"/>
    <n v="0"/>
    <n v="1"/>
    <n v="1"/>
    <n v="291"/>
    <n v="1"/>
    <n v="1"/>
    <n v="1"/>
    <n v="3"/>
  </r>
  <r>
    <n v="354"/>
    <n v="54"/>
    <x v="2"/>
    <x v="0"/>
    <s v="Divorced"/>
    <x v="1"/>
    <x v="0"/>
    <n v="49"/>
    <x v="2"/>
    <n v="324.39999999999998"/>
    <n v="108.13333333333333"/>
    <n v="3"/>
    <n v="1"/>
    <x v="1"/>
    <n v="0"/>
    <n v="0"/>
    <n v="1"/>
    <n v="243"/>
    <n v="1"/>
    <n v="2"/>
    <n v="1"/>
    <n v="4"/>
  </r>
  <r>
    <n v="355"/>
    <n v="48"/>
    <x v="2"/>
    <x v="0"/>
    <s v="Divorced"/>
    <x v="0"/>
    <x v="0"/>
    <n v="33"/>
    <x v="1"/>
    <n v="368.57"/>
    <n v="368.57"/>
    <n v="1"/>
    <n v="2"/>
    <x v="1"/>
    <n v="1"/>
    <n v="1"/>
    <n v="0"/>
    <n v="280"/>
    <n v="1"/>
    <n v="1"/>
    <n v="1"/>
    <n v="3"/>
  </r>
  <r>
    <n v="356"/>
    <n v="42"/>
    <x v="3"/>
    <x v="0"/>
    <s v="Single"/>
    <x v="0"/>
    <x v="0"/>
    <n v="28"/>
    <x v="0"/>
    <n v="2316.37"/>
    <n v="289.54624999999999"/>
    <n v="8"/>
    <n v="0"/>
    <x v="0"/>
    <n v="0"/>
    <n v="0"/>
    <n v="0"/>
    <n v="17"/>
    <n v="3"/>
    <n v="3"/>
    <n v="3"/>
    <n v="9"/>
  </r>
  <r>
    <n v="357"/>
    <n v="21"/>
    <x v="1"/>
    <x v="0"/>
    <s v="Divorced"/>
    <x v="2"/>
    <x v="0"/>
    <n v="45"/>
    <x v="2"/>
    <n v="780.18"/>
    <n v="195.04499999999999"/>
    <n v="4"/>
    <n v="2"/>
    <x v="1"/>
    <n v="0"/>
    <n v="1"/>
    <n v="1"/>
    <n v="24"/>
    <n v="3"/>
    <n v="2"/>
    <n v="1"/>
    <n v="6"/>
  </r>
  <r>
    <n v="358"/>
    <n v="69"/>
    <x v="0"/>
    <x v="1"/>
    <s v="Divorced"/>
    <x v="1"/>
    <x v="1"/>
    <n v="24"/>
    <x v="0"/>
    <n v="2282.8900000000003"/>
    <n v="253.65444444444449"/>
    <n v="9"/>
    <n v="1"/>
    <x v="1"/>
    <n v="1"/>
    <n v="0"/>
    <n v="0"/>
    <n v="11"/>
    <n v="3"/>
    <n v="3"/>
    <n v="3"/>
    <n v="9"/>
  </r>
  <r>
    <n v="359"/>
    <n v="26"/>
    <x v="1"/>
    <x v="0"/>
    <s v="Single"/>
    <x v="0"/>
    <x v="0"/>
    <n v="36"/>
    <x v="1"/>
    <n v="2154.17"/>
    <n v="269.27125000000001"/>
    <n v="8"/>
    <n v="1"/>
    <x v="0"/>
    <n v="1"/>
    <n v="0"/>
    <n v="0"/>
    <n v="66"/>
    <n v="2"/>
    <n v="3"/>
    <n v="3"/>
    <n v="8"/>
  </r>
  <r>
    <n v="360"/>
    <n v="45"/>
    <x v="3"/>
    <x v="1"/>
    <s v="Widowed"/>
    <x v="1"/>
    <x v="0"/>
    <n v="14"/>
    <x v="2"/>
    <n v="1731.26"/>
    <n v="216.4075"/>
    <n v="8"/>
    <n v="2"/>
    <x v="0"/>
    <n v="1"/>
    <n v="0"/>
    <n v="1"/>
    <n v="32"/>
    <n v="2"/>
    <n v="3"/>
    <n v="3"/>
    <n v="8"/>
  </r>
  <r>
    <n v="361"/>
    <n v="47"/>
    <x v="2"/>
    <x v="0"/>
    <s v="Single"/>
    <x v="2"/>
    <x v="0"/>
    <n v="49"/>
    <x v="0"/>
    <n v="2348.4100000000003"/>
    <n v="260.93444444444447"/>
    <n v="9"/>
    <n v="0"/>
    <x v="0"/>
    <n v="0"/>
    <n v="0"/>
    <n v="0"/>
    <n v="6"/>
    <n v="3"/>
    <n v="3"/>
    <n v="3"/>
    <n v="9"/>
  </r>
  <r>
    <n v="362"/>
    <n v="64"/>
    <x v="0"/>
    <x v="0"/>
    <s v="Married"/>
    <x v="2"/>
    <x v="1"/>
    <n v="5"/>
    <x v="0"/>
    <n v="469.14"/>
    <n v="234.57"/>
    <n v="2"/>
    <n v="2"/>
    <x v="1"/>
    <n v="1"/>
    <n v="0"/>
    <n v="1"/>
    <n v="57"/>
    <n v="2"/>
    <n v="1"/>
    <n v="1"/>
    <n v="4"/>
  </r>
  <r>
    <n v="363"/>
    <n v="41"/>
    <x v="3"/>
    <x v="1"/>
    <s v="Single"/>
    <x v="0"/>
    <x v="0"/>
    <n v="27"/>
    <x v="2"/>
    <n v="1514.1599999999999"/>
    <n v="168.23999999999998"/>
    <n v="9"/>
    <n v="1"/>
    <x v="0"/>
    <n v="1"/>
    <n v="0"/>
    <n v="0"/>
    <n v="64"/>
    <n v="2"/>
    <n v="3"/>
    <n v="2"/>
    <n v="7"/>
  </r>
  <r>
    <n v="364"/>
    <n v="50"/>
    <x v="2"/>
    <x v="0"/>
    <s v="Widowed"/>
    <x v="2"/>
    <x v="0"/>
    <n v="14"/>
    <x v="0"/>
    <n v="286.8"/>
    <n v="286.8"/>
    <n v="1"/>
    <n v="2"/>
    <x v="0"/>
    <n v="0"/>
    <n v="1"/>
    <n v="0"/>
    <n v="246"/>
    <n v="1"/>
    <n v="1"/>
    <n v="1"/>
    <n v="3"/>
  </r>
  <r>
    <n v="365"/>
    <n v="37"/>
    <x v="3"/>
    <x v="1"/>
    <s v="Divorced"/>
    <x v="0"/>
    <x v="1"/>
    <n v="24"/>
    <x v="2"/>
    <n v="1188.8399999999999"/>
    <n v="148.60499999999999"/>
    <n v="8"/>
    <n v="1"/>
    <x v="0"/>
    <n v="0"/>
    <n v="0"/>
    <n v="1"/>
    <n v="20"/>
    <n v="3"/>
    <n v="3"/>
    <n v="2"/>
    <n v="8"/>
  </r>
  <r>
    <n v="366"/>
    <n v="26"/>
    <x v="1"/>
    <x v="1"/>
    <s v="Divorced"/>
    <x v="1"/>
    <x v="0"/>
    <n v="46"/>
    <x v="1"/>
    <n v="2518.1600000000003"/>
    <n v="314.77000000000004"/>
    <n v="8"/>
    <n v="0"/>
    <x v="0"/>
    <n v="0"/>
    <n v="0"/>
    <n v="0"/>
    <n v="1"/>
    <n v="3"/>
    <n v="3"/>
    <n v="3"/>
    <n v="9"/>
  </r>
  <r>
    <n v="367"/>
    <n v="25"/>
    <x v="1"/>
    <x v="1"/>
    <s v="Single"/>
    <x v="0"/>
    <x v="0"/>
    <n v="28"/>
    <x v="0"/>
    <n v="2197.79"/>
    <n v="313.96999999999997"/>
    <n v="7"/>
    <n v="1"/>
    <x v="1"/>
    <n v="1"/>
    <n v="0"/>
    <n v="0"/>
    <n v="2"/>
    <n v="3"/>
    <n v="2"/>
    <n v="3"/>
    <n v="8"/>
  </r>
  <r>
    <n v="368"/>
    <n v="41"/>
    <x v="3"/>
    <x v="1"/>
    <s v="Married"/>
    <x v="2"/>
    <x v="0"/>
    <n v="8"/>
    <x v="2"/>
    <n v="1939.2"/>
    <n v="323.2"/>
    <n v="6"/>
    <n v="0"/>
    <x v="0"/>
    <n v="0"/>
    <n v="0"/>
    <n v="0"/>
    <n v="17"/>
    <n v="3"/>
    <n v="2"/>
    <n v="3"/>
    <n v="8"/>
  </r>
  <r>
    <n v="369"/>
    <n v="31"/>
    <x v="3"/>
    <x v="1"/>
    <s v="Single"/>
    <x v="1"/>
    <x v="0"/>
    <n v="35"/>
    <x v="1"/>
    <n v="3352.3400000000006"/>
    <n v="372.48222222222228"/>
    <n v="9"/>
    <n v="1"/>
    <x v="1"/>
    <n v="0"/>
    <n v="1"/>
    <n v="0"/>
    <n v="23"/>
    <n v="3"/>
    <n v="3"/>
    <n v="3"/>
    <n v="9"/>
  </r>
  <r>
    <n v="370"/>
    <n v="35"/>
    <x v="3"/>
    <x v="1"/>
    <s v="Married"/>
    <x v="2"/>
    <x v="0"/>
    <n v="47"/>
    <x v="2"/>
    <n v="1239.8100000000002"/>
    <n v="206.63500000000002"/>
    <n v="6"/>
    <n v="2"/>
    <x v="1"/>
    <n v="0"/>
    <n v="1"/>
    <n v="1"/>
    <n v="9"/>
    <n v="3"/>
    <n v="2"/>
    <n v="2"/>
    <n v="7"/>
  </r>
  <r>
    <n v="371"/>
    <n v="18"/>
    <x v="1"/>
    <x v="0"/>
    <s v="Single"/>
    <x v="1"/>
    <x v="0"/>
    <n v="35"/>
    <x v="1"/>
    <n v="1454.4499999999998"/>
    <n v="290.89"/>
    <n v="5"/>
    <n v="2"/>
    <x v="0"/>
    <n v="0"/>
    <n v="0"/>
    <n v="1"/>
    <n v="3"/>
    <n v="3"/>
    <n v="2"/>
    <n v="2"/>
    <n v="7"/>
  </r>
  <r>
    <n v="372"/>
    <n v="29"/>
    <x v="1"/>
    <x v="1"/>
    <s v="Married"/>
    <x v="1"/>
    <x v="0"/>
    <n v="23"/>
    <x v="1"/>
    <n v="35.85"/>
    <n v="35.85"/>
    <n v="1"/>
    <n v="2"/>
    <x v="1"/>
    <n v="1"/>
    <n v="0"/>
    <n v="1"/>
    <n v="189"/>
    <n v="1"/>
    <n v="1"/>
    <n v="1"/>
    <n v="3"/>
  </r>
  <r>
    <n v="373"/>
    <n v="46"/>
    <x v="2"/>
    <x v="0"/>
    <s v="Married"/>
    <x v="1"/>
    <x v="0"/>
    <n v="13"/>
    <x v="2"/>
    <n v="267.08999999999997"/>
    <n v="133.54499999999999"/>
    <n v="2"/>
    <n v="1"/>
    <x v="1"/>
    <n v="1"/>
    <n v="0"/>
    <n v="0"/>
    <n v="236"/>
    <n v="1"/>
    <n v="1"/>
    <n v="1"/>
    <n v="3"/>
  </r>
  <r>
    <n v="374"/>
    <n v="54"/>
    <x v="2"/>
    <x v="0"/>
    <s v="Divorced"/>
    <x v="1"/>
    <x v="0"/>
    <n v="47"/>
    <x v="2"/>
    <n v="2143.59"/>
    <n v="238.17666666666668"/>
    <n v="9"/>
    <n v="0"/>
    <x v="0"/>
    <n v="0"/>
    <n v="0"/>
    <n v="0"/>
    <n v="20"/>
    <n v="3"/>
    <n v="3"/>
    <n v="3"/>
    <n v="9"/>
  </r>
  <r>
    <n v="375"/>
    <n v="43"/>
    <x v="3"/>
    <x v="1"/>
    <s v="Married"/>
    <x v="2"/>
    <x v="0"/>
    <n v="17"/>
    <x v="1"/>
    <n v="133.19999999999999"/>
    <n v="133.19999999999999"/>
    <n v="1"/>
    <n v="1"/>
    <x v="1"/>
    <n v="0"/>
    <n v="0"/>
    <n v="1"/>
    <n v="263"/>
    <n v="1"/>
    <n v="1"/>
    <n v="1"/>
    <n v="3"/>
  </r>
  <r>
    <n v="376"/>
    <n v="50"/>
    <x v="2"/>
    <x v="1"/>
    <s v="Divorced"/>
    <x v="0"/>
    <x v="0"/>
    <n v="31"/>
    <x v="1"/>
    <n v="1143.8"/>
    <n v="285.95"/>
    <n v="4"/>
    <n v="1"/>
    <x v="0"/>
    <n v="1"/>
    <n v="0"/>
    <n v="0"/>
    <n v="38"/>
    <n v="2"/>
    <n v="2"/>
    <n v="2"/>
    <n v="6"/>
  </r>
  <r>
    <n v="377"/>
    <n v="60"/>
    <x v="2"/>
    <x v="1"/>
    <s v="Single"/>
    <x v="1"/>
    <x v="0"/>
    <n v="10"/>
    <x v="2"/>
    <n v="2366.2999999999997"/>
    <n v="295.78749999999997"/>
    <n v="8"/>
    <n v="2"/>
    <x v="1"/>
    <n v="0"/>
    <n v="1"/>
    <n v="1"/>
    <n v="6"/>
    <n v="3"/>
    <n v="3"/>
    <n v="3"/>
    <n v="9"/>
  </r>
  <r>
    <n v="378"/>
    <n v="32"/>
    <x v="3"/>
    <x v="0"/>
    <s v="Single"/>
    <x v="2"/>
    <x v="0"/>
    <n v="36"/>
    <x v="1"/>
    <n v="1333.6"/>
    <n v="333.4"/>
    <n v="4"/>
    <n v="2"/>
    <x v="1"/>
    <n v="1"/>
    <n v="0"/>
    <n v="1"/>
    <n v="31"/>
    <n v="2"/>
    <n v="2"/>
    <n v="2"/>
    <n v="6"/>
  </r>
  <r>
    <n v="379"/>
    <n v="40"/>
    <x v="3"/>
    <x v="1"/>
    <s v="Single"/>
    <x v="2"/>
    <x v="0"/>
    <n v="29"/>
    <x v="2"/>
    <n v="1582.08"/>
    <n v="197.76"/>
    <n v="8"/>
    <n v="1"/>
    <x v="0"/>
    <n v="1"/>
    <n v="0"/>
    <n v="0"/>
    <n v="109"/>
    <n v="1"/>
    <n v="3"/>
    <n v="3"/>
    <n v="7"/>
  </r>
  <r>
    <n v="380"/>
    <n v="46"/>
    <x v="2"/>
    <x v="1"/>
    <s v="Single"/>
    <x v="2"/>
    <x v="0"/>
    <n v="16"/>
    <x v="0"/>
    <n v="1172.6600000000001"/>
    <n v="195.44333333333336"/>
    <n v="6"/>
    <n v="0"/>
    <x v="0"/>
    <n v="0"/>
    <n v="0"/>
    <n v="0"/>
    <n v="86"/>
    <n v="1"/>
    <n v="2"/>
    <n v="2"/>
    <n v="5"/>
  </r>
  <r>
    <n v="381"/>
    <n v="38"/>
    <x v="3"/>
    <x v="0"/>
    <s v="Single"/>
    <x v="0"/>
    <x v="1"/>
    <n v="33"/>
    <x v="1"/>
    <n v="1087.6199999999999"/>
    <n v="271.90499999999997"/>
    <n v="4"/>
    <n v="1"/>
    <x v="0"/>
    <n v="0"/>
    <n v="1"/>
    <n v="0"/>
    <n v="47"/>
    <n v="2"/>
    <n v="2"/>
    <n v="2"/>
    <n v="6"/>
  </r>
  <r>
    <n v="382"/>
    <n v="36"/>
    <x v="3"/>
    <x v="1"/>
    <s v="Divorced"/>
    <x v="2"/>
    <x v="0"/>
    <n v="14"/>
    <x v="0"/>
    <n v="2467.11"/>
    <n v="274.12333333333333"/>
    <n v="9"/>
    <n v="1"/>
    <x v="0"/>
    <n v="0"/>
    <n v="1"/>
    <n v="0"/>
    <n v="16"/>
    <n v="3"/>
    <n v="3"/>
    <n v="3"/>
    <n v="9"/>
  </r>
  <r>
    <n v="383"/>
    <n v="22"/>
    <x v="1"/>
    <x v="0"/>
    <s v="Single"/>
    <x v="2"/>
    <x v="0"/>
    <n v="7"/>
    <x v="2"/>
    <n v="800.56"/>
    <n v="200.14"/>
    <n v="4"/>
    <n v="2"/>
    <x v="1"/>
    <n v="1"/>
    <n v="0"/>
    <n v="1"/>
    <n v="85"/>
    <n v="1"/>
    <n v="2"/>
    <n v="1"/>
    <n v="4"/>
  </r>
  <r>
    <n v="384"/>
    <n v="40"/>
    <x v="3"/>
    <x v="1"/>
    <s v="Married"/>
    <x v="0"/>
    <x v="0"/>
    <n v="33"/>
    <x v="1"/>
    <n v="339.16999999999996"/>
    <n v="169.58499999999998"/>
    <n v="2"/>
    <n v="2"/>
    <x v="1"/>
    <n v="1"/>
    <n v="1"/>
    <n v="0"/>
    <n v="311"/>
    <n v="1"/>
    <n v="1"/>
    <n v="1"/>
    <n v="3"/>
  </r>
  <r>
    <n v="385"/>
    <n v="53"/>
    <x v="2"/>
    <x v="0"/>
    <s v="Widowed"/>
    <x v="2"/>
    <x v="1"/>
    <n v="3"/>
    <x v="0"/>
    <n v="1338.28"/>
    <n v="334.57"/>
    <n v="4"/>
    <n v="0"/>
    <x v="0"/>
    <n v="0"/>
    <n v="0"/>
    <n v="0"/>
    <n v="225"/>
    <n v="1"/>
    <n v="2"/>
    <n v="2"/>
    <n v="5"/>
  </r>
  <r>
    <n v="386"/>
    <n v="37"/>
    <x v="3"/>
    <x v="1"/>
    <s v="Divorced"/>
    <x v="2"/>
    <x v="0"/>
    <n v="26"/>
    <x v="1"/>
    <n v="773.11"/>
    <n v="193.2775"/>
    <n v="4"/>
    <n v="1"/>
    <x v="0"/>
    <n v="0"/>
    <n v="1"/>
    <n v="0"/>
    <n v="162"/>
    <n v="1"/>
    <n v="2"/>
    <n v="1"/>
    <n v="4"/>
  </r>
  <r>
    <n v="387"/>
    <n v="25"/>
    <x v="1"/>
    <x v="0"/>
    <s v="Married"/>
    <x v="0"/>
    <x v="0"/>
    <n v="39"/>
    <x v="1"/>
    <n v="47.52"/>
    <n v="47.52"/>
    <n v="1"/>
    <n v="2"/>
    <x v="1"/>
    <n v="1"/>
    <n v="1"/>
    <n v="0"/>
    <n v="5"/>
    <n v="3"/>
    <n v="1"/>
    <n v="1"/>
    <n v="5"/>
  </r>
  <r>
    <n v="388"/>
    <n v="26"/>
    <x v="1"/>
    <x v="1"/>
    <s v="Widowed"/>
    <x v="0"/>
    <x v="1"/>
    <n v="5"/>
    <x v="2"/>
    <n v="1787.42"/>
    <n v="223.42750000000001"/>
    <n v="8"/>
    <n v="0"/>
    <x v="0"/>
    <n v="0"/>
    <n v="0"/>
    <n v="0"/>
    <n v="34"/>
    <n v="2"/>
    <n v="3"/>
    <n v="3"/>
    <n v="8"/>
  </r>
  <r>
    <n v="389"/>
    <n v="31"/>
    <x v="3"/>
    <x v="1"/>
    <s v="Widowed"/>
    <x v="0"/>
    <x v="1"/>
    <n v="23"/>
    <x v="2"/>
    <n v="522.89"/>
    <n v="174.29666666666665"/>
    <n v="3"/>
    <n v="0"/>
    <x v="0"/>
    <n v="0"/>
    <n v="0"/>
    <n v="0"/>
    <n v="123"/>
    <n v="1"/>
    <n v="2"/>
    <n v="1"/>
    <n v="4"/>
  </r>
  <r>
    <n v="390"/>
    <n v="23"/>
    <x v="1"/>
    <x v="0"/>
    <s v="Divorced"/>
    <x v="1"/>
    <x v="0"/>
    <n v="33"/>
    <x v="0"/>
    <n v="281.95"/>
    <n v="281.95"/>
    <n v="1"/>
    <n v="0"/>
    <x v="0"/>
    <n v="0"/>
    <n v="0"/>
    <n v="0"/>
    <n v="43"/>
    <n v="2"/>
    <n v="1"/>
    <n v="1"/>
    <n v="4"/>
  </r>
  <r>
    <n v="391"/>
    <n v="18"/>
    <x v="1"/>
    <x v="1"/>
    <s v="Married"/>
    <x v="0"/>
    <x v="0"/>
    <n v="30"/>
    <x v="0"/>
    <n v="1990.1500000000003"/>
    <n v="284.30714285714288"/>
    <n v="7"/>
    <n v="0"/>
    <x v="0"/>
    <n v="0"/>
    <n v="0"/>
    <n v="0"/>
    <n v="55"/>
    <n v="2"/>
    <n v="2"/>
    <n v="3"/>
    <n v="7"/>
  </r>
  <r>
    <n v="392"/>
    <n v="26"/>
    <x v="1"/>
    <x v="1"/>
    <s v="Widowed"/>
    <x v="1"/>
    <x v="0"/>
    <n v="33"/>
    <x v="0"/>
    <n v="1533.3400000000001"/>
    <n v="219.04857142857145"/>
    <n v="7"/>
    <n v="1"/>
    <x v="0"/>
    <n v="0"/>
    <n v="1"/>
    <n v="0"/>
    <n v="14"/>
    <n v="3"/>
    <n v="2"/>
    <n v="2"/>
    <n v="7"/>
  </r>
  <r>
    <n v="393"/>
    <n v="33"/>
    <x v="3"/>
    <x v="0"/>
    <s v="Widowed"/>
    <x v="1"/>
    <x v="0"/>
    <n v="43"/>
    <x v="1"/>
    <n v="1960.83"/>
    <n v="245.10374999999999"/>
    <n v="8"/>
    <n v="1"/>
    <x v="0"/>
    <n v="0"/>
    <n v="1"/>
    <n v="0"/>
    <n v="86"/>
    <n v="1"/>
    <n v="3"/>
    <n v="3"/>
    <n v="7"/>
  </r>
  <r>
    <n v="394"/>
    <n v="33"/>
    <x v="3"/>
    <x v="0"/>
    <s v="Divorced"/>
    <x v="0"/>
    <x v="0"/>
    <n v="25"/>
    <x v="2"/>
    <n v="2346.48"/>
    <n v="293.31"/>
    <n v="8"/>
    <n v="2"/>
    <x v="1"/>
    <n v="1"/>
    <n v="0"/>
    <n v="1"/>
    <n v="6"/>
    <n v="3"/>
    <n v="3"/>
    <n v="3"/>
    <n v="9"/>
  </r>
  <r>
    <n v="395"/>
    <n v="29"/>
    <x v="1"/>
    <x v="1"/>
    <s v="Single"/>
    <x v="1"/>
    <x v="1"/>
    <n v="22"/>
    <x v="2"/>
    <n v="680.27"/>
    <n v="340.13499999999999"/>
    <n v="2"/>
    <n v="2"/>
    <x v="1"/>
    <n v="1"/>
    <n v="0"/>
    <n v="1"/>
    <n v="14"/>
    <n v="3"/>
    <n v="1"/>
    <n v="1"/>
    <n v="5"/>
  </r>
  <r>
    <n v="396"/>
    <n v="22"/>
    <x v="1"/>
    <x v="0"/>
    <s v="Widowed"/>
    <x v="2"/>
    <x v="1"/>
    <n v="1"/>
    <x v="2"/>
    <n v="865.73"/>
    <n v="288.57666666666665"/>
    <n v="3"/>
    <n v="2"/>
    <x v="1"/>
    <n v="1"/>
    <n v="0"/>
    <n v="0"/>
    <n v="25"/>
    <n v="3"/>
    <n v="2"/>
    <n v="2"/>
    <n v="7"/>
  </r>
  <r>
    <n v="397"/>
    <n v="57"/>
    <x v="2"/>
    <x v="1"/>
    <s v="Divorced"/>
    <x v="2"/>
    <x v="0"/>
    <n v="10"/>
    <x v="2"/>
    <n v="2322.9799999999996"/>
    <n v="258.10888888888883"/>
    <n v="9"/>
    <n v="0"/>
    <x v="0"/>
    <n v="0"/>
    <n v="0"/>
    <n v="0"/>
    <n v="14"/>
    <n v="3"/>
    <n v="3"/>
    <n v="3"/>
    <n v="9"/>
  </r>
  <r>
    <n v="398"/>
    <n v="46"/>
    <x v="2"/>
    <x v="1"/>
    <s v="Divorced"/>
    <x v="0"/>
    <x v="0"/>
    <n v="23"/>
    <x v="2"/>
    <n v="1678.12"/>
    <n v="279.68666666666667"/>
    <n v="6"/>
    <n v="1"/>
    <x v="0"/>
    <n v="0"/>
    <n v="0"/>
    <n v="1"/>
    <n v="35"/>
    <n v="2"/>
    <n v="2"/>
    <n v="3"/>
    <n v="7"/>
  </r>
  <r>
    <n v="399"/>
    <n v="63"/>
    <x v="0"/>
    <x v="0"/>
    <s v="Married"/>
    <x v="1"/>
    <x v="0"/>
    <n v="33"/>
    <x v="1"/>
    <n v="568.35"/>
    <n v="284.17500000000001"/>
    <n v="2"/>
    <n v="1"/>
    <x v="0"/>
    <n v="0"/>
    <n v="1"/>
    <n v="0"/>
    <n v="4"/>
    <n v="3"/>
    <n v="1"/>
    <n v="1"/>
    <n v="5"/>
  </r>
  <r>
    <n v="400"/>
    <n v="44"/>
    <x v="3"/>
    <x v="0"/>
    <s v="Divorced"/>
    <x v="2"/>
    <x v="0"/>
    <n v="39"/>
    <x v="2"/>
    <n v="2309.85"/>
    <n v="288.73124999999999"/>
    <n v="8"/>
    <n v="0"/>
    <x v="0"/>
    <n v="0"/>
    <n v="0"/>
    <n v="0"/>
    <n v="37"/>
    <n v="2"/>
    <n v="3"/>
    <n v="3"/>
    <n v="8"/>
  </r>
  <r>
    <n v="401"/>
    <n v="28"/>
    <x v="1"/>
    <x v="1"/>
    <s v="Divorced"/>
    <x v="1"/>
    <x v="0"/>
    <n v="28"/>
    <x v="1"/>
    <n v="1273.3600000000001"/>
    <n v="318.34000000000003"/>
    <n v="4"/>
    <n v="2"/>
    <x v="1"/>
    <n v="1"/>
    <n v="0"/>
    <n v="1"/>
    <n v="56"/>
    <n v="2"/>
    <n v="2"/>
    <n v="2"/>
    <n v="6"/>
  </r>
  <r>
    <n v="402"/>
    <n v="64"/>
    <x v="0"/>
    <x v="0"/>
    <s v="Single"/>
    <x v="1"/>
    <x v="1"/>
    <n v="43"/>
    <x v="0"/>
    <n v="609.57999999999993"/>
    <n v="304.78999999999996"/>
    <n v="2"/>
    <n v="2"/>
    <x v="1"/>
    <n v="0"/>
    <n v="1"/>
    <n v="1"/>
    <n v="186"/>
    <n v="1"/>
    <n v="1"/>
    <n v="1"/>
    <n v="3"/>
  </r>
  <r>
    <n v="403"/>
    <n v="67"/>
    <x v="0"/>
    <x v="1"/>
    <s v="Widowed"/>
    <x v="2"/>
    <x v="0"/>
    <n v="8"/>
    <x v="2"/>
    <n v="1645.7599999999998"/>
    <n v="235.10857142857139"/>
    <n v="7"/>
    <n v="2"/>
    <x v="0"/>
    <n v="1"/>
    <n v="0"/>
    <n v="1"/>
    <n v="14"/>
    <n v="3"/>
    <n v="2"/>
    <n v="3"/>
    <n v="8"/>
  </r>
  <r>
    <n v="404"/>
    <n v="45"/>
    <x v="3"/>
    <x v="0"/>
    <s v="Married"/>
    <x v="0"/>
    <x v="1"/>
    <n v="27"/>
    <x v="0"/>
    <n v="2787.0999999999995"/>
    <n v="309.67777777777769"/>
    <n v="9"/>
    <n v="1"/>
    <x v="0"/>
    <n v="1"/>
    <n v="0"/>
    <n v="0"/>
    <n v="14"/>
    <n v="3"/>
    <n v="3"/>
    <n v="3"/>
    <n v="9"/>
  </r>
  <r>
    <n v="405"/>
    <n v="69"/>
    <x v="0"/>
    <x v="1"/>
    <s v="Divorced"/>
    <x v="1"/>
    <x v="0"/>
    <n v="5"/>
    <x v="2"/>
    <n v="508.49"/>
    <n v="169.49666666666667"/>
    <n v="3"/>
    <n v="0"/>
    <x v="0"/>
    <n v="0"/>
    <n v="0"/>
    <n v="0"/>
    <n v="73"/>
    <n v="2"/>
    <n v="2"/>
    <n v="1"/>
    <n v="5"/>
  </r>
  <r>
    <n v="406"/>
    <n v="53"/>
    <x v="2"/>
    <x v="1"/>
    <s v="Married"/>
    <x v="2"/>
    <x v="0"/>
    <n v="15"/>
    <x v="1"/>
    <n v="2017.7800000000002"/>
    <n v="252.22250000000003"/>
    <n v="8"/>
    <n v="2"/>
    <x v="1"/>
    <n v="1"/>
    <n v="0"/>
    <n v="0"/>
    <n v="113"/>
    <n v="1"/>
    <n v="3"/>
    <n v="3"/>
    <n v="7"/>
  </r>
  <r>
    <n v="407"/>
    <n v="59"/>
    <x v="2"/>
    <x v="1"/>
    <s v="Widowed"/>
    <x v="0"/>
    <x v="1"/>
    <n v="48"/>
    <x v="0"/>
    <n v="2722.7400000000002"/>
    <n v="302.5266666666667"/>
    <n v="9"/>
    <n v="1"/>
    <x v="1"/>
    <n v="1"/>
    <n v="0"/>
    <n v="0"/>
    <n v="23"/>
    <n v="3"/>
    <n v="3"/>
    <n v="3"/>
    <n v="9"/>
  </r>
  <r>
    <n v="408"/>
    <n v="36"/>
    <x v="3"/>
    <x v="1"/>
    <s v="Divorced"/>
    <x v="1"/>
    <x v="0"/>
    <n v="22"/>
    <x v="2"/>
    <n v="2101.4"/>
    <n v="300.2"/>
    <n v="7"/>
    <n v="2"/>
    <x v="1"/>
    <n v="1"/>
    <n v="0"/>
    <n v="1"/>
    <n v="33"/>
    <n v="2"/>
    <n v="2"/>
    <n v="3"/>
    <n v="7"/>
  </r>
  <r>
    <n v="409"/>
    <n v="52"/>
    <x v="2"/>
    <x v="1"/>
    <s v="Divorced"/>
    <x v="1"/>
    <x v="0"/>
    <n v="35"/>
    <x v="0"/>
    <n v="1524.8400000000001"/>
    <n v="169.42666666666668"/>
    <n v="9"/>
    <n v="1"/>
    <x v="1"/>
    <n v="0"/>
    <n v="0"/>
    <n v="1"/>
    <n v="49"/>
    <n v="2"/>
    <n v="3"/>
    <n v="2"/>
    <n v="7"/>
  </r>
  <r>
    <n v="410"/>
    <n v="69"/>
    <x v="0"/>
    <x v="1"/>
    <s v="Married"/>
    <x v="1"/>
    <x v="0"/>
    <n v="30"/>
    <x v="2"/>
    <n v="1426.2"/>
    <n v="237.70000000000002"/>
    <n v="6"/>
    <n v="1"/>
    <x v="1"/>
    <n v="0"/>
    <n v="1"/>
    <n v="0"/>
    <n v="77"/>
    <n v="2"/>
    <n v="2"/>
    <n v="2"/>
    <n v="6"/>
  </r>
  <r>
    <n v="411"/>
    <n v="48"/>
    <x v="2"/>
    <x v="1"/>
    <s v="Single"/>
    <x v="1"/>
    <x v="1"/>
    <n v="48"/>
    <x v="1"/>
    <n v="87.02"/>
    <n v="87.02"/>
    <n v="1"/>
    <n v="0"/>
    <x v="0"/>
    <n v="0"/>
    <n v="0"/>
    <n v="0"/>
    <n v="257"/>
    <n v="1"/>
    <n v="1"/>
    <n v="1"/>
    <n v="3"/>
  </r>
  <r>
    <n v="412"/>
    <n v="61"/>
    <x v="0"/>
    <x v="0"/>
    <s v="Widowed"/>
    <x v="0"/>
    <x v="0"/>
    <n v="44"/>
    <x v="1"/>
    <n v="184.86"/>
    <n v="184.86"/>
    <n v="1"/>
    <n v="0"/>
    <x v="0"/>
    <n v="0"/>
    <n v="0"/>
    <n v="0"/>
    <n v="317"/>
    <n v="1"/>
    <n v="1"/>
    <n v="1"/>
    <n v="3"/>
  </r>
  <r>
    <n v="413"/>
    <n v="36"/>
    <x v="3"/>
    <x v="0"/>
    <s v="Widowed"/>
    <x v="1"/>
    <x v="0"/>
    <n v="33"/>
    <x v="1"/>
    <n v="1592.61"/>
    <n v="318.52199999999999"/>
    <n v="5"/>
    <n v="2"/>
    <x v="1"/>
    <n v="0"/>
    <n v="1"/>
    <n v="1"/>
    <n v="215"/>
    <n v="1"/>
    <n v="2"/>
    <n v="3"/>
    <n v="6"/>
  </r>
  <r>
    <n v="414"/>
    <n v="63"/>
    <x v="0"/>
    <x v="0"/>
    <s v="Widowed"/>
    <x v="2"/>
    <x v="0"/>
    <n v="30"/>
    <x v="2"/>
    <n v="1497.8899999999999"/>
    <n v="213.9842857142857"/>
    <n v="7"/>
    <n v="1"/>
    <x v="0"/>
    <n v="0"/>
    <n v="0"/>
    <n v="1"/>
    <n v="17"/>
    <n v="3"/>
    <n v="2"/>
    <n v="2"/>
    <n v="7"/>
  </r>
  <r>
    <n v="415"/>
    <n v="41"/>
    <x v="3"/>
    <x v="1"/>
    <s v="Divorced"/>
    <x v="2"/>
    <x v="0"/>
    <n v="36"/>
    <x v="2"/>
    <n v="354.64"/>
    <n v="354.64"/>
    <n v="1"/>
    <n v="1"/>
    <x v="0"/>
    <n v="0"/>
    <n v="1"/>
    <n v="0"/>
    <n v="173"/>
    <n v="1"/>
    <n v="1"/>
    <n v="1"/>
    <n v="3"/>
  </r>
  <r>
    <n v="416"/>
    <n v="19"/>
    <x v="1"/>
    <x v="0"/>
    <s v="Divorced"/>
    <x v="2"/>
    <x v="0"/>
    <n v="16"/>
    <x v="2"/>
    <n v="1442.26"/>
    <n v="288.452"/>
    <n v="5"/>
    <n v="2"/>
    <x v="1"/>
    <n v="1"/>
    <n v="0"/>
    <n v="1"/>
    <n v="55"/>
    <n v="2"/>
    <n v="2"/>
    <n v="2"/>
    <n v="6"/>
  </r>
  <r>
    <n v="417"/>
    <n v="24"/>
    <x v="1"/>
    <x v="0"/>
    <s v="Divorced"/>
    <x v="0"/>
    <x v="0"/>
    <n v="38"/>
    <x v="1"/>
    <n v="873.63"/>
    <n v="291.20999999999998"/>
    <n v="3"/>
    <n v="0"/>
    <x v="0"/>
    <n v="0"/>
    <n v="0"/>
    <n v="0"/>
    <n v="65"/>
    <n v="2"/>
    <n v="2"/>
    <n v="2"/>
    <n v="6"/>
  </r>
  <r>
    <n v="418"/>
    <n v="60"/>
    <x v="2"/>
    <x v="0"/>
    <s v="Married"/>
    <x v="2"/>
    <x v="0"/>
    <n v="23"/>
    <x v="2"/>
    <n v="1282.72"/>
    <n v="427.57333333333332"/>
    <n v="3"/>
    <n v="2"/>
    <x v="1"/>
    <n v="1"/>
    <n v="1"/>
    <n v="0"/>
    <n v="76"/>
    <n v="2"/>
    <n v="2"/>
    <n v="2"/>
    <n v="6"/>
  </r>
  <r>
    <n v="419"/>
    <n v="66"/>
    <x v="0"/>
    <x v="0"/>
    <s v="Widowed"/>
    <x v="1"/>
    <x v="1"/>
    <n v="37"/>
    <x v="2"/>
    <n v="1254.43"/>
    <n v="250.88600000000002"/>
    <n v="5"/>
    <n v="0"/>
    <x v="0"/>
    <n v="0"/>
    <n v="0"/>
    <n v="0"/>
    <n v="50"/>
    <n v="2"/>
    <n v="2"/>
    <n v="2"/>
    <n v="6"/>
  </r>
  <r>
    <n v="420"/>
    <n v="48"/>
    <x v="2"/>
    <x v="1"/>
    <s v="Widowed"/>
    <x v="1"/>
    <x v="0"/>
    <n v="37"/>
    <x v="1"/>
    <n v="2140.54"/>
    <n v="267.5675"/>
    <n v="8"/>
    <n v="2"/>
    <x v="0"/>
    <n v="1"/>
    <n v="0"/>
    <n v="1"/>
    <n v="73"/>
    <n v="2"/>
    <n v="3"/>
    <n v="3"/>
    <n v="8"/>
  </r>
  <r>
    <n v="421"/>
    <n v="34"/>
    <x v="3"/>
    <x v="1"/>
    <s v="Widowed"/>
    <x v="2"/>
    <x v="0"/>
    <n v="28"/>
    <x v="0"/>
    <n v="594.42000000000007"/>
    <n v="297.21000000000004"/>
    <n v="2"/>
    <n v="1"/>
    <x v="1"/>
    <n v="1"/>
    <n v="0"/>
    <n v="0"/>
    <n v="25"/>
    <n v="3"/>
    <n v="1"/>
    <n v="1"/>
    <n v="5"/>
  </r>
  <r>
    <n v="422"/>
    <n v="44"/>
    <x v="3"/>
    <x v="0"/>
    <s v="Single"/>
    <x v="0"/>
    <x v="1"/>
    <n v="14"/>
    <x v="0"/>
    <n v="1770.89"/>
    <n v="252.98428571428573"/>
    <n v="7"/>
    <n v="1"/>
    <x v="0"/>
    <n v="0"/>
    <n v="0"/>
    <n v="1"/>
    <n v="9"/>
    <n v="3"/>
    <n v="2"/>
    <n v="3"/>
    <n v="8"/>
  </r>
  <r>
    <n v="423"/>
    <n v="53"/>
    <x v="2"/>
    <x v="1"/>
    <s v="Divorced"/>
    <x v="0"/>
    <x v="0"/>
    <n v="4"/>
    <x v="0"/>
    <n v="1329.45"/>
    <n v="265.89"/>
    <n v="5"/>
    <n v="0"/>
    <x v="0"/>
    <n v="0"/>
    <n v="0"/>
    <n v="0"/>
    <n v="32"/>
    <n v="2"/>
    <n v="2"/>
    <n v="2"/>
    <n v="6"/>
  </r>
  <r>
    <n v="424"/>
    <n v="67"/>
    <x v="0"/>
    <x v="1"/>
    <s v="Widowed"/>
    <x v="1"/>
    <x v="0"/>
    <n v="39"/>
    <x v="1"/>
    <n v="965.41"/>
    <n v="137.91571428571427"/>
    <n v="7"/>
    <n v="1"/>
    <x v="1"/>
    <n v="0"/>
    <n v="1"/>
    <n v="0"/>
    <n v="86"/>
    <n v="1"/>
    <n v="2"/>
    <n v="2"/>
    <n v="5"/>
  </r>
  <r>
    <n v="425"/>
    <n v="60"/>
    <x v="2"/>
    <x v="1"/>
    <s v="Widowed"/>
    <x v="1"/>
    <x v="0"/>
    <n v="33"/>
    <x v="1"/>
    <n v="1768.53"/>
    <n v="196.50333333333333"/>
    <n v="9"/>
    <n v="2"/>
    <x v="1"/>
    <n v="1"/>
    <n v="1"/>
    <n v="0"/>
    <n v="89"/>
    <n v="1"/>
    <n v="3"/>
    <n v="3"/>
    <n v="7"/>
  </r>
  <r>
    <n v="426"/>
    <n v="27"/>
    <x v="1"/>
    <x v="1"/>
    <s v="Divorced"/>
    <x v="2"/>
    <x v="0"/>
    <n v="31"/>
    <x v="1"/>
    <n v="1465.9299999999998"/>
    <n v="209.4185714285714"/>
    <n v="7"/>
    <n v="0"/>
    <x v="0"/>
    <n v="0"/>
    <n v="0"/>
    <n v="0"/>
    <n v="40"/>
    <n v="2"/>
    <n v="2"/>
    <n v="2"/>
    <n v="6"/>
  </r>
  <r>
    <n v="427"/>
    <n v="62"/>
    <x v="0"/>
    <x v="1"/>
    <s v="Divorced"/>
    <x v="0"/>
    <x v="0"/>
    <n v="13"/>
    <x v="2"/>
    <n v="521.55999999999995"/>
    <n v="173.85333333333332"/>
    <n v="3"/>
    <n v="2"/>
    <x v="0"/>
    <n v="0"/>
    <n v="1"/>
    <n v="1"/>
    <n v="28"/>
    <n v="3"/>
    <n v="2"/>
    <n v="1"/>
    <n v="6"/>
  </r>
  <r>
    <n v="428"/>
    <n v="31"/>
    <x v="3"/>
    <x v="0"/>
    <s v="Widowed"/>
    <x v="2"/>
    <x v="0"/>
    <n v="36"/>
    <x v="0"/>
    <n v="2414.1499999999996"/>
    <n v="301.76874999999995"/>
    <n v="8"/>
    <n v="2"/>
    <x v="1"/>
    <n v="1"/>
    <n v="0"/>
    <n v="1"/>
    <n v="203"/>
    <n v="1"/>
    <n v="3"/>
    <n v="3"/>
    <n v="7"/>
  </r>
  <r>
    <n v="429"/>
    <n v="24"/>
    <x v="1"/>
    <x v="1"/>
    <s v="Married"/>
    <x v="1"/>
    <x v="0"/>
    <n v="10"/>
    <x v="0"/>
    <n v="1361.39"/>
    <n v="272.27800000000002"/>
    <n v="5"/>
    <n v="2"/>
    <x v="1"/>
    <n v="1"/>
    <n v="0"/>
    <n v="0"/>
    <n v="11"/>
    <n v="3"/>
    <n v="2"/>
    <n v="2"/>
    <n v="7"/>
  </r>
  <r>
    <n v="430"/>
    <n v="56"/>
    <x v="2"/>
    <x v="0"/>
    <s v="Married"/>
    <x v="1"/>
    <x v="0"/>
    <n v="47"/>
    <x v="2"/>
    <n v="148.97999999999999"/>
    <n v="148.97999999999999"/>
    <n v="1"/>
    <n v="2"/>
    <x v="1"/>
    <n v="0"/>
    <n v="1"/>
    <n v="1"/>
    <n v="39"/>
    <n v="2"/>
    <n v="1"/>
    <n v="1"/>
    <n v="4"/>
  </r>
  <r>
    <n v="431"/>
    <n v="57"/>
    <x v="2"/>
    <x v="1"/>
    <s v="Married"/>
    <x v="2"/>
    <x v="0"/>
    <n v="31"/>
    <x v="1"/>
    <n v="233.87"/>
    <n v="116.935"/>
    <n v="2"/>
    <n v="1"/>
    <x v="0"/>
    <n v="0"/>
    <n v="0"/>
    <n v="1"/>
    <n v="22"/>
    <n v="3"/>
    <n v="1"/>
    <n v="1"/>
    <n v="5"/>
  </r>
  <r>
    <n v="432"/>
    <n v="26"/>
    <x v="1"/>
    <x v="0"/>
    <s v="Married"/>
    <x v="0"/>
    <x v="0"/>
    <n v="26"/>
    <x v="0"/>
    <n v="1834.4799999999998"/>
    <n v="262.06857142857137"/>
    <n v="7"/>
    <n v="0"/>
    <x v="0"/>
    <n v="0"/>
    <n v="0"/>
    <n v="0"/>
    <n v="31"/>
    <n v="2"/>
    <n v="2"/>
    <n v="3"/>
    <n v="7"/>
  </r>
  <r>
    <n v="433"/>
    <n v="31"/>
    <x v="3"/>
    <x v="0"/>
    <s v="Single"/>
    <x v="1"/>
    <x v="1"/>
    <n v="14"/>
    <x v="0"/>
    <n v="1302.43"/>
    <n v="260.48599999999999"/>
    <n v="5"/>
    <n v="0"/>
    <x v="0"/>
    <n v="0"/>
    <n v="0"/>
    <n v="0"/>
    <n v="84"/>
    <n v="1"/>
    <n v="2"/>
    <n v="2"/>
    <n v="5"/>
  </r>
  <r>
    <n v="434"/>
    <n v="25"/>
    <x v="1"/>
    <x v="1"/>
    <s v="Married"/>
    <x v="1"/>
    <x v="0"/>
    <n v="4"/>
    <x v="0"/>
    <n v="41.19"/>
    <n v="41.19"/>
    <n v="1"/>
    <n v="2"/>
    <x v="1"/>
    <n v="0"/>
    <n v="0"/>
    <n v="1"/>
    <n v="215"/>
    <n v="1"/>
    <n v="1"/>
    <n v="1"/>
    <n v="3"/>
  </r>
  <r>
    <n v="435"/>
    <n v="34"/>
    <x v="3"/>
    <x v="0"/>
    <s v="Widowed"/>
    <x v="0"/>
    <x v="0"/>
    <n v="33"/>
    <x v="2"/>
    <n v="488.45"/>
    <n v="488.45"/>
    <n v="1"/>
    <n v="1"/>
    <x v="0"/>
    <n v="1"/>
    <n v="0"/>
    <n v="0"/>
    <n v="334"/>
    <n v="1"/>
    <n v="1"/>
    <n v="1"/>
    <n v="3"/>
  </r>
  <r>
    <n v="436"/>
    <n v="40"/>
    <x v="3"/>
    <x v="1"/>
    <s v="Widowed"/>
    <x v="1"/>
    <x v="0"/>
    <n v="47"/>
    <x v="1"/>
    <n v="543.99"/>
    <n v="181.33"/>
    <n v="3"/>
    <n v="2"/>
    <x v="1"/>
    <n v="0"/>
    <n v="0"/>
    <n v="1"/>
    <n v="119"/>
    <n v="1"/>
    <n v="2"/>
    <n v="1"/>
    <n v="4"/>
  </r>
  <r>
    <n v="437"/>
    <n v="33"/>
    <x v="3"/>
    <x v="0"/>
    <s v="Widowed"/>
    <x v="0"/>
    <x v="0"/>
    <n v="13"/>
    <x v="1"/>
    <n v="1698.21"/>
    <n v="212.27625"/>
    <n v="8"/>
    <n v="0"/>
    <x v="0"/>
    <n v="0"/>
    <n v="0"/>
    <n v="0"/>
    <n v="39"/>
    <n v="2"/>
    <n v="3"/>
    <n v="3"/>
    <n v="8"/>
  </r>
  <r>
    <n v="438"/>
    <n v="43"/>
    <x v="3"/>
    <x v="0"/>
    <s v="Married"/>
    <x v="0"/>
    <x v="0"/>
    <n v="48"/>
    <x v="1"/>
    <n v="2131.0099999999998"/>
    <n v="304.42999999999995"/>
    <n v="7"/>
    <n v="1"/>
    <x v="0"/>
    <n v="1"/>
    <n v="0"/>
    <n v="0"/>
    <n v="25"/>
    <n v="3"/>
    <n v="2"/>
    <n v="3"/>
    <n v="8"/>
  </r>
  <r>
    <n v="439"/>
    <n v="26"/>
    <x v="1"/>
    <x v="1"/>
    <s v="Divorced"/>
    <x v="1"/>
    <x v="0"/>
    <n v="41"/>
    <x v="2"/>
    <n v="1373.5399999999997"/>
    <n v="196.21999999999997"/>
    <n v="7"/>
    <n v="2"/>
    <x v="1"/>
    <n v="1"/>
    <n v="1"/>
    <n v="0"/>
    <n v="39"/>
    <n v="2"/>
    <n v="2"/>
    <n v="2"/>
    <n v="6"/>
  </r>
  <r>
    <n v="440"/>
    <n v="53"/>
    <x v="2"/>
    <x v="0"/>
    <s v="Widowed"/>
    <x v="2"/>
    <x v="0"/>
    <n v="34"/>
    <x v="2"/>
    <n v="1920.61"/>
    <n v="240.07624999999999"/>
    <n v="8"/>
    <n v="2"/>
    <x v="1"/>
    <n v="0"/>
    <n v="1"/>
    <n v="1"/>
    <n v="24"/>
    <n v="3"/>
    <n v="3"/>
    <n v="3"/>
    <n v="9"/>
  </r>
  <r>
    <n v="441"/>
    <n v="24"/>
    <x v="1"/>
    <x v="1"/>
    <s v="Married"/>
    <x v="1"/>
    <x v="1"/>
    <n v="43"/>
    <x v="0"/>
    <n v="2560.3600000000006"/>
    <n v="320.04500000000007"/>
    <n v="8"/>
    <n v="1"/>
    <x v="1"/>
    <n v="1"/>
    <n v="0"/>
    <n v="0"/>
    <n v="0"/>
    <n v="3"/>
    <n v="3"/>
    <n v="3"/>
    <n v="9"/>
  </r>
  <r>
    <n v="442"/>
    <n v="35"/>
    <x v="3"/>
    <x v="0"/>
    <s v="Single"/>
    <x v="1"/>
    <x v="0"/>
    <n v="35"/>
    <x v="0"/>
    <n v="412.55"/>
    <n v="412.55"/>
    <n v="1"/>
    <n v="1"/>
    <x v="0"/>
    <n v="0"/>
    <n v="1"/>
    <n v="0"/>
    <n v="93"/>
    <n v="1"/>
    <n v="1"/>
    <n v="1"/>
    <n v="3"/>
  </r>
  <r>
    <n v="443"/>
    <n v="25"/>
    <x v="1"/>
    <x v="1"/>
    <s v="Single"/>
    <x v="1"/>
    <x v="0"/>
    <n v="28"/>
    <x v="1"/>
    <n v="1115.6399999999999"/>
    <n v="223.12799999999999"/>
    <n v="5"/>
    <n v="0"/>
    <x v="0"/>
    <n v="0"/>
    <n v="0"/>
    <n v="0"/>
    <n v="122"/>
    <n v="1"/>
    <n v="2"/>
    <n v="2"/>
    <n v="5"/>
  </r>
  <r>
    <n v="444"/>
    <n v="38"/>
    <x v="3"/>
    <x v="0"/>
    <s v="Widowed"/>
    <x v="1"/>
    <x v="0"/>
    <n v="31"/>
    <x v="0"/>
    <n v="387.51"/>
    <n v="193.755"/>
    <n v="2"/>
    <n v="0"/>
    <x v="0"/>
    <n v="0"/>
    <n v="0"/>
    <n v="0"/>
    <n v="21"/>
    <n v="3"/>
    <n v="1"/>
    <n v="1"/>
    <n v="5"/>
  </r>
  <r>
    <n v="445"/>
    <n v="43"/>
    <x v="3"/>
    <x v="0"/>
    <s v="Divorced"/>
    <x v="2"/>
    <x v="0"/>
    <n v="30"/>
    <x v="2"/>
    <n v="1002.46"/>
    <n v="200.49200000000002"/>
    <n v="5"/>
    <n v="2"/>
    <x v="1"/>
    <n v="0"/>
    <n v="1"/>
    <n v="1"/>
    <n v="65"/>
    <n v="2"/>
    <n v="2"/>
    <n v="2"/>
    <n v="6"/>
  </r>
  <r>
    <n v="446"/>
    <n v="20"/>
    <x v="1"/>
    <x v="1"/>
    <s v="Single"/>
    <x v="2"/>
    <x v="0"/>
    <n v="32"/>
    <x v="0"/>
    <n v="1516.93"/>
    <n v="252.82166666666669"/>
    <n v="6"/>
    <n v="2"/>
    <x v="1"/>
    <n v="0"/>
    <n v="1"/>
    <n v="1"/>
    <n v="110"/>
    <n v="1"/>
    <n v="2"/>
    <n v="2"/>
    <n v="5"/>
  </r>
  <r>
    <n v="447"/>
    <n v="34"/>
    <x v="3"/>
    <x v="1"/>
    <s v="Married"/>
    <x v="2"/>
    <x v="0"/>
    <n v="13"/>
    <x v="1"/>
    <n v="169.69"/>
    <n v="169.69"/>
    <n v="1"/>
    <n v="0"/>
    <x v="0"/>
    <n v="0"/>
    <n v="0"/>
    <n v="0"/>
    <n v="1"/>
    <n v="3"/>
    <n v="1"/>
    <n v="1"/>
    <n v="5"/>
  </r>
  <r>
    <n v="448"/>
    <n v="68"/>
    <x v="0"/>
    <x v="0"/>
    <s v="Married"/>
    <x v="0"/>
    <x v="0"/>
    <n v="41"/>
    <x v="0"/>
    <n v="1461.0299999999997"/>
    <n v="208.71857142857138"/>
    <n v="7"/>
    <n v="0"/>
    <x v="0"/>
    <n v="0"/>
    <n v="0"/>
    <n v="0"/>
    <n v="24"/>
    <n v="3"/>
    <n v="2"/>
    <n v="2"/>
    <n v="7"/>
  </r>
  <r>
    <n v="449"/>
    <n v="63"/>
    <x v="0"/>
    <x v="1"/>
    <s v="Single"/>
    <x v="2"/>
    <x v="0"/>
    <n v="34"/>
    <x v="0"/>
    <n v="1460.6499999999999"/>
    <n v="292.13"/>
    <n v="5"/>
    <n v="2"/>
    <x v="1"/>
    <n v="1"/>
    <n v="1"/>
    <n v="0"/>
    <n v="89"/>
    <n v="1"/>
    <n v="2"/>
    <n v="2"/>
    <n v="5"/>
  </r>
  <r>
    <n v="450"/>
    <n v="41"/>
    <x v="3"/>
    <x v="0"/>
    <s v="Widowed"/>
    <x v="0"/>
    <x v="1"/>
    <n v="8"/>
    <x v="1"/>
    <n v="1527.63"/>
    <n v="305.52600000000001"/>
    <n v="5"/>
    <n v="0"/>
    <x v="0"/>
    <n v="0"/>
    <n v="0"/>
    <n v="0"/>
    <n v="14"/>
    <n v="3"/>
    <n v="2"/>
    <n v="2"/>
    <n v="7"/>
  </r>
  <r>
    <n v="451"/>
    <n v="42"/>
    <x v="3"/>
    <x v="0"/>
    <s v="Widowed"/>
    <x v="1"/>
    <x v="0"/>
    <n v="42"/>
    <x v="0"/>
    <n v="364.46"/>
    <n v="182.23"/>
    <n v="2"/>
    <n v="2"/>
    <x v="1"/>
    <n v="1"/>
    <n v="1"/>
    <n v="0"/>
    <n v="136"/>
    <n v="1"/>
    <n v="1"/>
    <n v="1"/>
    <n v="3"/>
  </r>
  <r>
    <n v="452"/>
    <n v="22"/>
    <x v="1"/>
    <x v="0"/>
    <s v="Single"/>
    <x v="2"/>
    <x v="0"/>
    <n v="25"/>
    <x v="2"/>
    <n v="2341.48"/>
    <n v="292.685"/>
    <n v="8"/>
    <n v="1"/>
    <x v="1"/>
    <n v="1"/>
    <n v="0"/>
    <n v="0"/>
    <n v="23"/>
    <n v="3"/>
    <n v="3"/>
    <n v="3"/>
    <n v="9"/>
  </r>
  <r>
    <n v="453"/>
    <n v="54"/>
    <x v="2"/>
    <x v="1"/>
    <s v="Married"/>
    <x v="2"/>
    <x v="0"/>
    <n v="33"/>
    <x v="2"/>
    <n v="346.54"/>
    <n v="346.54"/>
    <n v="1"/>
    <n v="0"/>
    <x v="0"/>
    <n v="0"/>
    <n v="0"/>
    <n v="0"/>
    <n v="154"/>
    <n v="1"/>
    <n v="1"/>
    <n v="1"/>
    <n v="3"/>
  </r>
  <r>
    <n v="454"/>
    <n v="62"/>
    <x v="0"/>
    <x v="1"/>
    <s v="Divorced"/>
    <x v="2"/>
    <x v="0"/>
    <n v="10"/>
    <x v="2"/>
    <n v="472.88"/>
    <n v="236.44"/>
    <n v="2"/>
    <n v="0"/>
    <x v="0"/>
    <n v="0"/>
    <n v="0"/>
    <n v="0"/>
    <n v="5"/>
    <n v="3"/>
    <n v="1"/>
    <n v="1"/>
    <n v="5"/>
  </r>
  <r>
    <n v="455"/>
    <n v="67"/>
    <x v="0"/>
    <x v="1"/>
    <s v="Married"/>
    <x v="2"/>
    <x v="0"/>
    <n v="40"/>
    <x v="1"/>
    <n v="565.79"/>
    <n v="188.59666666666666"/>
    <n v="3"/>
    <n v="2"/>
    <x v="0"/>
    <n v="1"/>
    <n v="0"/>
    <n v="1"/>
    <n v="13"/>
    <n v="3"/>
    <n v="2"/>
    <n v="1"/>
    <n v="6"/>
  </r>
  <r>
    <n v="456"/>
    <n v="41"/>
    <x v="3"/>
    <x v="0"/>
    <s v="Divorced"/>
    <x v="2"/>
    <x v="0"/>
    <n v="34"/>
    <x v="0"/>
    <n v="2402"/>
    <n v="266.88888888888891"/>
    <n v="9"/>
    <n v="1"/>
    <x v="1"/>
    <n v="1"/>
    <n v="0"/>
    <n v="0"/>
    <n v="38"/>
    <n v="2"/>
    <n v="3"/>
    <n v="3"/>
    <n v="8"/>
  </r>
  <r>
    <n v="457"/>
    <n v="48"/>
    <x v="2"/>
    <x v="0"/>
    <s v="Divorced"/>
    <x v="1"/>
    <x v="0"/>
    <n v="44"/>
    <x v="1"/>
    <n v="1730.3300000000002"/>
    <n v="216.29125000000002"/>
    <n v="8"/>
    <n v="2"/>
    <x v="1"/>
    <n v="1"/>
    <n v="0"/>
    <n v="1"/>
    <n v="74"/>
    <n v="2"/>
    <n v="3"/>
    <n v="3"/>
    <n v="8"/>
  </r>
  <r>
    <n v="458"/>
    <n v="43"/>
    <x v="3"/>
    <x v="0"/>
    <s v="Single"/>
    <x v="2"/>
    <x v="0"/>
    <n v="33"/>
    <x v="1"/>
    <n v="2767.15"/>
    <n v="307.46111111111111"/>
    <n v="9"/>
    <n v="0"/>
    <x v="0"/>
    <n v="0"/>
    <n v="0"/>
    <n v="0"/>
    <n v="93"/>
    <n v="1"/>
    <n v="3"/>
    <n v="3"/>
    <n v="7"/>
  </r>
  <r>
    <n v="459"/>
    <n v="38"/>
    <x v="3"/>
    <x v="1"/>
    <s v="Widowed"/>
    <x v="0"/>
    <x v="0"/>
    <n v="5"/>
    <x v="0"/>
    <n v="62.87"/>
    <n v="62.87"/>
    <n v="1"/>
    <n v="1"/>
    <x v="1"/>
    <n v="0"/>
    <n v="0"/>
    <n v="1"/>
    <n v="98"/>
    <n v="1"/>
    <n v="1"/>
    <n v="1"/>
    <n v="3"/>
  </r>
  <r>
    <n v="460"/>
    <n v="51"/>
    <x v="2"/>
    <x v="0"/>
    <s v="Divorced"/>
    <x v="0"/>
    <x v="0"/>
    <n v="45"/>
    <x v="2"/>
    <n v="336.72"/>
    <n v="336.72"/>
    <n v="1"/>
    <n v="2"/>
    <x v="1"/>
    <n v="0"/>
    <n v="0"/>
    <n v="1"/>
    <n v="241"/>
    <n v="1"/>
    <n v="1"/>
    <n v="1"/>
    <n v="3"/>
  </r>
  <r>
    <n v="461"/>
    <n v="55"/>
    <x v="2"/>
    <x v="1"/>
    <s v="Married"/>
    <x v="2"/>
    <x v="0"/>
    <n v="27"/>
    <x v="2"/>
    <n v="449.87"/>
    <n v="449.87"/>
    <n v="1"/>
    <n v="2"/>
    <x v="1"/>
    <n v="0"/>
    <n v="1"/>
    <n v="1"/>
    <n v="346"/>
    <n v="1"/>
    <n v="1"/>
    <n v="1"/>
    <n v="3"/>
  </r>
  <r>
    <n v="462"/>
    <n v="41"/>
    <x v="3"/>
    <x v="1"/>
    <s v="Widowed"/>
    <x v="0"/>
    <x v="1"/>
    <n v="8"/>
    <x v="2"/>
    <n v="391.36"/>
    <n v="130.45333333333335"/>
    <n v="3"/>
    <n v="0"/>
    <x v="0"/>
    <n v="0"/>
    <n v="0"/>
    <n v="0"/>
    <n v="228"/>
    <n v="1"/>
    <n v="2"/>
    <n v="1"/>
    <n v="4"/>
  </r>
  <r>
    <n v="463"/>
    <n v="45"/>
    <x v="3"/>
    <x v="1"/>
    <s v="Widowed"/>
    <x v="2"/>
    <x v="0"/>
    <n v="7"/>
    <x v="2"/>
    <n v="1668.22"/>
    <n v="238.31714285714287"/>
    <n v="7"/>
    <n v="0"/>
    <x v="0"/>
    <n v="0"/>
    <n v="0"/>
    <n v="0"/>
    <n v="23"/>
    <n v="3"/>
    <n v="2"/>
    <n v="3"/>
    <n v="8"/>
  </r>
  <r>
    <n v="464"/>
    <n v="47"/>
    <x v="2"/>
    <x v="1"/>
    <s v="Married"/>
    <x v="1"/>
    <x v="0"/>
    <n v="22"/>
    <x v="1"/>
    <n v="2166.3300000000004"/>
    <n v="240.70333333333338"/>
    <n v="9"/>
    <n v="0"/>
    <x v="0"/>
    <n v="0"/>
    <n v="0"/>
    <n v="0"/>
    <n v="31"/>
    <n v="2"/>
    <n v="3"/>
    <n v="3"/>
    <n v="8"/>
  </r>
  <r>
    <n v="465"/>
    <n v="51"/>
    <x v="2"/>
    <x v="1"/>
    <s v="Single"/>
    <x v="0"/>
    <x v="0"/>
    <n v="46"/>
    <x v="1"/>
    <n v="1217.0800000000002"/>
    <n v="304.27000000000004"/>
    <n v="4"/>
    <n v="0"/>
    <x v="0"/>
    <n v="0"/>
    <n v="0"/>
    <n v="0"/>
    <n v="1"/>
    <n v="3"/>
    <n v="2"/>
    <n v="2"/>
    <n v="7"/>
  </r>
  <r>
    <n v="466"/>
    <n v="69"/>
    <x v="0"/>
    <x v="0"/>
    <s v="Widowed"/>
    <x v="2"/>
    <x v="1"/>
    <n v="28"/>
    <x v="2"/>
    <n v="1918.1599999999999"/>
    <n v="239.76999999999998"/>
    <n v="8"/>
    <n v="0"/>
    <x v="0"/>
    <n v="0"/>
    <n v="0"/>
    <n v="0"/>
    <n v="65"/>
    <n v="2"/>
    <n v="3"/>
    <n v="3"/>
    <n v="8"/>
  </r>
  <r>
    <n v="467"/>
    <n v="69"/>
    <x v="0"/>
    <x v="0"/>
    <s v="Divorced"/>
    <x v="0"/>
    <x v="0"/>
    <n v="9"/>
    <x v="1"/>
    <n v="1104.21"/>
    <n v="276.05250000000001"/>
    <n v="4"/>
    <n v="1"/>
    <x v="0"/>
    <n v="0"/>
    <n v="0"/>
    <n v="1"/>
    <n v="34"/>
    <n v="2"/>
    <n v="2"/>
    <n v="2"/>
    <n v="6"/>
  </r>
  <r>
    <n v="468"/>
    <n v="40"/>
    <x v="3"/>
    <x v="0"/>
    <s v="Married"/>
    <x v="2"/>
    <x v="0"/>
    <n v="31"/>
    <x v="2"/>
    <n v="818.31"/>
    <n v="204.57749999999999"/>
    <n v="4"/>
    <n v="0"/>
    <x v="0"/>
    <n v="0"/>
    <n v="0"/>
    <n v="0"/>
    <n v="219"/>
    <n v="1"/>
    <n v="2"/>
    <n v="1"/>
    <n v="4"/>
  </r>
  <r>
    <n v="469"/>
    <n v="25"/>
    <x v="1"/>
    <x v="0"/>
    <s v="Divorced"/>
    <x v="0"/>
    <x v="1"/>
    <n v="4"/>
    <x v="0"/>
    <n v="1626.6999999999998"/>
    <n v="271.11666666666662"/>
    <n v="6"/>
    <n v="2"/>
    <x v="1"/>
    <n v="0"/>
    <n v="1"/>
    <n v="0"/>
    <n v="15"/>
    <n v="3"/>
    <n v="2"/>
    <n v="3"/>
    <n v="8"/>
  </r>
  <r>
    <n v="470"/>
    <n v="59"/>
    <x v="2"/>
    <x v="1"/>
    <s v="Married"/>
    <x v="1"/>
    <x v="1"/>
    <n v="5"/>
    <x v="1"/>
    <n v="1916.68"/>
    <n v="319.44666666666666"/>
    <n v="6"/>
    <n v="1"/>
    <x v="1"/>
    <n v="0"/>
    <n v="0"/>
    <n v="1"/>
    <n v="37"/>
    <n v="2"/>
    <n v="2"/>
    <n v="3"/>
    <n v="7"/>
  </r>
  <r>
    <n v="471"/>
    <n v="67"/>
    <x v="0"/>
    <x v="1"/>
    <s v="Married"/>
    <x v="0"/>
    <x v="0"/>
    <n v="13"/>
    <x v="0"/>
    <n v="1109.17"/>
    <n v="221.834"/>
    <n v="5"/>
    <n v="2"/>
    <x v="1"/>
    <n v="1"/>
    <n v="1"/>
    <n v="0"/>
    <n v="119"/>
    <n v="1"/>
    <n v="2"/>
    <n v="2"/>
    <n v="5"/>
  </r>
  <r>
    <n v="472"/>
    <n v="27"/>
    <x v="1"/>
    <x v="1"/>
    <s v="Widowed"/>
    <x v="0"/>
    <x v="0"/>
    <n v="6"/>
    <x v="0"/>
    <n v="2217.2800000000002"/>
    <n v="246.36444444444447"/>
    <n v="9"/>
    <n v="0"/>
    <x v="0"/>
    <n v="0"/>
    <n v="0"/>
    <n v="0"/>
    <n v="1"/>
    <n v="3"/>
    <n v="3"/>
    <n v="3"/>
    <n v="9"/>
  </r>
  <r>
    <n v="473"/>
    <n v="18"/>
    <x v="1"/>
    <x v="0"/>
    <s v="Married"/>
    <x v="0"/>
    <x v="0"/>
    <n v="23"/>
    <x v="2"/>
    <n v="251.46000000000004"/>
    <n v="83.820000000000007"/>
    <n v="3"/>
    <n v="0"/>
    <x v="0"/>
    <n v="0"/>
    <n v="0"/>
    <n v="0"/>
    <n v="8"/>
    <n v="3"/>
    <n v="2"/>
    <n v="1"/>
    <n v="6"/>
  </r>
  <r>
    <n v="474"/>
    <n v="37"/>
    <x v="3"/>
    <x v="0"/>
    <s v="Widowed"/>
    <x v="0"/>
    <x v="0"/>
    <n v="47"/>
    <x v="2"/>
    <n v="2460.0699999999997"/>
    <n v="273.3411111111111"/>
    <n v="9"/>
    <n v="2"/>
    <x v="1"/>
    <n v="1"/>
    <n v="1"/>
    <n v="0"/>
    <n v="4"/>
    <n v="3"/>
    <n v="3"/>
    <n v="3"/>
    <n v="9"/>
  </r>
  <r>
    <n v="475"/>
    <n v="54"/>
    <x v="2"/>
    <x v="1"/>
    <s v="Married"/>
    <x v="2"/>
    <x v="0"/>
    <n v="35"/>
    <x v="0"/>
    <n v="1635.1299999999999"/>
    <n v="272.52166666666665"/>
    <n v="6"/>
    <n v="1"/>
    <x v="0"/>
    <n v="1"/>
    <n v="0"/>
    <n v="0"/>
    <n v="59"/>
    <n v="2"/>
    <n v="2"/>
    <n v="3"/>
    <n v="7"/>
  </r>
  <r>
    <n v="476"/>
    <n v="35"/>
    <x v="3"/>
    <x v="0"/>
    <s v="Widowed"/>
    <x v="1"/>
    <x v="0"/>
    <n v="34"/>
    <x v="0"/>
    <n v="2145.9299999999998"/>
    <n v="268.24124999999998"/>
    <n v="8"/>
    <n v="1"/>
    <x v="0"/>
    <n v="0"/>
    <n v="1"/>
    <n v="0"/>
    <n v="53"/>
    <n v="2"/>
    <n v="3"/>
    <n v="3"/>
    <n v="8"/>
  </r>
  <r>
    <n v="477"/>
    <n v="38"/>
    <x v="3"/>
    <x v="0"/>
    <s v="Widowed"/>
    <x v="1"/>
    <x v="0"/>
    <n v="38"/>
    <x v="2"/>
    <n v="806.95999999999992"/>
    <n v="134.49333333333331"/>
    <n v="6"/>
    <n v="0"/>
    <x v="0"/>
    <n v="0"/>
    <n v="0"/>
    <n v="0"/>
    <n v="27"/>
    <n v="3"/>
    <n v="2"/>
    <n v="1"/>
    <n v="6"/>
  </r>
  <r>
    <n v="478"/>
    <n v="66"/>
    <x v="0"/>
    <x v="0"/>
    <s v="Single"/>
    <x v="0"/>
    <x v="1"/>
    <n v="34"/>
    <x v="0"/>
    <n v="1615.8400000000001"/>
    <n v="323.16800000000001"/>
    <n v="5"/>
    <n v="0"/>
    <x v="0"/>
    <n v="0"/>
    <n v="0"/>
    <n v="0"/>
    <n v="45"/>
    <n v="2"/>
    <n v="2"/>
    <n v="3"/>
    <n v="7"/>
  </r>
  <r>
    <n v="479"/>
    <n v="21"/>
    <x v="1"/>
    <x v="1"/>
    <s v="Widowed"/>
    <x v="0"/>
    <x v="0"/>
    <n v="11"/>
    <x v="1"/>
    <n v="1184.2800000000002"/>
    <n v="236.85600000000005"/>
    <n v="5"/>
    <n v="2"/>
    <x v="1"/>
    <n v="0"/>
    <n v="0"/>
    <n v="1"/>
    <n v="56"/>
    <n v="2"/>
    <n v="2"/>
    <n v="2"/>
    <n v="6"/>
  </r>
  <r>
    <n v="480"/>
    <n v="60"/>
    <x v="2"/>
    <x v="0"/>
    <s v="Widowed"/>
    <x v="1"/>
    <x v="1"/>
    <n v="6"/>
    <x v="1"/>
    <n v="1351.01"/>
    <n v="168.87625"/>
    <n v="8"/>
    <n v="1"/>
    <x v="1"/>
    <n v="0"/>
    <n v="0"/>
    <n v="1"/>
    <n v="41"/>
    <n v="2"/>
    <n v="3"/>
    <n v="2"/>
    <n v="7"/>
  </r>
  <r>
    <n v="481"/>
    <n v="19"/>
    <x v="1"/>
    <x v="1"/>
    <s v="Widowed"/>
    <x v="1"/>
    <x v="0"/>
    <n v="32"/>
    <x v="1"/>
    <n v="3386.0400000000004"/>
    <n v="376.22666666666669"/>
    <n v="9"/>
    <n v="1"/>
    <x v="0"/>
    <n v="0"/>
    <n v="1"/>
    <n v="0"/>
    <n v="153"/>
    <n v="1"/>
    <n v="3"/>
    <n v="3"/>
    <n v="7"/>
  </r>
  <r>
    <n v="482"/>
    <n v="38"/>
    <x v="3"/>
    <x v="0"/>
    <s v="Single"/>
    <x v="1"/>
    <x v="1"/>
    <n v="35"/>
    <x v="1"/>
    <n v="2624.42"/>
    <n v="291.60222222222222"/>
    <n v="9"/>
    <n v="2"/>
    <x v="0"/>
    <n v="0"/>
    <n v="0"/>
    <n v="1"/>
    <n v="86"/>
    <n v="1"/>
    <n v="3"/>
    <n v="3"/>
    <n v="7"/>
  </r>
  <r>
    <n v="483"/>
    <n v="54"/>
    <x v="2"/>
    <x v="1"/>
    <s v="Divorced"/>
    <x v="1"/>
    <x v="0"/>
    <n v="34"/>
    <x v="0"/>
    <n v="1262.48"/>
    <n v="210.41333333333333"/>
    <n v="6"/>
    <n v="1"/>
    <x v="1"/>
    <n v="0"/>
    <n v="0"/>
    <n v="1"/>
    <n v="59"/>
    <n v="2"/>
    <n v="2"/>
    <n v="2"/>
    <n v="6"/>
  </r>
  <r>
    <n v="484"/>
    <n v="22"/>
    <x v="1"/>
    <x v="0"/>
    <s v="Divorced"/>
    <x v="0"/>
    <x v="0"/>
    <n v="43"/>
    <x v="0"/>
    <n v="988.39"/>
    <n v="141.19857142857143"/>
    <n v="7"/>
    <n v="0"/>
    <x v="0"/>
    <n v="0"/>
    <n v="0"/>
    <n v="0"/>
    <n v="45"/>
    <n v="2"/>
    <n v="2"/>
    <n v="2"/>
    <n v="6"/>
  </r>
  <r>
    <n v="485"/>
    <n v="34"/>
    <x v="3"/>
    <x v="0"/>
    <s v="Single"/>
    <x v="1"/>
    <x v="0"/>
    <n v="28"/>
    <x v="0"/>
    <n v="2129.71"/>
    <n v="304.2442857142857"/>
    <n v="7"/>
    <n v="1"/>
    <x v="0"/>
    <n v="0"/>
    <n v="1"/>
    <n v="0"/>
    <n v="11"/>
    <n v="3"/>
    <n v="2"/>
    <n v="3"/>
    <n v="8"/>
  </r>
  <r>
    <n v="486"/>
    <n v="66"/>
    <x v="0"/>
    <x v="1"/>
    <s v="Widowed"/>
    <x v="0"/>
    <x v="0"/>
    <n v="5"/>
    <x v="2"/>
    <n v="758.7299999999999"/>
    <n v="189.68249999999998"/>
    <n v="4"/>
    <n v="2"/>
    <x v="1"/>
    <n v="1"/>
    <n v="0"/>
    <n v="1"/>
    <n v="60"/>
    <n v="2"/>
    <n v="2"/>
    <n v="1"/>
    <n v="5"/>
  </r>
  <r>
    <n v="487"/>
    <n v="65"/>
    <x v="0"/>
    <x v="1"/>
    <s v="Widowed"/>
    <x v="0"/>
    <x v="0"/>
    <n v="34"/>
    <x v="0"/>
    <n v="1624.23"/>
    <n v="232.03285714285715"/>
    <n v="7"/>
    <n v="2"/>
    <x v="1"/>
    <n v="0"/>
    <n v="1"/>
    <n v="0"/>
    <n v="7"/>
    <n v="3"/>
    <n v="2"/>
    <n v="3"/>
    <n v="8"/>
  </r>
  <r>
    <n v="488"/>
    <n v="28"/>
    <x v="1"/>
    <x v="1"/>
    <s v="Married"/>
    <x v="1"/>
    <x v="1"/>
    <n v="33"/>
    <x v="0"/>
    <n v="393.84"/>
    <n v="393.84"/>
    <n v="1"/>
    <n v="0"/>
    <x v="0"/>
    <n v="0"/>
    <n v="0"/>
    <n v="0"/>
    <n v="93"/>
    <n v="1"/>
    <n v="1"/>
    <n v="1"/>
    <n v="3"/>
  </r>
  <r>
    <n v="489"/>
    <n v="63"/>
    <x v="0"/>
    <x v="0"/>
    <s v="Divorced"/>
    <x v="2"/>
    <x v="0"/>
    <n v="12"/>
    <x v="2"/>
    <n v="1101.1100000000001"/>
    <n v="183.51833333333335"/>
    <n v="6"/>
    <n v="0"/>
    <x v="0"/>
    <n v="0"/>
    <n v="0"/>
    <n v="0"/>
    <n v="41"/>
    <n v="2"/>
    <n v="2"/>
    <n v="2"/>
    <n v="6"/>
  </r>
  <r>
    <n v="490"/>
    <n v="58"/>
    <x v="2"/>
    <x v="1"/>
    <s v="Widowed"/>
    <x v="0"/>
    <x v="0"/>
    <n v="40"/>
    <x v="2"/>
    <n v="2063.08"/>
    <n v="294.72571428571428"/>
    <n v="7"/>
    <n v="2"/>
    <x v="1"/>
    <n v="0"/>
    <n v="0"/>
    <n v="1"/>
    <n v="41"/>
    <n v="2"/>
    <n v="2"/>
    <n v="3"/>
    <n v="7"/>
  </r>
  <r>
    <n v="491"/>
    <n v="48"/>
    <x v="2"/>
    <x v="0"/>
    <s v="Widowed"/>
    <x v="1"/>
    <x v="1"/>
    <n v="44"/>
    <x v="1"/>
    <n v="1483.12"/>
    <n v="247.18666666666664"/>
    <n v="6"/>
    <n v="1"/>
    <x v="0"/>
    <n v="0"/>
    <n v="1"/>
    <n v="0"/>
    <n v="54"/>
    <n v="2"/>
    <n v="2"/>
    <n v="2"/>
    <n v="6"/>
  </r>
  <r>
    <n v="492"/>
    <n v="45"/>
    <x v="3"/>
    <x v="1"/>
    <s v="Divorced"/>
    <x v="0"/>
    <x v="0"/>
    <n v="38"/>
    <x v="2"/>
    <n v="1491.8"/>
    <n v="298.36"/>
    <n v="5"/>
    <n v="0"/>
    <x v="0"/>
    <n v="0"/>
    <n v="0"/>
    <n v="0"/>
    <n v="12"/>
    <n v="3"/>
    <n v="2"/>
    <n v="2"/>
    <n v="7"/>
  </r>
  <r>
    <n v="493"/>
    <n v="61"/>
    <x v="0"/>
    <x v="0"/>
    <s v="Widowed"/>
    <x v="2"/>
    <x v="0"/>
    <n v="44"/>
    <x v="2"/>
    <n v="976"/>
    <n v="244"/>
    <n v="4"/>
    <n v="0"/>
    <x v="0"/>
    <n v="0"/>
    <n v="0"/>
    <n v="0"/>
    <n v="29"/>
    <n v="2"/>
    <n v="2"/>
    <n v="2"/>
    <n v="6"/>
  </r>
  <r>
    <n v="494"/>
    <n v="49"/>
    <x v="2"/>
    <x v="0"/>
    <s v="Single"/>
    <x v="1"/>
    <x v="0"/>
    <n v="12"/>
    <x v="0"/>
    <n v="269.73"/>
    <n v="269.73"/>
    <n v="1"/>
    <n v="1"/>
    <x v="0"/>
    <n v="1"/>
    <n v="0"/>
    <n v="0"/>
    <n v="214"/>
    <n v="1"/>
    <n v="1"/>
    <n v="1"/>
    <n v="3"/>
  </r>
  <r>
    <n v="495"/>
    <n v="38"/>
    <x v="3"/>
    <x v="0"/>
    <s v="Widowed"/>
    <x v="0"/>
    <x v="0"/>
    <n v="37"/>
    <x v="2"/>
    <n v="1738.14"/>
    <n v="289.69"/>
    <n v="6"/>
    <n v="1"/>
    <x v="1"/>
    <n v="0"/>
    <n v="1"/>
    <n v="0"/>
    <n v="23"/>
    <n v="3"/>
    <n v="2"/>
    <n v="3"/>
    <n v="8"/>
  </r>
  <r>
    <n v="496"/>
    <n v="24"/>
    <x v="1"/>
    <x v="1"/>
    <s v="Widowed"/>
    <x v="2"/>
    <x v="0"/>
    <n v="1"/>
    <x v="1"/>
    <n v="216.79"/>
    <n v="108.395"/>
    <n v="2"/>
    <n v="1"/>
    <x v="0"/>
    <n v="0"/>
    <n v="0"/>
    <n v="1"/>
    <n v="223"/>
    <n v="1"/>
    <n v="1"/>
    <n v="1"/>
    <n v="3"/>
  </r>
  <r>
    <n v="497"/>
    <n v="27"/>
    <x v="1"/>
    <x v="0"/>
    <s v="Divorced"/>
    <x v="2"/>
    <x v="0"/>
    <n v="40"/>
    <x v="0"/>
    <n v="1554.77"/>
    <n v="259.12833333333333"/>
    <n v="6"/>
    <n v="2"/>
    <x v="1"/>
    <n v="1"/>
    <n v="0"/>
    <n v="0"/>
    <n v="17"/>
    <n v="3"/>
    <n v="2"/>
    <n v="2"/>
    <n v="7"/>
  </r>
  <r>
    <n v="498"/>
    <n v="45"/>
    <x v="3"/>
    <x v="1"/>
    <s v="Single"/>
    <x v="0"/>
    <x v="1"/>
    <n v="5"/>
    <x v="1"/>
    <n v="763.91"/>
    <n v="381.95499999999998"/>
    <n v="2"/>
    <n v="0"/>
    <x v="0"/>
    <n v="0"/>
    <n v="0"/>
    <n v="0"/>
    <n v="161"/>
    <n v="1"/>
    <n v="1"/>
    <n v="1"/>
    <n v="3"/>
  </r>
  <r>
    <n v="499"/>
    <n v="65"/>
    <x v="0"/>
    <x v="0"/>
    <s v="Married"/>
    <x v="1"/>
    <x v="0"/>
    <n v="2"/>
    <x v="0"/>
    <n v="458.77"/>
    <n v="229.38499999999999"/>
    <n v="2"/>
    <n v="1"/>
    <x v="0"/>
    <n v="1"/>
    <n v="0"/>
    <n v="0"/>
    <n v="35"/>
    <n v="2"/>
    <n v="1"/>
    <n v="1"/>
    <n v="4"/>
  </r>
  <r>
    <n v="500"/>
    <n v="53"/>
    <x v="2"/>
    <x v="0"/>
    <s v="Divorced"/>
    <x v="1"/>
    <x v="0"/>
    <n v="46"/>
    <x v="2"/>
    <n v="2429.2200000000003"/>
    <n v="269.91333333333336"/>
    <n v="9"/>
    <n v="0"/>
    <x v="0"/>
    <n v="0"/>
    <n v="0"/>
    <n v="0"/>
    <n v="64"/>
    <n v="2"/>
    <n v="3"/>
    <n v="3"/>
    <n v="8"/>
  </r>
  <r>
    <n v="501"/>
    <n v="37"/>
    <x v="3"/>
    <x v="0"/>
    <s v="Married"/>
    <x v="0"/>
    <x v="0"/>
    <n v="25"/>
    <x v="2"/>
    <n v="1317.1799999999998"/>
    <n v="164.64749999999998"/>
    <n v="8"/>
    <n v="0"/>
    <x v="0"/>
    <n v="0"/>
    <n v="0"/>
    <n v="0"/>
    <n v="2"/>
    <n v="3"/>
    <n v="3"/>
    <n v="2"/>
    <n v="8"/>
  </r>
  <r>
    <n v="502"/>
    <n v="30"/>
    <x v="1"/>
    <x v="0"/>
    <s v="Married"/>
    <x v="2"/>
    <x v="0"/>
    <n v="38"/>
    <x v="0"/>
    <n v="703.32999999999993"/>
    <n v="175.83249999999998"/>
    <n v="4"/>
    <n v="2"/>
    <x v="1"/>
    <n v="1"/>
    <n v="0"/>
    <n v="1"/>
    <n v="42"/>
    <n v="2"/>
    <n v="2"/>
    <n v="1"/>
    <n v="5"/>
  </r>
  <r>
    <n v="503"/>
    <n v="36"/>
    <x v="3"/>
    <x v="1"/>
    <s v="Single"/>
    <x v="2"/>
    <x v="0"/>
    <n v="25"/>
    <x v="1"/>
    <n v="1336.58"/>
    <n v="222.76333333333332"/>
    <n v="6"/>
    <n v="0"/>
    <x v="0"/>
    <n v="0"/>
    <n v="0"/>
    <n v="0"/>
    <n v="29"/>
    <n v="2"/>
    <n v="2"/>
    <n v="2"/>
    <n v="6"/>
  </r>
  <r>
    <n v="504"/>
    <n v="67"/>
    <x v="0"/>
    <x v="0"/>
    <s v="Married"/>
    <x v="2"/>
    <x v="0"/>
    <n v="48"/>
    <x v="0"/>
    <n v="551.92999999999995"/>
    <n v="183.97666666666666"/>
    <n v="3"/>
    <n v="1"/>
    <x v="1"/>
    <n v="0"/>
    <n v="0"/>
    <n v="1"/>
    <n v="218"/>
    <n v="1"/>
    <n v="2"/>
    <n v="1"/>
    <n v="4"/>
  </r>
  <r>
    <n v="505"/>
    <n v="28"/>
    <x v="1"/>
    <x v="0"/>
    <s v="Single"/>
    <x v="2"/>
    <x v="0"/>
    <n v="22"/>
    <x v="0"/>
    <n v="2312.6999999999998"/>
    <n v="330.38571428571424"/>
    <n v="7"/>
    <n v="2"/>
    <x v="1"/>
    <n v="1"/>
    <n v="0"/>
    <n v="0"/>
    <n v="12"/>
    <n v="3"/>
    <n v="2"/>
    <n v="3"/>
    <n v="8"/>
  </r>
  <r>
    <n v="506"/>
    <n v="52"/>
    <x v="2"/>
    <x v="1"/>
    <s v="Widowed"/>
    <x v="0"/>
    <x v="1"/>
    <n v="1"/>
    <x v="2"/>
    <n v="1009.74"/>
    <n v="252.435"/>
    <n v="4"/>
    <n v="2"/>
    <x v="1"/>
    <n v="1"/>
    <n v="1"/>
    <n v="0"/>
    <n v="287"/>
    <n v="1"/>
    <n v="2"/>
    <n v="2"/>
    <n v="5"/>
  </r>
  <r>
    <n v="507"/>
    <n v="51"/>
    <x v="2"/>
    <x v="0"/>
    <s v="Single"/>
    <x v="2"/>
    <x v="1"/>
    <n v="25"/>
    <x v="2"/>
    <n v="2325.0300000000002"/>
    <n v="258.3366666666667"/>
    <n v="9"/>
    <n v="2"/>
    <x v="1"/>
    <n v="1"/>
    <n v="1"/>
    <n v="0"/>
    <n v="81"/>
    <n v="2"/>
    <n v="3"/>
    <n v="3"/>
    <n v="8"/>
  </r>
  <r>
    <n v="508"/>
    <n v="61"/>
    <x v="0"/>
    <x v="1"/>
    <s v="Divorced"/>
    <x v="0"/>
    <x v="0"/>
    <n v="33"/>
    <x v="2"/>
    <n v="1536.61"/>
    <n v="307.322"/>
    <n v="5"/>
    <n v="0"/>
    <x v="0"/>
    <n v="0"/>
    <n v="0"/>
    <n v="0"/>
    <n v="93"/>
    <n v="1"/>
    <n v="2"/>
    <n v="2"/>
    <n v="5"/>
  </r>
  <r>
    <n v="509"/>
    <n v="21"/>
    <x v="1"/>
    <x v="1"/>
    <s v="Married"/>
    <x v="1"/>
    <x v="1"/>
    <n v="22"/>
    <x v="1"/>
    <n v="2446.54"/>
    <n v="271.83777777777777"/>
    <n v="9"/>
    <n v="1"/>
    <x v="1"/>
    <n v="0"/>
    <n v="1"/>
    <n v="0"/>
    <n v="4"/>
    <n v="3"/>
    <n v="3"/>
    <n v="3"/>
    <n v="9"/>
  </r>
  <r>
    <n v="510"/>
    <n v="30"/>
    <x v="1"/>
    <x v="0"/>
    <s v="Single"/>
    <x v="1"/>
    <x v="1"/>
    <n v="31"/>
    <x v="0"/>
    <n v="392.1"/>
    <n v="392.1"/>
    <n v="1"/>
    <n v="1"/>
    <x v="1"/>
    <n v="1"/>
    <n v="0"/>
    <n v="0"/>
    <n v="274"/>
    <n v="1"/>
    <n v="1"/>
    <n v="1"/>
    <n v="3"/>
  </r>
  <r>
    <n v="511"/>
    <n v="54"/>
    <x v="2"/>
    <x v="0"/>
    <s v="Divorced"/>
    <x v="2"/>
    <x v="1"/>
    <n v="19"/>
    <x v="2"/>
    <n v="2027.88"/>
    <n v="225.32000000000002"/>
    <n v="9"/>
    <n v="1"/>
    <x v="0"/>
    <n v="1"/>
    <n v="0"/>
    <n v="0"/>
    <n v="7"/>
    <n v="3"/>
    <n v="3"/>
    <n v="3"/>
    <n v="9"/>
  </r>
  <r>
    <n v="512"/>
    <n v="19"/>
    <x v="1"/>
    <x v="1"/>
    <s v="Single"/>
    <x v="2"/>
    <x v="0"/>
    <n v="48"/>
    <x v="0"/>
    <n v="1362.35"/>
    <n v="272.46999999999997"/>
    <n v="5"/>
    <n v="0"/>
    <x v="0"/>
    <n v="0"/>
    <n v="0"/>
    <n v="0"/>
    <n v="28"/>
    <n v="3"/>
    <n v="2"/>
    <n v="2"/>
    <n v="7"/>
  </r>
  <r>
    <n v="513"/>
    <n v="67"/>
    <x v="0"/>
    <x v="1"/>
    <s v="Married"/>
    <x v="2"/>
    <x v="0"/>
    <n v="18"/>
    <x v="2"/>
    <n v="172.81"/>
    <n v="172.81"/>
    <n v="1"/>
    <n v="0"/>
    <x v="0"/>
    <n v="0"/>
    <n v="0"/>
    <n v="0"/>
    <n v="195"/>
    <n v="1"/>
    <n v="1"/>
    <n v="1"/>
    <n v="3"/>
  </r>
  <r>
    <n v="514"/>
    <n v="18"/>
    <x v="1"/>
    <x v="1"/>
    <s v="Married"/>
    <x v="1"/>
    <x v="0"/>
    <n v="1"/>
    <x v="0"/>
    <n v="1606.29"/>
    <n v="267.71499999999997"/>
    <n v="6"/>
    <n v="0"/>
    <x v="0"/>
    <n v="0"/>
    <n v="0"/>
    <n v="0"/>
    <n v="64"/>
    <n v="2"/>
    <n v="2"/>
    <n v="3"/>
    <n v="7"/>
  </r>
  <r>
    <n v="515"/>
    <n v="57"/>
    <x v="2"/>
    <x v="1"/>
    <s v="Divorced"/>
    <x v="0"/>
    <x v="0"/>
    <n v="19"/>
    <x v="2"/>
    <n v="1639.5800000000004"/>
    <n v="273.26333333333338"/>
    <n v="6"/>
    <n v="0"/>
    <x v="0"/>
    <n v="0"/>
    <n v="0"/>
    <n v="0"/>
    <n v="28"/>
    <n v="3"/>
    <n v="2"/>
    <n v="3"/>
    <n v="8"/>
  </r>
  <r>
    <n v="516"/>
    <n v="42"/>
    <x v="3"/>
    <x v="1"/>
    <s v="Divorced"/>
    <x v="0"/>
    <x v="1"/>
    <n v="14"/>
    <x v="0"/>
    <n v="612.22"/>
    <n v="204.07333333333335"/>
    <n v="3"/>
    <n v="0"/>
    <x v="0"/>
    <n v="0"/>
    <n v="0"/>
    <n v="0"/>
    <n v="98"/>
    <n v="1"/>
    <n v="2"/>
    <n v="1"/>
    <n v="4"/>
  </r>
  <r>
    <n v="517"/>
    <n v="54"/>
    <x v="2"/>
    <x v="1"/>
    <s v="Divorced"/>
    <x v="0"/>
    <x v="0"/>
    <n v="11"/>
    <x v="2"/>
    <n v="1073.98"/>
    <n v="214.79599999999999"/>
    <n v="5"/>
    <n v="0"/>
    <x v="0"/>
    <n v="0"/>
    <n v="0"/>
    <n v="0"/>
    <n v="10"/>
    <n v="3"/>
    <n v="2"/>
    <n v="2"/>
    <n v="7"/>
  </r>
  <r>
    <n v="518"/>
    <n v="53"/>
    <x v="2"/>
    <x v="1"/>
    <s v="Divorced"/>
    <x v="2"/>
    <x v="1"/>
    <n v="8"/>
    <x v="0"/>
    <n v="3078.6"/>
    <n v="342.06666666666666"/>
    <n v="9"/>
    <n v="2"/>
    <x v="1"/>
    <n v="0"/>
    <n v="1"/>
    <n v="1"/>
    <n v="48"/>
    <n v="2"/>
    <n v="3"/>
    <n v="3"/>
    <n v="8"/>
  </r>
  <r>
    <n v="519"/>
    <n v="23"/>
    <x v="1"/>
    <x v="1"/>
    <s v="Divorced"/>
    <x v="0"/>
    <x v="0"/>
    <n v="18"/>
    <x v="0"/>
    <n v="1894.4"/>
    <n v="210.48888888888891"/>
    <n v="9"/>
    <n v="2"/>
    <x v="1"/>
    <n v="1"/>
    <n v="0"/>
    <n v="0"/>
    <n v="39"/>
    <n v="2"/>
    <n v="3"/>
    <n v="3"/>
    <n v="8"/>
  </r>
  <r>
    <n v="520"/>
    <n v="24"/>
    <x v="1"/>
    <x v="0"/>
    <s v="Married"/>
    <x v="2"/>
    <x v="0"/>
    <n v="9"/>
    <x v="0"/>
    <n v="1959.29"/>
    <n v="391.858"/>
    <n v="5"/>
    <n v="2"/>
    <x v="0"/>
    <n v="1"/>
    <n v="1"/>
    <n v="0"/>
    <n v="15"/>
    <n v="3"/>
    <n v="2"/>
    <n v="3"/>
    <n v="8"/>
  </r>
  <r>
    <n v="521"/>
    <n v="21"/>
    <x v="1"/>
    <x v="1"/>
    <s v="Widowed"/>
    <x v="1"/>
    <x v="1"/>
    <n v="43"/>
    <x v="1"/>
    <n v="645.75"/>
    <n v="322.875"/>
    <n v="2"/>
    <n v="2"/>
    <x v="1"/>
    <n v="1"/>
    <n v="0"/>
    <n v="1"/>
    <n v="263"/>
    <n v="1"/>
    <n v="1"/>
    <n v="1"/>
    <n v="3"/>
  </r>
  <r>
    <n v="522"/>
    <n v="52"/>
    <x v="2"/>
    <x v="0"/>
    <s v="Divorced"/>
    <x v="0"/>
    <x v="0"/>
    <n v="28"/>
    <x v="1"/>
    <n v="2557.54"/>
    <n v="284.17111111111109"/>
    <n v="9"/>
    <n v="2"/>
    <x v="1"/>
    <n v="0"/>
    <n v="0"/>
    <n v="1"/>
    <n v="52"/>
    <n v="2"/>
    <n v="3"/>
    <n v="3"/>
    <n v="8"/>
  </r>
  <r>
    <n v="523"/>
    <n v="58"/>
    <x v="2"/>
    <x v="0"/>
    <s v="Widowed"/>
    <x v="2"/>
    <x v="0"/>
    <n v="11"/>
    <x v="0"/>
    <n v="2090.02"/>
    <n v="232.22444444444443"/>
    <n v="9"/>
    <n v="0"/>
    <x v="0"/>
    <n v="0"/>
    <n v="0"/>
    <n v="0"/>
    <n v="7"/>
    <n v="3"/>
    <n v="3"/>
    <n v="3"/>
    <n v="9"/>
  </r>
  <r>
    <n v="524"/>
    <n v="51"/>
    <x v="2"/>
    <x v="1"/>
    <s v="Divorced"/>
    <x v="0"/>
    <x v="0"/>
    <n v="49"/>
    <x v="2"/>
    <n v="2565.36"/>
    <n v="285.04000000000002"/>
    <n v="9"/>
    <n v="1"/>
    <x v="1"/>
    <n v="0"/>
    <n v="0"/>
    <n v="1"/>
    <n v="38"/>
    <n v="2"/>
    <n v="3"/>
    <n v="3"/>
    <n v="8"/>
  </r>
  <r>
    <n v="525"/>
    <n v="46"/>
    <x v="2"/>
    <x v="1"/>
    <s v="Divorced"/>
    <x v="1"/>
    <x v="0"/>
    <n v="41"/>
    <x v="1"/>
    <n v="462.44"/>
    <n v="115.61"/>
    <n v="4"/>
    <n v="1"/>
    <x v="1"/>
    <n v="0"/>
    <n v="1"/>
    <n v="0"/>
    <n v="106"/>
    <n v="1"/>
    <n v="2"/>
    <n v="1"/>
    <n v="4"/>
  </r>
  <r>
    <n v="526"/>
    <n v="22"/>
    <x v="1"/>
    <x v="0"/>
    <s v="Divorced"/>
    <x v="0"/>
    <x v="0"/>
    <n v="30"/>
    <x v="2"/>
    <n v="446.32"/>
    <n v="111.58"/>
    <n v="4"/>
    <n v="1"/>
    <x v="0"/>
    <n v="0"/>
    <n v="0"/>
    <n v="1"/>
    <n v="97"/>
    <n v="1"/>
    <n v="2"/>
    <n v="1"/>
    <n v="4"/>
  </r>
  <r>
    <n v="527"/>
    <n v="44"/>
    <x v="3"/>
    <x v="0"/>
    <s v="Married"/>
    <x v="0"/>
    <x v="0"/>
    <n v="44"/>
    <x v="2"/>
    <n v="343.51000000000005"/>
    <n v="114.50333333333334"/>
    <n v="3"/>
    <n v="0"/>
    <x v="0"/>
    <n v="0"/>
    <n v="0"/>
    <n v="0"/>
    <n v="9"/>
    <n v="3"/>
    <n v="2"/>
    <n v="1"/>
    <n v="6"/>
  </r>
  <r>
    <n v="528"/>
    <n v="50"/>
    <x v="2"/>
    <x v="1"/>
    <s v="Widowed"/>
    <x v="1"/>
    <x v="0"/>
    <n v="27"/>
    <x v="2"/>
    <n v="1353.55"/>
    <n v="225.59166666666667"/>
    <n v="6"/>
    <n v="1"/>
    <x v="0"/>
    <n v="0"/>
    <n v="0"/>
    <n v="1"/>
    <n v="12"/>
    <n v="3"/>
    <n v="2"/>
    <n v="2"/>
    <n v="7"/>
  </r>
  <r>
    <n v="529"/>
    <n v="63"/>
    <x v="0"/>
    <x v="1"/>
    <s v="Married"/>
    <x v="2"/>
    <x v="0"/>
    <n v="26"/>
    <x v="2"/>
    <n v="2333.7200000000003"/>
    <n v="291.71500000000003"/>
    <n v="8"/>
    <n v="1"/>
    <x v="1"/>
    <n v="0"/>
    <n v="0"/>
    <n v="1"/>
    <n v="40"/>
    <n v="2"/>
    <n v="3"/>
    <n v="3"/>
    <n v="8"/>
  </r>
  <r>
    <n v="530"/>
    <n v="69"/>
    <x v="0"/>
    <x v="1"/>
    <s v="Single"/>
    <x v="2"/>
    <x v="1"/>
    <n v="49"/>
    <x v="0"/>
    <n v="1311.6399999999999"/>
    <n v="218.60666666666665"/>
    <n v="6"/>
    <n v="0"/>
    <x v="0"/>
    <n v="0"/>
    <n v="0"/>
    <n v="0"/>
    <n v="35"/>
    <n v="2"/>
    <n v="2"/>
    <n v="2"/>
    <n v="6"/>
  </r>
  <r>
    <n v="531"/>
    <n v="27"/>
    <x v="1"/>
    <x v="1"/>
    <s v="Divorced"/>
    <x v="2"/>
    <x v="1"/>
    <n v="12"/>
    <x v="2"/>
    <n v="2008.12"/>
    <n v="223.12444444444444"/>
    <n v="9"/>
    <n v="1"/>
    <x v="1"/>
    <n v="1"/>
    <n v="0"/>
    <n v="0"/>
    <n v="46"/>
    <n v="2"/>
    <n v="3"/>
    <n v="3"/>
    <n v="8"/>
  </r>
  <r>
    <n v="532"/>
    <n v="23"/>
    <x v="1"/>
    <x v="0"/>
    <s v="Divorced"/>
    <x v="0"/>
    <x v="0"/>
    <n v="38"/>
    <x v="1"/>
    <n v="2372.58"/>
    <n v="296.57249999999999"/>
    <n v="8"/>
    <n v="2"/>
    <x v="1"/>
    <n v="1"/>
    <n v="0"/>
    <n v="1"/>
    <n v="40"/>
    <n v="2"/>
    <n v="3"/>
    <n v="3"/>
    <n v="8"/>
  </r>
  <r>
    <n v="533"/>
    <n v="51"/>
    <x v="2"/>
    <x v="0"/>
    <s v="Widowed"/>
    <x v="0"/>
    <x v="0"/>
    <n v="27"/>
    <x v="0"/>
    <n v="388.31"/>
    <n v="388.31"/>
    <n v="1"/>
    <n v="1"/>
    <x v="1"/>
    <n v="0"/>
    <n v="0"/>
    <n v="1"/>
    <n v="111"/>
    <n v="1"/>
    <n v="1"/>
    <n v="1"/>
    <n v="3"/>
  </r>
  <r>
    <n v="534"/>
    <n v="25"/>
    <x v="1"/>
    <x v="0"/>
    <s v="Married"/>
    <x v="2"/>
    <x v="0"/>
    <n v="37"/>
    <x v="0"/>
    <n v="536.30999999999995"/>
    <n v="178.76999999999998"/>
    <n v="3"/>
    <n v="2"/>
    <x v="1"/>
    <n v="1"/>
    <n v="1"/>
    <n v="0"/>
    <n v="28"/>
    <n v="3"/>
    <n v="2"/>
    <n v="1"/>
    <n v="6"/>
  </r>
  <r>
    <n v="535"/>
    <n v="48"/>
    <x v="2"/>
    <x v="0"/>
    <s v="Married"/>
    <x v="2"/>
    <x v="0"/>
    <n v="17"/>
    <x v="0"/>
    <n v="2145.98"/>
    <n v="268.2475"/>
    <n v="8"/>
    <n v="0"/>
    <x v="0"/>
    <n v="0"/>
    <n v="0"/>
    <n v="0"/>
    <n v="34"/>
    <n v="2"/>
    <n v="3"/>
    <n v="3"/>
    <n v="8"/>
  </r>
  <r>
    <n v="536"/>
    <n v="26"/>
    <x v="1"/>
    <x v="0"/>
    <s v="Married"/>
    <x v="0"/>
    <x v="0"/>
    <n v="46"/>
    <x v="0"/>
    <n v="1639.3600000000001"/>
    <n v="409.84000000000003"/>
    <n v="4"/>
    <n v="1"/>
    <x v="1"/>
    <n v="0"/>
    <n v="0"/>
    <n v="1"/>
    <n v="133"/>
    <n v="1"/>
    <n v="2"/>
    <n v="3"/>
    <n v="6"/>
  </r>
  <r>
    <n v="537"/>
    <n v="38"/>
    <x v="3"/>
    <x v="0"/>
    <s v="Divorced"/>
    <x v="2"/>
    <x v="1"/>
    <n v="9"/>
    <x v="2"/>
    <n v="2067.5699999999997"/>
    <n v="344.59499999999997"/>
    <n v="6"/>
    <n v="0"/>
    <x v="0"/>
    <n v="0"/>
    <n v="0"/>
    <n v="0"/>
    <n v="2"/>
    <n v="3"/>
    <n v="2"/>
    <n v="3"/>
    <n v="8"/>
  </r>
  <r>
    <n v="538"/>
    <n v="25"/>
    <x v="1"/>
    <x v="0"/>
    <s v="Widowed"/>
    <x v="2"/>
    <x v="0"/>
    <n v="6"/>
    <x v="2"/>
    <n v="651.88"/>
    <n v="325.94"/>
    <n v="2"/>
    <n v="2"/>
    <x v="1"/>
    <n v="0"/>
    <n v="1"/>
    <n v="1"/>
    <n v="164"/>
    <n v="1"/>
    <n v="1"/>
    <n v="1"/>
    <n v="3"/>
  </r>
  <r>
    <n v="539"/>
    <n v="21"/>
    <x v="1"/>
    <x v="1"/>
    <s v="Single"/>
    <x v="0"/>
    <x v="0"/>
    <n v="13"/>
    <x v="0"/>
    <n v="1286.3499999999999"/>
    <n v="214.39166666666665"/>
    <n v="6"/>
    <n v="2"/>
    <x v="1"/>
    <n v="0"/>
    <n v="1"/>
    <n v="1"/>
    <n v="115"/>
    <n v="1"/>
    <n v="2"/>
    <n v="2"/>
    <n v="5"/>
  </r>
  <r>
    <n v="540"/>
    <n v="39"/>
    <x v="3"/>
    <x v="1"/>
    <s v="Single"/>
    <x v="1"/>
    <x v="0"/>
    <n v="6"/>
    <x v="2"/>
    <n v="649.47"/>
    <n v="324.73500000000001"/>
    <n v="2"/>
    <n v="1"/>
    <x v="1"/>
    <n v="0"/>
    <n v="0"/>
    <n v="1"/>
    <n v="245"/>
    <n v="1"/>
    <n v="1"/>
    <n v="1"/>
    <n v="3"/>
  </r>
  <r>
    <n v="541"/>
    <n v="45"/>
    <x v="3"/>
    <x v="1"/>
    <s v="Married"/>
    <x v="0"/>
    <x v="0"/>
    <n v="38"/>
    <x v="0"/>
    <n v="185.03"/>
    <n v="92.515000000000001"/>
    <n v="2"/>
    <n v="2"/>
    <x v="1"/>
    <n v="1"/>
    <n v="0"/>
    <n v="0"/>
    <n v="176"/>
    <n v="1"/>
    <n v="1"/>
    <n v="1"/>
    <n v="3"/>
  </r>
  <r>
    <n v="542"/>
    <n v="62"/>
    <x v="0"/>
    <x v="1"/>
    <s v="Widowed"/>
    <x v="2"/>
    <x v="0"/>
    <n v="4"/>
    <x v="0"/>
    <n v="344.77"/>
    <n v="114.92333333333333"/>
    <n v="3"/>
    <n v="0"/>
    <x v="0"/>
    <n v="0"/>
    <n v="0"/>
    <n v="0"/>
    <n v="85"/>
    <n v="1"/>
    <n v="2"/>
    <n v="1"/>
    <n v="4"/>
  </r>
  <r>
    <n v="543"/>
    <n v="21"/>
    <x v="1"/>
    <x v="0"/>
    <s v="Married"/>
    <x v="2"/>
    <x v="1"/>
    <n v="16"/>
    <x v="2"/>
    <n v="939.83"/>
    <n v="187.96600000000001"/>
    <n v="5"/>
    <n v="1"/>
    <x v="1"/>
    <n v="1"/>
    <n v="0"/>
    <n v="0"/>
    <n v="22"/>
    <n v="3"/>
    <n v="2"/>
    <n v="2"/>
    <n v="7"/>
  </r>
  <r>
    <n v="544"/>
    <n v="56"/>
    <x v="2"/>
    <x v="0"/>
    <s v="Married"/>
    <x v="1"/>
    <x v="0"/>
    <n v="36"/>
    <x v="1"/>
    <n v="1099.45"/>
    <n v="274.86250000000001"/>
    <n v="4"/>
    <n v="1"/>
    <x v="1"/>
    <n v="1"/>
    <n v="0"/>
    <n v="0"/>
    <n v="3"/>
    <n v="3"/>
    <n v="2"/>
    <n v="2"/>
    <n v="7"/>
  </r>
  <r>
    <n v="545"/>
    <n v="38"/>
    <x v="3"/>
    <x v="1"/>
    <s v="Married"/>
    <x v="1"/>
    <x v="1"/>
    <n v="43"/>
    <x v="1"/>
    <n v="452.87"/>
    <n v="226.435"/>
    <n v="2"/>
    <n v="2"/>
    <x v="0"/>
    <n v="1"/>
    <n v="1"/>
    <n v="0"/>
    <n v="90"/>
    <n v="1"/>
    <n v="1"/>
    <n v="1"/>
    <n v="3"/>
  </r>
  <r>
    <n v="546"/>
    <n v="25"/>
    <x v="1"/>
    <x v="0"/>
    <s v="Single"/>
    <x v="0"/>
    <x v="0"/>
    <n v="14"/>
    <x v="2"/>
    <n v="575.04999999999995"/>
    <n v="287.52499999999998"/>
    <n v="2"/>
    <n v="2"/>
    <x v="0"/>
    <n v="1"/>
    <n v="0"/>
    <n v="0"/>
    <n v="340"/>
    <n v="1"/>
    <n v="1"/>
    <n v="1"/>
    <n v="3"/>
  </r>
  <r>
    <n v="547"/>
    <n v="37"/>
    <x v="3"/>
    <x v="0"/>
    <s v="Single"/>
    <x v="1"/>
    <x v="0"/>
    <n v="29"/>
    <x v="1"/>
    <n v="716.14"/>
    <n v="238.71333333333334"/>
    <n v="3"/>
    <n v="0"/>
    <x v="0"/>
    <n v="0"/>
    <n v="0"/>
    <n v="0"/>
    <n v="21"/>
    <n v="3"/>
    <n v="2"/>
    <n v="1"/>
    <n v="6"/>
  </r>
  <r>
    <n v="548"/>
    <n v="49"/>
    <x v="2"/>
    <x v="0"/>
    <s v="Married"/>
    <x v="2"/>
    <x v="0"/>
    <n v="24"/>
    <x v="1"/>
    <n v="2116.14"/>
    <n v="235.12666666666667"/>
    <n v="9"/>
    <n v="0"/>
    <x v="0"/>
    <n v="0"/>
    <n v="0"/>
    <n v="0"/>
    <n v="10"/>
    <n v="3"/>
    <n v="3"/>
    <n v="3"/>
    <n v="9"/>
  </r>
  <r>
    <n v="549"/>
    <n v="18"/>
    <x v="1"/>
    <x v="0"/>
    <s v="Widowed"/>
    <x v="2"/>
    <x v="0"/>
    <n v="39"/>
    <x v="0"/>
    <n v="358.67"/>
    <n v="179.33500000000001"/>
    <n v="2"/>
    <n v="0"/>
    <x v="0"/>
    <n v="0"/>
    <n v="0"/>
    <n v="0"/>
    <n v="66"/>
    <n v="2"/>
    <n v="1"/>
    <n v="1"/>
    <n v="4"/>
  </r>
  <r>
    <n v="550"/>
    <n v="23"/>
    <x v="1"/>
    <x v="1"/>
    <s v="Single"/>
    <x v="2"/>
    <x v="0"/>
    <n v="39"/>
    <x v="2"/>
    <n v="2140.2599999999998"/>
    <n v="267.53249999999997"/>
    <n v="8"/>
    <n v="2"/>
    <x v="1"/>
    <n v="1"/>
    <n v="1"/>
    <n v="0"/>
    <n v="9"/>
    <n v="3"/>
    <n v="3"/>
    <n v="3"/>
    <n v="9"/>
  </r>
  <r>
    <n v="551"/>
    <n v="45"/>
    <x v="3"/>
    <x v="1"/>
    <s v="Married"/>
    <x v="2"/>
    <x v="0"/>
    <n v="45"/>
    <x v="0"/>
    <n v="3027.91"/>
    <n v="336.43444444444441"/>
    <n v="9"/>
    <n v="2"/>
    <x v="1"/>
    <n v="1"/>
    <n v="0"/>
    <n v="1"/>
    <n v="30"/>
    <n v="2"/>
    <n v="3"/>
    <n v="3"/>
    <n v="8"/>
  </r>
  <r>
    <n v="552"/>
    <n v="61"/>
    <x v="0"/>
    <x v="1"/>
    <s v="Single"/>
    <x v="1"/>
    <x v="0"/>
    <n v="25"/>
    <x v="1"/>
    <n v="1049.96"/>
    <n v="349.98666666666668"/>
    <n v="3"/>
    <n v="0"/>
    <x v="0"/>
    <n v="0"/>
    <n v="0"/>
    <n v="0"/>
    <n v="120"/>
    <n v="1"/>
    <n v="2"/>
    <n v="2"/>
    <n v="5"/>
  </r>
  <r>
    <n v="553"/>
    <n v="48"/>
    <x v="2"/>
    <x v="1"/>
    <s v="Divorced"/>
    <x v="2"/>
    <x v="0"/>
    <n v="46"/>
    <x v="1"/>
    <n v="2125.61"/>
    <n v="303.65857142857146"/>
    <n v="7"/>
    <n v="0"/>
    <x v="0"/>
    <n v="0"/>
    <n v="0"/>
    <n v="0"/>
    <n v="33"/>
    <n v="2"/>
    <n v="2"/>
    <n v="3"/>
    <n v="7"/>
  </r>
  <r>
    <n v="554"/>
    <n v="27"/>
    <x v="1"/>
    <x v="0"/>
    <s v="Divorced"/>
    <x v="2"/>
    <x v="0"/>
    <n v="46"/>
    <x v="0"/>
    <n v="1822.54"/>
    <n v="303.75666666666666"/>
    <n v="6"/>
    <n v="1"/>
    <x v="0"/>
    <n v="0"/>
    <n v="0"/>
    <n v="1"/>
    <n v="6"/>
    <n v="3"/>
    <n v="2"/>
    <n v="3"/>
    <n v="8"/>
  </r>
  <r>
    <n v="555"/>
    <n v="37"/>
    <x v="3"/>
    <x v="1"/>
    <s v="Single"/>
    <x v="2"/>
    <x v="0"/>
    <n v="3"/>
    <x v="1"/>
    <n v="393.99"/>
    <n v="196.995"/>
    <n v="2"/>
    <n v="0"/>
    <x v="0"/>
    <n v="0"/>
    <n v="0"/>
    <n v="0"/>
    <n v="78"/>
    <n v="2"/>
    <n v="1"/>
    <n v="1"/>
    <n v="4"/>
  </r>
  <r>
    <n v="556"/>
    <n v="25"/>
    <x v="1"/>
    <x v="0"/>
    <s v="Married"/>
    <x v="0"/>
    <x v="0"/>
    <n v="42"/>
    <x v="2"/>
    <n v="2132.54"/>
    <n v="304.64857142857142"/>
    <n v="7"/>
    <n v="1"/>
    <x v="0"/>
    <n v="0"/>
    <n v="0"/>
    <n v="1"/>
    <n v="2"/>
    <n v="3"/>
    <n v="2"/>
    <n v="3"/>
    <n v="8"/>
  </r>
  <r>
    <n v="557"/>
    <n v="39"/>
    <x v="3"/>
    <x v="1"/>
    <s v="Single"/>
    <x v="0"/>
    <x v="0"/>
    <n v="27"/>
    <x v="2"/>
    <n v="1179.98"/>
    <n v="393.32666666666665"/>
    <n v="3"/>
    <n v="2"/>
    <x v="1"/>
    <n v="0"/>
    <n v="0"/>
    <n v="1"/>
    <n v="17"/>
    <n v="3"/>
    <n v="2"/>
    <n v="2"/>
    <n v="7"/>
  </r>
  <r>
    <n v="558"/>
    <n v="55"/>
    <x v="2"/>
    <x v="0"/>
    <s v="Widowed"/>
    <x v="2"/>
    <x v="0"/>
    <n v="12"/>
    <x v="2"/>
    <n v="1722.97"/>
    <n v="287.16166666666669"/>
    <n v="6"/>
    <n v="0"/>
    <x v="0"/>
    <n v="0"/>
    <n v="0"/>
    <n v="0"/>
    <n v="39"/>
    <n v="2"/>
    <n v="2"/>
    <n v="3"/>
    <n v="7"/>
  </r>
  <r>
    <n v="559"/>
    <n v="46"/>
    <x v="2"/>
    <x v="1"/>
    <s v="Married"/>
    <x v="1"/>
    <x v="0"/>
    <n v="43"/>
    <x v="1"/>
    <n v="2151.66"/>
    <n v="307.38"/>
    <n v="7"/>
    <n v="1"/>
    <x v="1"/>
    <n v="1"/>
    <n v="0"/>
    <n v="0"/>
    <n v="75"/>
    <n v="2"/>
    <n v="2"/>
    <n v="3"/>
    <n v="7"/>
  </r>
  <r>
    <n v="560"/>
    <n v="26"/>
    <x v="1"/>
    <x v="0"/>
    <s v="Married"/>
    <x v="1"/>
    <x v="1"/>
    <n v="2"/>
    <x v="0"/>
    <n v="203.34"/>
    <n v="101.67"/>
    <n v="2"/>
    <n v="0"/>
    <x v="0"/>
    <n v="0"/>
    <n v="0"/>
    <n v="0"/>
    <n v="21"/>
    <n v="3"/>
    <n v="1"/>
    <n v="1"/>
    <n v="5"/>
  </r>
  <r>
    <n v="561"/>
    <n v="61"/>
    <x v="0"/>
    <x v="0"/>
    <s v="Married"/>
    <x v="0"/>
    <x v="0"/>
    <n v="38"/>
    <x v="2"/>
    <n v="1369.4"/>
    <n v="228.23333333333335"/>
    <n v="6"/>
    <n v="1"/>
    <x v="0"/>
    <n v="0"/>
    <n v="0"/>
    <n v="1"/>
    <n v="6"/>
    <n v="3"/>
    <n v="2"/>
    <n v="2"/>
    <n v="7"/>
  </r>
  <r>
    <n v="562"/>
    <n v="64"/>
    <x v="0"/>
    <x v="0"/>
    <s v="Married"/>
    <x v="0"/>
    <x v="1"/>
    <n v="26"/>
    <x v="2"/>
    <n v="2160.9499999999998"/>
    <n v="240.10555555555553"/>
    <n v="9"/>
    <n v="0"/>
    <x v="0"/>
    <n v="0"/>
    <n v="0"/>
    <n v="0"/>
    <n v="41"/>
    <n v="2"/>
    <n v="3"/>
    <n v="3"/>
    <n v="8"/>
  </r>
  <r>
    <n v="563"/>
    <n v="18"/>
    <x v="1"/>
    <x v="0"/>
    <s v="Widowed"/>
    <x v="1"/>
    <x v="0"/>
    <n v="29"/>
    <x v="0"/>
    <n v="1090.1299999999999"/>
    <n v="218.02599999999998"/>
    <n v="5"/>
    <n v="0"/>
    <x v="0"/>
    <n v="0"/>
    <n v="0"/>
    <n v="0"/>
    <n v="11"/>
    <n v="3"/>
    <n v="2"/>
    <n v="2"/>
    <n v="7"/>
  </r>
  <r>
    <n v="564"/>
    <n v="58"/>
    <x v="2"/>
    <x v="0"/>
    <s v="Single"/>
    <x v="0"/>
    <x v="0"/>
    <n v="45"/>
    <x v="2"/>
    <n v="1859.23"/>
    <n v="265.60428571428571"/>
    <n v="7"/>
    <n v="0"/>
    <x v="0"/>
    <n v="0"/>
    <n v="0"/>
    <n v="0"/>
    <n v="25"/>
    <n v="3"/>
    <n v="2"/>
    <n v="3"/>
    <n v="8"/>
  </r>
  <r>
    <n v="565"/>
    <n v="69"/>
    <x v="0"/>
    <x v="0"/>
    <s v="Single"/>
    <x v="0"/>
    <x v="1"/>
    <n v="30"/>
    <x v="1"/>
    <n v="2436.25"/>
    <n v="406.04166666666669"/>
    <n v="6"/>
    <n v="2"/>
    <x v="1"/>
    <n v="0"/>
    <n v="1"/>
    <n v="0"/>
    <n v="27"/>
    <n v="3"/>
    <n v="2"/>
    <n v="3"/>
    <n v="8"/>
  </r>
  <r>
    <n v="566"/>
    <n v="56"/>
    <x v="2"/>
    <x v="0"/>
    <s v="Divorced"/>
    <x v="2"/>
    <x v="0"/>
    <n v="38"/>
    <x v="2"/>
    <n v="1867.2100000000003"/>
    <n v="266.74428571428575"/>
    <n v="7"/>
    <n v="0"/>
    <x v="0"/>
    <n v="0"/>
    <n v="0"/>
    <n v="0"/>
    <n v="29"/>
    <n v="2"/>
    <n v="2"/>
    <n v="3"/>
    <n v="7"/>
  </r>
  <r>
    <n v="567"/>
    <n v="43"/>
    <x v="3"/>
    <x v="0"/>
    <s v="Married"/>
    <x v="1"/>
    <x v="0"/>
    <n v="41"/>
    <x v="2"/>
    <n v="472.36"/>
    <n v="472.36"/>
    <n v="1"/>
    <n v="0"/>
    <x v="0"/>
    <n v="0"/>
    <n v="0"/>
    <n v="0"/>
    <n v="355"/>
    <n v="1"/>
    <n v="1"/>
    <n v="1"/>
    <n v="3"/>
  </r>
  <r>
    <n v="568"/>
    <n v="28"/>
    <x v="1"/>
    <x v="0"/>
    <s v="Divorced"/>
    <x v="2"/>
    <x v="0"/>
    <n v="32"/>
    <x v="2"/>
    <n v="1051.21"/>
    <n v="350.40333333333336"/>
    <n v="3"/>
    <n v="1"/>
    <x v="0"/>
    <n v="0"/>
    <n v="0"/>
    <n v="1"/>
    <n v="78"/>
    <n v="2"/>
    <n v="2"/>
    <n v="2"/>
    <n v="6"/>
  </r>
  <r>
    <n v="569"/>
    <n v="69"/>
    <x v="0"/>
    <x v="1"/>
    <s v="Widowed"/>
    <x v="0"/>
    <x v="0"/>
    <n v="38"/>
    <x v="2"/>
    <n v="1550.85"/>
    <n v="258.47499999999997"/>
    <n v="6"/>
    <n v="1"/>
    <x v="0"/>
    <n v="1"/>
    <n v="0"/>
    <n v="0"/>
    <n v="24"/>
    <n v="3"/>
    <n v="2"/>
    <n v="2"/>
    <n v="7"/>
  </r>
  <r>
    <n v="570"/>
    <n v="52"/>
    <x v="2"/>
    <x v="1"/>
    <s v="Single"/>
    <x v="0"/>
    <x v="0"/>
    <n v="21"/>
    <x v="0"/>
    <n v="2358.0400000000004"/>
    <n v="336.86285714285719"/>
    <n v="7"/>
    <n v="2"/>
    <x v="1"/>
    <n v="1"/>
    <n v="0"/>
    <n v="1"/>
    <n v="106"/>
    <n v="1"/>
    <n v="2"/>
    <n v="3"/>
    <n v="6"/>
  </r>
  <r>
    <n v="571"/>
    <n v="41"/>
    <x v="3"/>
    <x v="1"/>
    <s v="Single"/>
    <x v="0"/>
    <x v="0"/>
    <n v="8"/>
    <x v="1"/>
    <n v="962.48"/>
    <n v="320.82666666666665"/>
    <n v="3"/>
    <n v="1"/>
    <x v="1"/>
    <n v="0"/>
    <n v="0"/>
    <n v="1"/>
    <n v="65"/>
    <n v="2"/>
    <n v="2"/>
    <n v="2"/>
    <n v="6"/>
  </r>
  <r>
    <n v="572"/>
    <n v="50"/>
    <x v="2"/>
    <x v="1"/>
    <s v="Married"/>
    <x v="0"/>
    <x v="0"/>
    <n v="6"/>
    <x v="1"/>
    <n v="538.05999999999995"/>
    <n v="269.02999999999997"/>
    <n v="2"/>
    <n v="0"/>
    <x v="0"/>
    <n v="0"/>
    <n v="0"/>
    <n v="0"/>
    <n v="2"/>
    <n v="3"/>
    <n v="1"/>
    <n v="1"/>
    <n v="5"/>
  </r>
  <r>
    <n v="573"/>
    <n v="37"/>
    <x v="3"/>
    <x v="1"/>
    <s v="Single"/>
    <x v="1"/>
    <x v="0"/>
    <n v="4"/>
    <x v="1"/>
    <n v="1331.4"/>
    <n v="266.28000000000003"/>
    <n v="5"/>
    <n v="0"/>
    <x v="0"/>
    <n v="0"/>
    <n v="0"/>
    <n v="0"/>
    <n v="57"/>
    <n v="2"/>
    <n v="2"/>
    <n v="2"/>
    <n v="6"/>
  </r>
  <r>
    <n v="574"/>
    <n v="44"/>
    <x v="3"/>
    <x v="0"/>
    <s v="Widowed"/>
    <x v="1"/>
    <x v="1"/>
    <n v="17"/>
    <x v="0"/>
    <n v="2437.4"/>
    <n v="270.82222222222225"/>
    <n v="9"/>
    <n v="1"/>
    <x v="0"/>
    <n v="0"/>
    <n v="0"/>
    <n v="1"/>
    <n v="0"/>
    <n v="3"/>
    <n v="3"/>
    <n v="3"/>
    <n v="9"/>
  </r>
  <r>
    <n v="575"/>
    <n v="32"/>
    <x v="3"/>
    <x v="1"/>
    <s v="Widowed"/>
    <x v="1"/>
    <x v="0"/>
    <n v="21"/>
    <x v="0"/>
    <n v="1550.2599999999998"/>
    <n v="172.25111111111107"/>
    <n v="9"/>
    <n v="2"/>
    <x v="1"/>
    <n v="1"/>
    <n v="1"/>
    <n v="0"/>
    <n v="59"/>
    <n v="2"/>
    <n v="3"/>
    <n v="2"/>
    <n v="7"/>
  </r>
  <r>
    <n v="576"/>
    <n v="50"/>
    <x v="2"/>
    <x v="1"/>
    <s v="Married"/>
    <x v="1"/>
    <x v="1"/>
    <n v="4"/>
    <x v="1"/>
    <n v="755.93000000000006"/>
    <n v="188.98250000000002"/>
    <n v="4"/>
    <n v="2"/>
    <x v="1"/>
    <n v="0"/>
    <n v="0"/>
    <n v="1"/>
    <n v="122"/>
    <n v="1"/>
    <n v="2"/>
    <n v="1"/>
    <n v="4"/>
  </r>
  <r>
    <n v="577"/>
    <n v="69"/>
    <x v="0"/>
    <x v="0"/>
    <s v="Divorced"/>
    <x v="2"/>
    <x v="1"/>
    <n v="35"/>
    <x v="1"/>
    <n v="2373.23"/>
    <n v="296.65375"/>
    <n v="8"/>
    <n v="1"/>
    <x v="1"/>
    <n v="0"/>
    <n v="0"/>
    <n v="1"/>
    <n v="86"/>
    <n v="1"/>
    <n v="3"/>
    <n v="3"/>
    <n v="7"/>
  </r>
  <r>
    <n v="578"/>
    <n v="24"/>
    <x v="1"/>
    <x v="1"/>
    <s v="Married"/>
    <x v="2"/>
    <x v="0"/>
    <n v="30"/>
    <x v="0"/>
    <n v="715.6"/>
    <n v="238.53333333333333"/>
    <n v="3"/>
    <n v="1"/>
    <x v="0"/>
    <n v="1"/>
    <n v="0"/>
    <n v="0"/>
    <n v="75"/>
    <n v="2"/>
    <n v="2"/>
    <n v="1"/>
    <n v="5"/>
  </r>
  <r>
    <n v="579"/>
    <n v="51"/>
    <x v="2"/>
    <x v="1"/>
    <s v="Widowed"/>
    <x v="2"/>
    <x v="1"/>
    <n v="27"/>
    <x v="2"/>
    <n v="402.41"/>
    <n v="201.20500000000001"/>
    <n v="2"/>
    <n v="0"/>
    <x v="0"/>
    <n v="0"/>
    <n v="0"/>
    <n v="0"/>
    <n v="163"/>
    <n v="1"/>
    <n v="1"/>
    <n v="1"/>
    <n v="3"/>
  </r>
  <r>
    <n v="580"/>
    <n v="62"/>
    <x v="0"/>
    <x v="0"/>
    <s v="Single"/>
    <x v="0"/>
    <x v="0"/>
    <n v="12"/>
    <x v="1"/>
    <n v="232.75"/>
    <n v="116.375"/>
    <n v="2"/>
    <n v="2"/>
    <x v="1"/>
    <n v="1"/>
    <n v="0"/>
    <n v="1"/>
    <n v="20"/>
    <n v="3"/>
    <n v="1"/>
    <n v="1"/>
    <n v="5"/>
  </r>
  <r>
    <n v="581"/>
    <n v="68"/>
    <x v="0"/>
    <x v="1"/>
    <s v="Single"/>
    <x v="1"/>
    <x v="0"/>
    <n v="48"/>
    <x v="0"/>
    <n v="407.65999999999997"/>
    <n v="203.82999999999998"/>
    <n v="2"/>
    <n v="1"/>
    <x v="1"/>
    <n v="1"/>
    <n v="0"/>
    <n v="0"/>
    <n v="180"/>
    <n v="1"/>
    <n v="1"/>
    <n v="1"/>
    <n v="3"/>
  </r>
  <r>
    <n v="582"/>
    <n v="63"/>
    <x v="0"/>
    <x v="1"/>
    <s v="Single"/>
    <x v="1"/>
    <x v="0"/>
    <n v="20"/>
    <x v="2"/>
    <n v="1876.3600000000001"/>
    <n v="268.05142857142857"/>
    <n v="7"/>
    <n v="0"/>
    <x v="0"/>
    <n v="0"/>
    <n v="0"/>
    <n v="0"/>
    <n v="78"/>
    <n v="2"/>
    <n v="2"/>
    <n v="3"/>
    <n v="7"/>
  </r>
  <r>
    <n v="583"/>
    <n v="59"/>
    <x v="2"/>
    <x v="0"/>
    <s v="Widowed"/>
    <x v="1"/>
    <x v="0"/>
    <n v="40"/>
    <x v="2"/>
    <n v="783.96"/>
    <n v="195.99"/>
    <n v="4"/>
    <n v="0"/>
    <x v="0"/>
    <n v="0"/>
    <n v="0"/>
    <n v="0"/>
    <n v="114"/>
    <n v="1"/>
    <n v="2"/>
    <n v="1"/>
    <n v="4"/>
  </r>
  <r>
    <n v="584"/>
    <n v="22"/>
    <x v="1"/>
    <x v="0"/>
    <s v="Divorced"/>
    <x v="2"/>
    <x v="0"/>
    <n v="44"/>
    <x v="2"/>
    <n v="1677.0800000000002"/>
    <n v="239.58285714285716"/>
    <n v="7"/>
    <n v="2"/>
    <x v="1"/>
    <n v="1"/>
    <n v="0"/>
    <n v="1"/>
    <n v="135"/>
    <n v="1"/>
    <n v="2"/>
    <n v="3"/>
    <n v="6"/>
  </r>
  <r>
    <n v="585"/>
    <n v="47"/>
    <x v="2"/>
    <x v="0"/>
    <s v="Married"/>
    <x v="0"/>
    <x v="0"/>
    <n v="41"/>
    <x v="2"/>
    <n v="1709.36"/>
    <n v="284.89333333333332"/>
    <n v="6"/>
    <n v="2"/>
    <x v="0"/>
    <n v="0"/>
    <n v="1"/>
    <n v="1"/>
    <n v="69"/>
    <n v="2"/>
    <n v="2"/>
    <n v="3"/>
    <n v="7"/>
  </r>
  <r>
    <n v="586"/>
    <n v="45"/>
    <x v="3"/>
    <x v="0"/>
    <s v="Divorced"/>
    <x v="0"/>
    <x v="1"/>
    <n v="33"/>
    <x v="2"/>
    <n v="1667.53"/>
    <n v="333.50599999999997"/>
    <n v="5"/>
    <n v="1"/>
    <x v="1"/>
    <n v="0"/>
    <n v="0"/>
    <n v="1"/>
    <n v="224"/>
    <n v="1"/>
    <n v="2"/>
    <n v="3"/>
    <n v="6"/>
  </r>
  <r>
    <n v="587"/>
    <n v="35"/>
    <x v="3"/>
    <x v="1"/>
    <s v="Single"/>
    <x v="0"/>
    <x v="0"/>
    <n v="10"/>
    <x v="1"/>
    <n v="623.49"/>
    <n v="207.83"/>
    <n v="3"/>
    <n v="1"/>
    <x v="0"/>
    <n v="0"/>
    <n v="1"/>
    <n v="0"/>
    <n v="43"/>
    <n v="2"/>
    <n v="2"/>
    <n v="1"/>
    <n v="5"/>
  </r>
  <r>
    <n v="588"/>
    <n v="53"/>
    <x v="2"/>
    <x v="1"/>
    <s v="Married"/>
    <x v="2"/>
    <x v="1"/>
    <n v="5"/>
    <x v="0"/>
    <n v="1726.51"/>
    <n v="215.81375"/>
    <n v="8"/>
    <n v="2"/>
    <x v="1"/>
    <n v="1"/>
    <n v="1"/>
    <n v="0"/>
    <n v="17"/>
    <n v="3"/>
    <n v="3"/>
    <n v="3"/>
    <n v="9"/>
  </r>
  <r>
    <n v="589"/>
    <n v="20"/>
    <x v="1"/>
    <x v="1"/>
    <s v="Widowed"/>
    <x v="1"/>
    <x v="1"/>
    <n v="11"/>
    <x v="0"/>
    <n v="2356.94"/>
    <n v="261.88222222222225"/>
    <n v="9"/>
    <n v="2"/>
    <x v="1"/>
    <n v="1"/>
    <n v="1"/>
    <n v="0"/>
    <n v="2"/>
    <n v="3"/>
    <n v="3"/>
    <n v="3"/>
    <n v="9"/>
  </r>
  <r>
    <n v="590"/>
    <n v="38"/>
    <x v="3"/>
    <x v="0"/>
    <s v="Widowed"/>
    <x v="2"/>
    <x v="0"/>
    <n v="21"/>
    <x v="0"/>
    <n v="1383.5900000000001"/>
    <n v="153.73222222222225"/>
    <n v="9"/>
    <n v="0"/>
    <x v="0"/>
    <n v="0"/>
    <n v="0"/>
    <n v="0"/>
    <n v="30"/>
    <n v="2"/>
    <n v="3"/>
    <n v="2"/>
    <n v="7"/>
  </r>
  <r>
    <n v="591"/>
    <n v="63"/>
    <x v="0"/>
    <x v="1"/>
    <s v="Divorced"/>
    <x v="1"/>
    <x v="0"/>
    <n v="20"/>
    <x v="2"/>
    <n v="215.12"/>
    <n v="215.12"/>
    <n v="1"/>
    <n v="2"/>
    <x v="1"/>
    <n v="1"/>
    <n v="0"/>
    <n v="1"/>
    <n v="205"/>
    <n v="1"/>
    <n v="1"/>
    <n v="1"/>
    <n v="3"/>
  </r>
  <r>
    <n v="592"/>
    <n v="33"/>
    <x v="3"/>
    <x v="0"/>
    <s v="Married"/>
    <x v="0"/>
    <x v="0"/>
    <n v="44"/>
    <x v="0"/>
    <n v="2642.14"/>
    <n v="330.26749999999998"/>
    <n v="8"/>
    <n v="0"/>
    <x v="0"/>
    <n v="0"/>
    <n v="0"/>
    <n v="0"/>
    <n v="34"/>
    <n v="2"/>
    <n v="3"/>
    <n v="3"/>
    <n v="8"/>
  </r>
  <r>
    <n v="593"/>
    <n v="54"/>
    <x v="2"/>
    <x v="1"/>
    <s v="Single"/>
    <x v="1"/>
    <x v="0"/>
    <n v="9"/>
    <x v="2"/>
    <n v="2959.62"/>
    <n v="328.84666666666664"/>
    <n v="9"/>
    <n v="1"/>
    <x v="0"/>
    <n v="0"/>
    <n v="0"/>
    <n v="1"/>
    <n v="5"/>
    <n v="3"/>
    <n v="3"/>
    <n v="3"/>
    <n v="9"/>
  </r>
  <r>
    <n v="594"/>
    <n v="59"/>
    <x v="2"/>
    <x v="0"/>
    <s v="Divorced"/>
    <x v="0"/>
    <x v="0"/>
    <n v="30"/>
    <x v="0"/>
    <n v="2544.69"/>
    <n v="282.74333333333334"/>
    <n v="9"/>
    <n v="2"/>
    <x v="1"/>
    <n v="0"/>
    <n v="1"/>
    <n v="1"/>
    <n v="1"/>
    <n v="3"/>
    <n v="3"/>
    <n v="3"/>
    <n v="9"/>
  </r>
  <r>
    <n v="595"/>
    <n v="22"/>
    <x v="1"/>
    <x v="1"/>
    <s v="Widowed"/>
    <x v="0"/>
    <x v="0"/>
    <n v="48"/>
    <x v="2"/>
    <n v="2270.36"/>
    <n v="283.79500000000002"/>
    <n v="8"/>
    <n v="1"/>
    <x v="0"/>
    <n v="0"/>
    <n v="0"/>
    <n v="1"/>
    <n v="110"/>
    <n v="1"/>
    <n v="3"/>
    <n v="3"/>
    <n v="7"/>
  </r>
  <r>
    <n v="596"/>
    <n v="67"/>
    <x v="0"/>
    <x v="1"/>
    <s v="Married"/>
    <x v="0"/>
    <x v="0"/>
    <n v="4"/>
    <x v="0"/>
    <n v="1346.76"/>
    <n v="269.35199999999998"/>
    <n v="5"/>
    <n v="0"/>
    <x v="0"/>
    <n v="0"/>
    <n v="0"/>
    <n v="0"/>
    <n v="101"/>
    <n v="1"/>
    <n v="2"/>
    <n v="2"/>
    <n v="5"/>
  </r>
  <r>
    <n v="597"/>
    <n v="68"/>
    <x v="0"/>
    <x v="0"/>
    <s v="Married"/>
    <x v="1"/>
    <x v="0"/>
    <n v="9"/>
    <x v="1"/>
    <n v="1726.8999999999999"/>
    <n v="246.7"/>
    <n v="7"/>
    <n v="1"/>
    <x v="1"/>
    <n v="0"/>
    <n v="0"/>
    <n v="1"/>
    <n v="75"/>
    <n v="2"/>
    <n v="2"/>
    <n v="3"/>
    <n v="7"/>
  </r>
  <r>
    <n v="598"/>
    <n v="31"/>
    <x v="3"/>
    <x v="0"/>
    <s v="Widowed"/>
    <x v="2"/>
    <x v="0"/>
    <n v="40"/>
    <x v="2"/>
    <n v="1906.1000000000001"/>
    <n v="272.3"/>
    <n v="7"/>
    <n v="0"/>
    <x v="0"/>
    <n v="0"/>
    <n v="0"/>
    <n v="0"/>
    <n v="5"/>
    <n v="3"/>
    <n v="2"/>
    <n v="3"/>
    <n v="8"/>
  </r>
  <r>
    <n v="599"/>
    <n v="48"/>
    <x v="2"/>
    <x v="0"/>
    <s v="Single"/>
    <x v="0"/>
    <x v="0"/>
    <n v="3"/>
    <x v="1"/>
    <n v="2347.42"/>
    <n v="260.82444444444445"/>
    <n v="9"/>
    <n v="2"/>
    <x v="0"/>
    <n v="1"/>
    <n v="0"/>
    <n v="1"/>
    <n v="98"/>
    <n v="1"/>
    <n v="3"/>
    <n v="3"/>
    <n v="7"/>
  </r>
  <r>
    <n v="600"/>
    <n v="63"/>
    <x v="0"/>
    <x v="1"/>
    <s v="Single"/>
    <x v="1"/>
    <x v="0"/>
    <n v="38"/>
    <x v="2"/>
    <n v="865"/>
    <n v="216.25"/>
    <n v="4"/>
    <n v="1"/>
    <x v="1"/>
    <n v="0"/>
    <n v="1"/>
    <n v="0"/>
    <n v="44"/>
    <n v="2"/>
    <n v="2"/>
    <n v="2"/>
    <n v="6"/>
  </r>
  <r>
    <n v="601"/>
    <n v="41"/>
    <x v="3"/>
    <x v="1"/>
    <s v="Widowed"/>
    <x v="0"/>
    <x v="0"/>
    <n v="25"/>
    <x v="1"/>
    <n v="2473.7899999999995"/>
    <n v="309.22374999999994"/>
    <n v="8"/>
    <n v="2"/>
    <x v="1"/>
    <n v="1"/>
    <n v="0"/>
    <n v="1"/>
    <n v="48"/>
    <n v="2"/>
    <n v="3"/>
    <n v="3"/>
    <n v="8"/>
  </r>
  <r>
    <n v="602"/>
    <n v="52"/>
    <x v="2"/>
    <x v="0"/>
    <s v="Widowed"/>
    <x v="1"/>
    <x v="1"/>
    <n v="37"/>
    <x v="0"/>
    <n v="1158.83"/>
    <n v="128.75888888888889"/>
    <n v="9"/>
    <n v="0"/>
    <x v="0"/>
    <n v="0"/>
    <n v="0"/>
    <n v="0"/>
    <n v="70"/>
    <n v="2"/>
    <n v="3"/>
    <n v="2"/>
    <n v="7"/>
  </r>
  <r>
    <n v="603"/>
    <n v="53"/>
    <x v="2"/>
    <x v="0"/>
    <s v="Single"/>
    <x v="2"/>
    <x v="0"/>
    <n v="30"/>
    <x v="0"/>
    <n v="1476.4"/>
    <n v="295.28000000000003"/>
    <n v="5"/>
    <n v="0"/>
    <x v="0"/>
    <n v="0"/>
    <n v="0"/>
    <n v="0"/>
    <n v="19"/>
    <n v="3"/>
    <n v="2"/>
    <n v="2"/>
    <n v="7"/>
  </r>
  <r>
    <n v="604"/>
    <n v="27"/>
    <x v="1"/>
    <x v="0"/>
    <s v="Divorced"/>
    <x v="0"/>
    <x v="0"/>
    <n v="31"/>
    <x v="1"/>
    <n v="437.93"/>
    <n v="145.97666666666666"/>
    <n v="3"/>
    <n v="2"/>
    <x v="1"/>
    <n v="1"/>
    <n v="0"/>
    <n v="1"/>
    <n v="68"/>
    <n v="2"/>
    <n v="2"/>
    <n v="1"/>
    <n v="5"/>
  </r>
  <r>
    <n v="605"/>
    <n v="44"/>
    <x v="3"/>
    <x v="0"/>
    <s v="Divorced"/>
    <x v="0"/>
    <x v="1"/>
    <n v="17"/>
    <x v="0"/>
    <n v="1187.98"/>
    <n v="296.995"/>
    <n v="4"/>
    <n v="0"/>
    <x v="0"/>
    <n v="0"/>
    <n v="0"/>
    <n v="0"/>
    <n v="7"/>
    <n v="3"/>
    <n v="2"/>
    <n v="2"/>
    <n v="7"/>
  </r>
  <r>
    <n v="606"/>
    <n v="44"/>
    <x v="3"/>
    <x v="1"/>
    <s v="Married"/>
    <x v="0"/>
    <x v="0"/>
    <n v="10"/>
    <x v="1"/>
    <n v="271.99"/>
    <n v="271.99"/>
    <n v="1"/>
    <n v="0"/>
    <x v="0"/>
    <n v="0"/>
    <n v="0"/>
    <n v="0"/>
    <n v="165"/>
    <n v="1"/>
    <n v="1"/>
    <n v="1"/>
    <n v="3"/>
  </r>
  <r>
    <n v="607"/>
    <n v="40"/>
    <x v="3"/>
    <x v="0"/>
    <s v="Married"/>
    <x v="2"/>
    <x v="1"/>
    <n v="8"/>
    <x v="0"/>
    <n v="1489.5100000000002"/>
    <n v="297.90200000000004"/>
    <n v="5"/>
    <n v="1"/>
    <x v="1"/>
    <n v="1"/>
    <n v="0"/>
    <n v="0"/>
    <n v="12"/>
    <n v="3"/>
    <n v="2"/>
    <n v="2"/>
    <n v="7"/>
  </r>
  <r>
    <n v="608"/>
    <n v="30"/>
    <x v="1"/>
    <x v="0"/>
    <s v="Divorced"/>
    <x v="1"/>
    <x v="0"/>
    <n v="2"/>
    <x v="0"/>
    <n v="2463.96"/>
    <n v="273.77333333333331"/>
    <n v="9"/>
    <n v="1"/>
    <x v="1"/>
    <n v="1"/>
    <n v="0"/>
    <n v="0"/>
    <n v="2"/>
    <n v="3"/>
    <n v="3"/>
    <n v="3"/>
    <n v="9"/>
  </r>
  <r>
    <n v="609"/>
    <n v="33"/>
    <x v="3"/>
    <x v="1"/>
    <s v="Married"/>
    <x v="0"/>
    <x v="0"/>
    <n v="32"/>
    <x v="1"/>
    <n v="110.77"/>
    <n v="110.77"/>
    <n v="1"/>
    <n v="2"/>
    <x v="1"/>
    <n v="1"/>
    <n v="0"/>
    <n v="0"/>
    <n v="159"/>
    <n v="1"/>
    <n v="1"/>
    <n v="1"/>
    <n v="3"/>
  </r>
  <r>
    <n v="610"/>
    <n v="52"/>
    <x v="2"/>
    <x v="1"/>
    <s v="Divorced"/>
    <x v="0"/>
    <x v="0"/>
    <n v="11"/>
    <x v="0"/>
    <n v="1504.22"/>
    <n v="300.84399999999999"/>
    <n v="5"/>
    <n v="0"/>
    <x v="0"/>
    <n v="0"/>
    <n v="0"/>
    <n v="0"/>
    <n v="102"/>
    <n v="1"/>
    <n v="2"/>
    <n v="2"/>
    <n v="5"/>
  </r>
  <r>
    <n v="611"/>
    <n v="44"/>
    <x v="3"/>
    <x v="0"/>
    <s v="Married"/>
    <x v="2"/>
    <x v="0"/>
    <n v="10"/>
    <x v="2"/>
    <n v="624.87000000000012"/>
    <n v="208.29000000000005"/>
    <n v="3"/>
    <n v="1"/>
    <x v="1"/>
    <n v="1"/>
    <n v="0"/>
    <n v="0"/>
    <n v="69"/>
    <n v="2"/>
    <n v="2"/>
    <n v="1"/>
    <n v="5"/>
  </r>
  <r>
    <n v="612"/>
    <n v="69"/>
    <x v="0"/>
    <x v="1"/>
    <s v="Divorced"/>
    <x v="1"/>
    <x v="0"/>
    <n v="41"/>
    <x v="2"/>
    <n v="1688.2900000000002"/>
    <n v="241.18428571428575"/>
    <n v="7"/>
    <n v="2"/>
    <x v="0"/>
    <n v="1"/>
    <n v="0"/>
    <n v="1"/>
    <n v="17"/>
    <n v="3"/>
    <n v="2"/>
    <n v="3"/>
    <n v="8"/>
  </r>
  <r>
    <n v="613"/>
    <n v="56"/>
    <x v="2"/>
    <x v="0"/>
    <s v="Married"/>
    <x v="2"/>
    <x v="0"/>
    <n v="32"/>
    <x v="2"/>
    <n v="612.17999999999995"/>
    <n v="204.05999999999997"/>
    <n v="3"/>
    <n v="0"/>
    <x v="0"/>
    <n v="0"/>
    <n v="0"/>
    <n v="0"/>
    <n v="35"/>
    <n v="2"/>
    <n v="2"/>
    <n v="1"/>
    <n v="5"/>
  </r>
  <r>
    <n v="614"/>
    <n v="64"/>
    <x v="0"/>
    <x v="1"/>
    <s v="Married"/>
    <x v="2"/>
    <x v="1"/>
    <n v="24"/>
    <x v="0"/>
    <n v="1239.1599999999999"/>
    <n v="413.05333333333328"/>
    <n v="3"/>
    <n v="1"/>
    <x v="0"/>
    <n v="0"/>
    <n v="0"/>
    <n v="1"/>
    <n v="21"/>
    <n v="3"/>
    <n v="2"/>
    <n v="2"/>
    <n v="7"/>
  </r>
  <r>
    <n v="615"/>
    <n v="34"/>
    <x v="3"/>
    <x v="1"/>
    <s v="Divorced"/>
    <x v="0"/>
    <x v="0"/>
    <n v="7"/>
    <x v="2"/>
    <n v="481.67999999999995"/>
    <n v="160.55999999999997"/>
    <n v="3"/>
    <n v="2"/>
    <x v="1"/>
    <n v="0"/>
    <n v="0"/>
    <n v="1"/>
    <n v="192"/>
    <n v="1"/>
    <n v="2"/>
    <n v="1"/>
    <n v="4"/>
  </r>
  <r>
    <n v="616"/>
    <n v="65"/>
    <x v="0"/>
    <x v="0"/>
    <s v="Single"/>
    <x v="1"/>
    <x v="1"/>
    <n v="29"/>
    <x v="2"/>
    <n v="1674.35"/>
    <n v="209.29374999999999"/>
    <n v="8"/>
    <n v="1"/>
    <x v="1"/>
    <n v="0"/>
    <n v="0"/>
    <n v="1"/>
    <n v="115"/>
    <n v="1"/>
    <n v="3"/>
    <n v="3"/>
    <n v="7"/>
  </r>
  <r>
    <n v="617"/>
    <n v="58"/>
    <x v="2"/>
    <x v="1"/>
    <s v="Divorced"/>
    <x v="0"/>
    <x v="1"/>
    <n v="2"/>
    <x v="2"/>
    <n v="2146.58"/>
    <n v="306.65428571428572"/>
    <n v="7"/>
    <n v="0"/>
    <x v="0"/>
    <n v="0"/>
    <n v="0"/>
    <n v="0"/>
    <n v="23"/>
    <n v="3"/>
    <n v="2"/>
    <n v="3"/>
    <n v="8"/>
  </r>
  <r>
    <n v="618"/>
    <n v="18"/>
    <x v="1"/>
    <x v="0"/>
    <s v="Divorced"/>
    <x v="0"/>
    <x v="1"/>
    <n v="16"/>
    <x v="0"/>
    <n v="1025.54"/>
    <n v="146.50571428571428"/>
    <n v="7"/>
    <n v="2"/>
    <x v="0"/>
    <n v="0"/>
    <n v="1"/>
    <n v="1"/>
    <n v="24"/>
    <n v="3"/>
    <n v="2"/>
    <n v="2"/>
    <n v="7"/>
  </r>
  <r>
    <n v="619"/>
    <n v="28"/>
    <x v="1"/>
    <x v="0"/>
    <s v="Widowed"/>
    <x v="2"/>
    <x v="1"/>
    <n v="31"/>
    <x v="2"/>
    <n v="244.19"/>
    <n v="244.19"/>
    <n v="1"/>
    <n v="1"/>
    <x v="1"/>
    <n v="0"/>
    <n v="0"/>
    <n v="1"/>
    <n v="265"/>
    <n v="1"/>
    <n v="1"/>
    <n v="1"/>
    <n v="3"/>
  </r>
  <r>
    <n v="620"/>
    <n v="29"/>
    <x v="1"/>
    <x v="1"/>
    <s v="Single"/>
    <x v="2"/>
    <x v="0"/>
    <n v="12"/>
    <x v="2"/>
    <n v="694.35"/>
    <n v="231.45000000000002"/>
    <n v="3"/>
    <n v="1"/>
    <x v="1"/>
    <n v="1"/>
    <n v="0"/>
    <n v="0"/>
    <n v="14"/>
    <n v="3"/>
    <n v="2"/>
    <n v="1"/>
    <n v="6"/>
  </r>
  <r>
    <n v="621"/>
    <n v="31"/>
    <x v="3"/>
    <x v="1"/>
    <s v="Married"/>
    <x v="0"/>
    <x v="0"/>
    <n v="32"/>
    <x v="2"/>
    <n v="204.8"/>
    <n v="102.4"/>
    <n v="2"/>
    <n v="1"/>
    <x v="0"/>
    <n v="0"/>
    <n v="0"/>
    <n v="1"/>
    <n v="316"/>
    <n v="1"/>
    <n v="1"/>
    <n v="1"/>
    <n v="3"/>
  </r>
  <r>
    <n v="622"/>
    <n v="25"/>
    <x v="1"/>
    <x v="0"/>
    <s v="Single"/>
    <x v="2"/>
    <x v="0"/>
    <n v="47"/>
    <x v="2"/>
    <n v="754.54"/>
    <n v="150.90799999999999"/>
    <n v="5"/>
    <n v="1"/>
    <x v="1"/>
    <n v="0"/>
    <n v="1"/>
    <n v="0"/>
    <n v="25"/>
    <n v="3"/>
    <n v="2"/>
    <n v="1"/>
    <n v="6"/>
  </r>
  <r>
    <n v="623"/>
    <n v="48"/>
    <x v="2"/>
    <x v="1"/>
    <s v="Single"/>
    <x v="2"/>
    <x v="0"/>
    <n v="41"/>
    <x v="2"/>
    <n v="1074.25"/>
    <n v="153.46428571428572"/>
    <n v="7"/>
    <n v="2"/>
    <x v="1"/>
    <n v="0"/>
    <n v="1"/>
    <n v="0"/>
    <n v="41"/>
    <n v="2"/>
    <n v="2"/>
    <n v="2"/>
    <n v="6"/>
  </r>
  <r>
    <n v="624"/>
    <n v="24"/>
    <x v="1"/>
    <x v="1"/>
    <s v="Single"/>
    <x v="1"/>
    <x v="0"/>
    <n v="18"/>
    <x v="1"/>
    <n v="934.44"/>
    <n v="233.61"/>
    <n v="4"/>
    <n v="0"/>
    <x v="0"/>
    <n v="0"/>
    <n v="0"/>
    <n v="0"/>
    <n v="130"/>
    <n v="1"/>
    <n v="2"/>
    <n v="2"/>
    <n v="5"/>
  </r>
  <r>
    <n v="625"/>
    <n v="63"/>
    <x v="0"/>
    <x v="1"/>
    <s v="Widowed"/>
    <x v="0"/>
    <x v="1"/>
    <n v="3"/>
    <x v="0"/>
    <n v="2452.39"/>
    <n v="272.48777777777775"/>
    <n v="9"/>
    <n v="0"/>
    <x v="0"/>
    <n v="0"/>
    <n v="0"/>
    <n v="0"/>
    <n v="9"/>
    <n v="3"/>
    <n v="3"/>
    <n v="3"/>
    <n v="9"/>
  </r>
  <r>
    <n v="626"/>
    <n v="48"/>
    <x v="2"/>
    <x v="0"/>
    <s v="Widowed"/>
    <x v="0"/>
    <x v="0"/>
    <n v="16"/>
    <x v="1"/>
    <n v="2416.8999999999996"/>
    <n v="302.11249999999995"/>
    <n v="8"/>
    <n v="0"/>
    <x v="0"/>
    <n v="0"/>
    <n v="0"/>
    <n v="0"/>
    <n v="28"/>
    <n v="3"/>
    <n v="3"/>
    <n v="3"/>
    <n v="9"/>
  </r>
  <r>
    <n v="627"/>
    <n v="33"/>
    <x v="3"/>
    <x v="1"/>
    <s v="Married"/>
    <x v="1"/>
    <x v="1"/>
    <n v="49"/>
    <x v="1"/>
    <n v="1929.48"/>
    <n v="321.58"/>
    <n v="6"/>
    <n v="1"/>
    <x v="0"/>
    <n v="0"/>
    <n v="0"/>
    <n v="1"/>
    <n v="117"/>
    <n v="1"/>
    <n v="2"/>
    <n v="3"/>
    <n v="6"/>
  </r>
  <r>
    <n v="628"/>
    <n v="59"/>
    <x v="2"/>
    <x v="1"/>
    <s v="Divorced"/>
    <x v="2"/>
    <x v="0"/>
    <n v="42"/>
    <x v="1"/>
    <n v="67.650000000000006"/>
    <n v="67.650000000000006"/>
    <n v="1"/>
    <n v="1"/>
    <x v="0"/>
    <n v="0"/>
    <n v="1"/>
    <n v="0"/>
    <n v="242"/>
    <n v="1"/>
    <n v="1"/>
    <n v="1"/>
    <n v="3"/>
  </r>
  <r>
    <n v="629"/>
    <n v="56"/>
    <x v="2"/>
    <x v="0"/>
    <s v="Single"/>
    <x v="1"/>
    <x v="0"/>
    <n v="18"/>
    <x v="2"/>
    <n v="657.36999999999989"/>
    <n v="219.12333333333331"/>
    <n v="3"/>
    <n v="2"/>
    <x v="1"/>
    <n v="0"/>
    <n v="0"/>
    <n v="1"/>
    <n v="75"/>
    <n v="2"/>
    <n v="2"/>
    <n v="1"/>
    <n v="5"/>
  </r>
  <r>
    <n v="630"/>
    <n v="61"/>
    <x v="0"/>
    <x v="1"/>
    <s v="Married"/>
    <x v="1"/>
    <x v="1"/>
    <n v="44"/>
    <x v="1"/>
    <n v="942.44"/>
    <n v="471.22"/>
    <n v="2"/>
    <n v="1"/>
    <x v="1"/>
    <n v="0"/>
    <n v="1"/>
    <n v="0"/>
    <n v="96"/>
    <n v="1"/>
    <n v="1"/>
    <n v="2"/>
    <n v="4"/>
  </r>
  <r>
    <n v="631"/>
    <n v="36"/>
    <x v="3"/>
    <x v="0"/>
    <s v="Married"/>
    <x v="1"/>
    <x v="0"/>
    <n v="15"/>
    <x v="1"/>
    <n v="238.83"/>
    <n v="238.83"/>
    <n v="1"/>
    <n v="2"/>
    <x v="1"/>
    <n v="1"/>
    <n v="1"/>
    <n v="0"/>
    <n v="233"/>
    <n v="1"/>
    <n v="1"/>
    <n v="1"/>
    <n v="3"/>
  </r>
  <r>
    <n v="632"/>
    <n v="25"/>
    <x v="1"/>
    <x v="0"/>
    <s v="Widowed"/>
    <x v="2"/>
    <x v="0"/>
    <n v="41"/>
    <x v="2"/>
    <n v="1060.8599999999999"/>
    <n v="176.80999999999997"/>
    <n v="6"/>
    <n v="1"/>
    <x v="1"/>
    <n v="0"/>
    <n v="1"/>
    <n v="0"/>
    <n v="53"/>
    <n v="2"/>
    <n v="2"/>
    <n v="2"/>
    <n v="6"/>
  </r>
  <r>
    <n v="633"/>
    <n v="46"/>
    <x v="2"/>
    <x v="0"/>
    <s v="Divorced"/>
    <x v="1"/>
    <x v="0"/>
    <n v="37"/>
    <x v="2"/>
    <n v="1985.7200000000003"/>
    <n v="248.21500000000003"/>
    <n v="8"/>
    <n v="2"/>
    <x v="1"/>
    <n v="0"/>
    <n v="0"/>
    <n v="1"/>
    <n v="2"/>
    <n v="3"/>
    <n v="3"/>
    <n v="3"/>
    <n v="9"/>
  </r>
  <r>
    <n v="634"/>
    <n v="19"/>
    <x v="1"/>
    <x v="0"/>
    <s v="Divorced"/>
    <x v="0"/>
    <x v="0"/>
    <n v="23"/>
    <x v="0"/>
    <n v="1053.54"/>
    <n v="263.38499999999999"/>
    <n v="4"/>
    <n v="2"/>
    <x v="1"/>
    <n v="1"/>
    <n v="1"/>
    <n v="0"/>
    <n v="93"/>
    <n v="1"/>
    <n v="2"/>
    <n v="2"/>
    <n v="5"/>
  </r>
  <r>
    <n v="635"/>
    <n v="59"/>
    <x v="2"/>
    <x v="1"/>
    <s v="Widowed"/>
    <x v="2"/>
    <x v="0"/>
    <n v="26"/>
    <x v="2"/>
    <n v="1574.74"/>
    <n v="314.94799999999998"/>
    <n v="5"/>
    <n v="1"/>
    <x v="1"/>
    <n v="0"/>
    <n v="0"/>
    <n v="1"/>
    <n v="214"/>
    <n v="1"/>
    <n v="2"/>
    <n v="2"/>
    <n v="5"/>
  </r>
  <r>
    <n v="636"/>
    <n v="20"/>
    <x v="1"/>
    <x v="0"/>
    <s v="Single"/>
    <x v="1"/>
    <x v="0"/>
    <n v="7"/>
    <x v="2"/>
    <n v="1041.7199999999998"/>
    <n v="208.34399999999997"/>
    <n v="5"/>
    <n v="2"/>
    <x v="1"/>
    <n v="0"/>
    <n v="1"/>
    <n v="0"/>
    <n v="41"/>
    <n v="2"/>
    <n v="2"/>
    <n v="2"/>
    <n v="6"/>
  </r>
  <r>
    <n v="637"/>
    <n v="68"/>
    <x v="0"/>
    <x v="0"/>
    <s v="Widowed"/>
    <x v="1"/>
    <x v="0"/>
    <n v="48"/>
    <x v="2"/>
    <n v="1629.9600000000003"/>
    <n v="203.74500000000003"/>
    <n v="8"/>
    <n v="1"/>
    <x v="0"/>
    <n v="0"/>
    <n v="0"/>
    <n v="1"/>
    <n v="73"/>
    <n v="2"/>
    <n v="3"/>
    <n v="3"/>
    <n v="8"/>
  </r>
  <r>
    <n v="638"/>
    <n v="46"/>
    <x v="2"/>
    <x v="0"/>
    <s v="Married"/>
    <x v="1"/>
    <x v="0"/>
    <n v="21"/>
    <x v="1"/>
    <n v="194.63"/>
    <n v="97.314999999999998"/>
    <n v="2"/>
    <n v="0"/>
    <x v="0"/>
    <n v="0"/>
    <n v="0"/>
    <n v="0"/>
    <n v="89"/>
    <n v="1"/>
    <n v="1"/>
    <n v="1"/>
    <n v="3"/>
  </r>
  <r>
    <n v="639"/>
    <n v="32"/>
    <x v="3"/>
    <x v="1"/>
    <s v="Widowed"/>
    <x v="1"/>
    <x v="0"/>
    <n v="29"/>
    <x v="1"/>
    <n v="1874.2199999999998"/>
    <n v="234.27749999999997"/>
    <n v="8"/>
    <n v="1"/>
    <x v="1"/>
    <n v="0"/>
    <n v="1"/>
    <n v="0"/>
    <n v="2"/>
    <n v="3"/>
    <n v="3"/>
    <n v="3"/>
    <n v="9"/>
  </r>
  <r>
    <n v="640"/>
    <n v="55"/>
    <x v="2"/>
    <x v="0"/>
    <s v="Divorced"/>
    <x v="1"/>
    <x v="0"/>
    <n v="45"/>
    <x v="1"/>
    <n v="2408.65"/>
    <n v="301.08125000000001"/>
    <n v="8"/>
    <n v="2"/>
    <x v="1"/>
    <n v="1"/>
    <n v="0"/>
    <n v="1"/>
    <n v="12"/>
    <n v="3"/>
    <n v="3"/>
    <n v="3"/>
    <n v="9"/>
  </r>
  <r>
    <n v="641"/>
    <n v="45"/>
    <x v="3"/>
    <x v="0"/>
    <s v="Single"/>
    <x v="1"/>
    <x v="1"/>
    <n v="7"/>
    <x v="2"/>
    <n v="1717.5700000000002"/>
    <n v="190.84111111111113"/>
    <n v="9"/>
    <n v="2"/>
    <x v="1"/>
    <n v="1"/>
    <n v="1"/>
    <n v="0"/>
    <n v="34"/>
    <n v="2"/>
    <n v="3"/>
    <n v="3"/>
    <n v="8"/>
  </r>
  <r>
    <n v="642"/>
    <n v="54"/>
    <x v="2"/>
    <x v="0"/>
    <s v="Married"/>
    <x v="0"/>
    <x v="0"/>
    <n v="6"/>
    <x v="2"/>
    <n v="1587.3799999999999"/>
    <n v="264.56333333333333"/>
    <n v="6"/>
    <n v="1"/>
    <x v="1"/>
    <n v="1"/>
    <n v="0"/>
    <n v="0"/>
    <n v="174"/>
    <n v="1"/>
    <n v="2"/>
    <n v="3"/>
    <n v="6"/>
  </r>
  <r>
    <n v="643"/>
    <n v="49"/>
    <x v="2"/>
    <x v="0"/>
    <s v="Married"/>
    <x v="2"/>
    <x v="1"/>
    <n v="27"/>
    <x v="2"/>
    <n v="1060.42"/>
    <n v="151.48857142857145"/>
    <n v="7"/>
    <n v="0"/>
    <x v="0"/>
    <n v="0"/>
    <n v="0"/>
    <n v="0"/>
    <n v="3"/>
    <n v="3"/>
    <n v="2"/>
    <n v="2"/>
    <n v="7"/>
  </r>
  <r>
    <n v="644"/>
    <n v="47"/>
    <x v="2"/>
    <x v="0"/>
    <s v="Divorced"/>
    <x v="0"/>
    <x v="1"/>
    <n v="43"/>
    <x v="0"/>
    <n v="266.05"/>
    <n v="133.02500000000001"/>
    <n v="2"/>
    <n v="1"/>
    <x v="0"/>
    <n v="0"/>
    <n v="0"/>
    <n v="1"/>
    <n v="56"/>
    <n v="2"/>
    <n v="1"/>
    <n v="1"/>
    <n v="4"/>
  </r>
  <r>
    <n v="645"/>
    <n v="68"/>
    <x v="0"/>
    <x v="0"/>
    <s v="Widowed"/>
    <x v="1"/>
    <x v="0"/>
    <n v="46"/>
    <x v="1"/>
    <n v="328.56"/>
    <n v="328.56"/>
    <n v="1"/>
    <n v="2"/>
    <x v="1"/>
    <n v="0"/>
    <n v="0"/>
    <n v="1"/>
    <n v="152"/>
    <n v="1"/>
    <n v="1"/>
    <n v="1"/>
    <n v="3"/>
  </r>
  <r>
    <n v="646"/>
    <n v="64"/>
    <x v="0"/>
    <x v="0"/>
    <s v="Married"/>
    <x v="1"/>
    <x v="1"/>
    <n v="17"/>
    <x v="1"/>
    <n v="163.69"/>
    <n v="163.69"/>
    <n v="1"/>
    <n v="0"/>
    <x v="0"/>
    <n v="0"/>
    <n v="0"/>
    <n v="0"/>
    <n v="238"/>
    <n v="1"/>
    <n v="1"/>
    <n v="1"/>
    <n v="3"/>
  </r>
  <r>
    <n v="647"/>
    <n v="47"/>
    <x v="2"/>
    <x v="0"/>
    <s v="Widowed"/>
    <x v="1"/>
    <x v="0"/>
    <n v="24"/>
    <x v="0"/>
    <n v="12.46"/>
    <n v="12.46"/>
    <n v="1"/>
    <n v="2"/>
    <x v="1"/>
    <n v="1"/>
    <n v="0"/>
    <n v="1"/>
    <n v="353"/>
    <n v="1"/>
    <n v="1"/>
    <n v="1"/>
    <n v="3"/>
  </r>
  <r>
    <n v="648"/>
    <n v="68"/>
    <x v="0"/>
    <x v="0"/>
    <s v="Married"/>
    <x v="0"/>
    <x v="0"/>
    <n v="28"/>
    <x v="1"/>
    <n v="1028.17"/>
    <n v="342.72333333333336"/>
    <n v="3"/>
    <n v="1"/>
    <x v="0"/>
    <n v="0"/>
    <n v="0"/>
    <n v="1"/>
    <n v="180"/>
    <n v="1"/>
    <n v="2"/>
    <n v="2"/>
    <n v="5"/>
  </r>
  <r>
    <n v="649"/>
    <n v="51"/>
    <x v="2"/>
    <x v="0"/>
    <s v="Divorced"/>
    <x v="1"/>
    <x v="0"/>
    <n v="26"/>
    <x v="1"/>
    <n v="759.56999999999994"/>
    <n v="189.89249999999998"/>
    <n v="4"/>
    <n v="1"/>
    <x v="1"/>
    <n v="0"/>
    <n v="1"/>
    <n v="0"/>
    <n v="50"/>
    <n v="2"/>
    <n v="2"/>
    <n v="1"/>
    <n v="5"/>
  </r>
  <r>
    <n v="650"/>
    <n v="30"/>
    <x v="1"/>
    <x v="0"/>
    <s v="Married"/>
    <x v="0"/>
    <x v="1"/>
    <n v="38"/>
    <x v="2"/>
    <n v="499.67"/>
    <n v="249.83500000000001"/>
    <n v="2"/>
    <n v="1"/>
    <x v="0"/>
    <n v="1"/>
    <n v="0"/>
    <n v="0"/>
    <n v="2"/>
    <n v="3"/>
    <n v="1"/>
    <n v="1"/>
    <n v="5"/>
  </r>
  <r>
    <n v="651"/>
    <n v="50"/>
    <x v="2"/>
    <x v="0"/>
    <s v="Married"/>
    <x v="2"/>
    <x v="0"/>
    <n v="26"/>
    <x v="2"/>
    <n v="1467.02"/>
    <n v="209.57428571428571"/>
    <n v="7"/>
    <n v="0"/>
    <x v="0"/>
    <n v="0"/>
    <n v="0"/>
    <n v="0"/>
    <n v="22"/>
    <n v="3"/>
    <n v="2"/>
    <n v="2"/>
    <n v="7"/>
  </r>
  <r>
    <n v="652"/>
    <n v="59"/>
    <x v="2"/>
    <x v="1"/>
    <s v="Single"/>
    <x v="0"/>
    <x v="0"/>
    <n v="40"/>
    <x v="1"/>
    <n v="1245.8599999999999"/>
    <n v="249.17199999999997"/>
    <n v="5"/>
    <n v="2"/>
    <x v="1"/>
    <n v="1"/>
    <n v="0"/>
    <n v="1"/>
    <n v="79"/>
    <n v="2"/>
    <n v="2"/>
    <n v="2"/>
    <n v="6"/>
  </r>
  <r>
    <n v="653"/>
    <n v="34"/>
    <x v="3"/>
    <x v="1"/>
    <s v="Married"/>
    <x v="0"/>
    <x v="0"/>
    <n v="1"/>
    <x v="0"/>
    <n v="392.17"/>
    <n v="392.17"/>
    <n v="1"/>
    <n v="1"/>
    <x v="0"/>
    <n v="0"/>
    <n v="0"/>
    <n v="1"/>
    <n v="122"/>
    <n v="1"/>
    <n v="1"/>
    <n v="1"/>
    <n v="3"/>
  </r>
  <r>
    <n v="654"/>
    <n v="20"/>
    <x v="1"/>
    <x v="0"/>
    <s v="Divorced"/>
    <x v="2"/>
    <x v="0"/>
    <n v="19"/>
    <x v="0"/>
    <n v="1437.1699999999998"/>
    <n v="159.68555555555554"/>
    <n v="9"/>
    <n v="1"/>
    <x v="0"/>
    <n v="0"/>
    <n v="1"/>
    <n v="0"/>
    <n v="62"/>
    <n v="2"/>
    <n v="3"/>
    <n v="2"/>
    <n v="7"/>
  </r>
  <r>
    <n v="655"/>
    <n v="26"/>
    <x v="1"/>
    <x v="1"/>
    <s v="Married"/>
    <x v="1"/>
    <x v="0"/>
    <n v="26"/>
    <x v="0"/>
    <n v="2097.25"/>
    <n v="233.02777777777777"/>
    <n v="9"/>
    <n v="2"/>
    <x v="1"/>
    <n v="1"/>
    <n v="1"/>
    <n v="0"/>
    <n v="146"/>
    <n v="1"/>
    <n v="3"/>
    <n v="3"/>
    <n v="7"/>
  </r>
  <r>
    <n v="656"/>
    <n v="69"/>
    <x v="0"/>
    <x v="1"/>
    <s v="Divorced"/>
    <x v="0"/>
    <x v="0"/>
    <n v="35"/>
    <x v="0"/>
    <n v="1567.52"/>
    <n v="223.93142857142857"/>
    <n v="7"/>
    <n v="0"/>
    <x v="0"/>
    <n v="0"/>
    <n v="0"/>
    <n v="0"/>
    <n v="45"/>
    <n v="2"/>
    <n v="2"/>
    <n v="2"/>
    <n v="6"/>
  </r>
  <r>
    <n v="657"/>
    <n v="28"/>
    <x v="1"/>
    <x v="1"/>
    <s v="Widowed"/>
    <x v="2"/>
    <x v="1"/>
    <n v="16"/>
    <x v="2"/>
    <n v="1135.3000000000002"/>
    <n v="227.06000000000003"/>
    <n v="5"/>
    <n v="1"/>
    <x v="0"/>
    <n v="0"/>
    <n v="0"/>
    <n v="1"/>
    <n v="117"/>
    <n v="1"/>
    <n v="2"/>
    <n v="2"/>
    <n v="5"/>
  </r>
  <r>
    <n v="658"/>
    <n v="66"/>
    <x v="0"/>
    <x v="0"/>
    <s v="Divorced"/>
    <x v="0"/>
    <x v="1"/>
    <n v="13"/>
    <x v="0"/>
    <n v="1132.79"/>
    <n v="188.79833333333332"/>
    <n v="6"/>
    <n v="1"/>
    <x v="1"/>
    <n v="0"/>
    <n v="0"/>
    <n v="1"/>
    <n v="108"/>
    <n v="1"/>
    <n v="2"/>
    <n v="2"/>
    <n v="5"/>
  </r>
  <r>
    <n v="659"/>
    <n v="44"/>
    <x v="3"/>
    <x v="1"/>
    <s v="Widowed"/>
    <x v="0"/>
    <x v="0"/>
    <n v="10"/>
    <x v="1"/>
    <n v="1658.16"/>
    <n v="276.36"/>
    <n v="6"/>
    <n v="2"/>
    <x v="1"/>
    <n v="1"/>
    <n v="0"/>
    <n v="1"/>
    <n v="31"/>
    <n v="2"/>
    <n v="2"/>
    <n v="3"/>
    <n v="7"/>
  </r>
  <r>
    <n v="660"/>
    <n v="45"/>
    <x v="3"/>
    <x v="1"/>
    <s v="Married"/>
    <x v="2"/>
    <x v="0"/>
    <n v="8"/>
    <x v="0"/>
    <n v="2676.26"/>
    <n v="334.53250000000003"/>
    <n v="8"/>
    <n v="2"/>
    <x v="1"/>
    <n v="1"/>
    <n v="0"/>
    <n v="1"/>
    <n v="73"/>
    <n v="2"/>
    <n v="3"/>
    <n v="3"/>
    <n v="8"/>
  </r>
  <r>
    <n v="661"/>
    <n v="19"/>
    <x v="1"/>
    <x v="0"/>
    <s v="Divorced"/>
    <x v="0"/>
    <x v="0"/>
    <n v="27"/>
    <x v="0"/>
    <n v="1579.69"/>
    <n v="197.46125000000001"/>
    <n v="8"/>
    <n v="0"/>
    <x v="0"/>
    <n v="0"/>
    <n v="0"/>
    <n v="0"/>
    <n v="8"/>
    <n v="3"/>
    <n v="3"/>
    <n v="3"/>
    <n v="9"/>
  </r>
  <r>
    <n v="662"/>
    <n v="18"/>
    <x v="1"/>
    <x v="1"/>
    <s v="Single"/>
    <x v="2"/>
    <x v="0"/>
    <n v="26"/>
    <x v="0"/>
    <n v="758.41000000000008"/>
    <n v="189.60250000000002"/>
    <n v="4"/>
    <n v="0"/>
    <x v="0"/>
    <n v="0"/>
    <n v="0"/>
    <n v="0"/>
    <n v="171"/>
    <n v="1"/>
    <n v="2"/>
    <n v="1"/>
    <n v="4"/>
  </r>
  <r>
    <n v="663"/>
    <n v="23"/>
    <x v="1"/>
    <x v="1"/>
    <s v="Divorced"/>
    <x v="0"/>
    <x v="0"/>
    <n v="3"/>
    <x v="0"/>
    <n v="1160.9900000000002"/>
    <n v="193.49833333333336"/>
    <n v="6"/>
    <n v="1"/>
    <x v="1"/>
    <n v="1"/>
    <n v="0"/>
    <n v="0"/>
    <n v="103"/>
    <n v="1"/>
    <n v="2"/>
    <n v="2"/>
    <n v="5"/>
  </r>
  <r>
    <n v="664"/>
    <n v="42"/>
    <x v="3"/>
    <x v="1"/>
    <s v="Widowed"/>
    <x v="1"/>
    <x v="0"/>
    <n v="45"/>
    <x v="2"/>
    <n v="1972.9399999999998"/>
    <n v="328.82333333333332"/>
    <n v="6"/>
    <n v="1"/>
    <x v="1"/>
    <n v="1"/>
    <n v="0"/>
    <n v="0"/>
    <n v="34"/>
    <n v="2"/>
    <n v="2"/>
    <n v="3"/>
    <n v="7"/>
  </r>
  <r>
    <n v="665"/>
    <n v="52"/>
    <x v="2"/>
    <x v="1"/>
    <s v="Widowed"/>
    <x v="2"/>
    <x v="0"/>
    <n v="36"/>
    <x v="2"/>
    <n v="1405.19"/>
    <n v="281.03800000000001"/>
    <n v="5"/>
    <n v="1"/>
    <x v="1"/>
    <n v="1"/>
    <n v="0"/>
    <n v="0"/>
    <n v="123"/>
    <n v="1"/>
    <n v="2"/>
    <n v="2"/>
    <n v="5"/>
  </r>
  <r>
    <n v="666"/>
    <n v="33"/>
    <x v="3"/>
    <x v="0"/>
    <s v="Single"/>
    <x v="1"/>
    <x v="0"/>
    <n v="41"/>
    <x v="2"/>
    <n v="474.38"/>
    <n v="474.38"/>
    <n v="1"/>
    <n v="0"/>
    <x v="0"/>
    <n v="0"/>
    <n v="0"/>
    <n v="0"/>
    <n v="351"/>
    <n v="1"/>
    <n v="1"/>
    <n v="1"/>
    <n v="3"/>
  </r>
  <r>
    <n v="667"/>
    <n v="21"/>
    <x v="1"/>
    <x v="1"/>
    <s v="Divorced"/>
    <x v="0"/>
    <x v="0"/>
    <n v="8"/>
    <x v="2"/>
    <n v="1442.15"/>
    <n v="240.35833333333335"/>
    <n v="6"/>
    <n v="1"/>
    <x v="0"/>
    <n v="0"/>
    <n v="1"/>
    <n v="0"/>
    <n v="126"/>
    <n v="1"/>
    <n v="2"/>
    <n v="2"/>
    <n v="5"/>
  </r>
  <r>
    <n v="668"/>
    <n v="64"/>
    <x v="0"/>
    <x v="0"/>
    <s v="Married"/>
    <x v="1"/>
    <x v="0"/>
    <n v="32"/>
    <x v="1"/>
    <n v="1668.59"/>
    <n v="238.36999999999998"/>
    <n v="7"/>
    <n v="1"/>
    <x v="1"/>
    <n v="0"/>
    <n v="0"/>
    <n v="1"/>
    <n v="6"/>
    <n v="3"/>
    <n v="2"/>
    <n v="3"/>
    <n v="8"/>
  </r>
  <r>
    <n v="669"/>
    <n v="55"/>
    <x v="2"/>
    <x v="1"/>
    <s v="Divorced"/>
    <x v="2"/>
    <x v="0"/>
    <n v="19"/>
    <x v="1"/>
    <n v="2232.41"/>
    <n v="279.05124999999998"/>
    <n v="8"/>
    <n v="2"/>
    <x v="1"/>
    <n v="1"/>
    <n v="1"/>
    <n v="0"/>
    <n v="59"/>
    <n v="2"/>
    <n v="3"/>
    <n v="3"/>
    <n v="8"/>
  </r>
  <r>
    <n v="670"/>
    <n v="61"/>
    <x v="0"/>
    <x v="1"/>
    <s v="Divorced"/>
    <x v="0"/>
    <x v="0"/>
    <n v="12"/>
    <x v="2"/>
    <n v="143.34"/>
    <n v="143.34"/>
    <n v="1"/>
    <n v="0"/>
    <x v="0"/>
    <n v="0"/>
    <n v="0"/>
    <n v="0"/>
    <n v="56"/>
    <n v="2"/>
    <n v="1"/>
    <n v="1"/>
    <n v="4"/>
  </r>
  <r>
    <n v="671"/>
    <n v="37"/>
    <x v="3"/>
    <x v="1"/>
    <s v="Divorced"/>
    <x v="2"/>
    <x v="0"/>
    <n v="45"/>
    <x v="2"/>
    <n v="2587.4699999999998"/>
    <n v="287.49666666666667"/>
    <n v="9"/>
    <n v="1"/>
    <x v="0"/>
    <n v="1"/>
    <n v="0"/>
    <n v="0"/>
    <n v="20"/>
    <n v="3"/>
    <n v="3"/>
    <n v="3"/>
    <n v="9"/>
  </r>
  <r>
    <n v="672"/>
    <n v="42"/>
    <x v="3"/>
    <x v="1"/>
    <s v="Single"/>
    <x v="0"/>
    <x v="0"/>
    <n v="45"/>
    <x v="0"/>
    <n v="77.31"/>
    <n v="77.31"/>
    <n v="1"/>
    <n v="2"/>
    <x v="0"/>
    <n v="0"/>
    <n v="0"/>
    <n v="1"/>
    <n v="215"/>
    <n v="1"/>
    <n v="1"/>
    <n v="1"/>
    <n v="3"/>
  </r>
  <r>
    <n v="673"/>
    <n v="24"/>
    <x v="1"/>
    <x v="1"/>
    <s v="Single"/>
    <x v="1"/>
    <x v="0"/>
    <n v="13"/>
    <x v="0"/>
    <n v="1779.5"/>
    <n v="222.4375"/>
    <n v="8"/>
    <n v="2"/>
    <x v="0"/>
    <n v="1"/>
    <n v="0"/>
    <n v="1"/>
    <n v="25"/>
    <n v="3"/>
    <n v="3"/>
    <n v="3"/>
    <n v="9"/>
  </r>
  <r>
    <n v="674"/>
    <n v="38"/>
    <x v="3"/>
    <x v="0"/>
    <s v="Single"/>
    <x v="1"/>
    <x v="1"/>
    <n v="44"/>
    <x v="2"/>
    <n v="2314.4899999999998"/>
    <n v="257.16555555555556"/>
    <n v="9"/>
    <n v="2"/>
    <x v="1"/>
    <n v="1"/>
    <n v="0"/>
    <n v="1"/>
    <n v="102"/>
    <n v="1"/>
    <n v="3"/>
    <n v="3"/>
    <n v="7"/>
  </r>
  <r>
    <n v="675"/>
    <n v="24"/>
    <x v="1"/>
    <x v="0"/>
    <s v="Single"/>
    <x v="2"/>
    <x v="0"/>
    <n v="48"/>
    <x v="2"/>
    <n v="2461.3000000000002"/>
    <n v="273.47777777777782"/>
    <n v="9"/>
    <n v="2"/>
    <x v="0"/>
    <n v="0"/>
    <n v="1"/>
    <n v="0"/>
    <n v="5"/>
    <n v="3"/>
    <n v="3"/>
    <n v="3"/>
    <n v="9"/>
  </r>
  <r>
    <n v="676"/>
    <n v="46"/>
    <x v="2"/>
    <x v="0"/>
    <s v="Single"/>
    <x v="2"/>
    <x v="0"/>
    <n v="45"/>
    <x v="0"/>
    <n v="923.55"/>
    <n v="184.70999999999998"/>
    <n v="5"/>
    <n v="0"/>
    <x v="0"/>
    <n v="0"/>
    <n v="0"/>
    <n v="0"/>
    <n v="1"/>
    <n v="3"/>
    <n v="2"/>
    <n v="2"/>
    <n v="7"/>
  </r>
  <r>
    <n v="677"/>
    <n v="69"/>
    <x v="0"/>
    <x v="1"/>
    <s v="Married"/>
    <x v="0"/>
    <x v="1"/>
    <n v="7"/>
    <x v="1"/>
    <n v="308.82"/>
    <n v="308.82"/>
    <n v="1"/>
    <n v="2"/>
    <x v="1"/>
    <n v="1"/>
    <n v="0"/>
    <n v="0"/>
    <n v="253"/>
    <n v="1"/>
    <n v="1"/>
    <n v="1"/>
    <n v="3"/>
  </r>
  <r>
    <n v="678"/>
    <n v="24"/>
    <x v="1"/>
    <x v="0"/>
    <s v="Divorced"/>
    <x v="2"/>
    <x v="0"/>
    <n v="47"/>
    <x v="2"/>
    <n v="864.3"/>
    <n v="216.07499999999999"/>
    <n v="4"/>
    <n v="1"/>
    <x v="0"/>
    <n v="1"/>
    <n v="0"/>
    <n v="0"/>
    <n v="21"/>
    <n v="3"/>
    <n v="2"/>
    <n v="2"/>
    <n v="7"/>
  </r>
  <r>
    <n v="679"/>
    <n v="20"/>
    <x v="1"/>
    <x v="1"/>
    <s v="Divorced"/>
    <x v="2"/>
    <x v="0"/>
    <n v="47"/>
    <x v="1"/>
    <n v="1700.3"/>
    <n v="242.9"/>
    <n v="7"/>
    <n v="2"/>
    <x v="1"/>
    <n v="0"/>
    <n v="1"/>
    <n v="0"/>
    <n v="5"/>
    <n v="3"/>
    <n v="2"/>
    <n v="3"/>
    <n v="8"/>
  </r>
  <r>
    <n v="680"/>
    <n v="46"/>
    <x v="2"/>
    <x v="0"/>
    <s v="Married"/>
    <x v="1"/>
    <x v="0"/>
    <n v="16"/>
    <x v="1"/>
    <n v="2490.8499999999995"/>
    <n v="276.76111111111106"/>
    <n v="9"/>
    <n v="0"/>
    <x v="0"/>
    <n v="0"/>
    <n v="0"/>
    <n v="0"/>
    <n v="18"/>
    <n v="3"/>
    <n v="3"/>
    <n v="3"/>
    <n v="9"/>
  </r>
  <r>
    <n v="681"/>
    <n v="46"/>
    <x v="2"/>
    <x v="0"/>
    <s v="Married"/>
    <x v="2"/>
    <x v="0"/>
    <n v="32"/>
    <x v="0"/>
    <n v="1463.19"/>
    <n v="365.79750000000001"/>
    <n v="4"/>
    <n v="0"/>
    <x v="0"/>
    <n v="0"/>
    <n v="0"/>
    <n v="0"/>
    <n v="96"/>
    <n v="1"/>
    <n v="2"/>
    <n v="2"/>
    <n v="5"/>
  </r>
  <r>
    <n v="682"/>
    <n v="56"/>
    <x v="2"/>
    <x v="0"/>
    <s v="Married"/>
    <x v="2"/>
    <x v="1"/>
    <n v="9"/>
    <x v="0"/>
    <n v="1084.1100000000001"/>
    <n v="216.82200000000003"/>
    <n v="5"/>
    <n v="1"/>
    <x v="0"/>
    <n v="0"/>
    <n v="0"/>
    <n v="1"/>
    <n v="15"/>
    <n v="3"/>
    <n v="2"/>
    <n v="2"/>
    <n v="7"/>
  </r>
  <r>
    <n v="683"/>
    <n v="55"/>
    <x v="2"/>
    <x v="1"/>
    <s v="Married"/>
    <x v="0"/>
    <x v="0"/>
    <n v="26"/>
    <x v="2"/>
    <n v="1383.28"/>
    <n v="276.65600000000001"/>
    <n v="5"/>
    <n v="2"/>
    <x v="1"/>
    <n v="0"/>
    <n v="1"/>
    <n v="0"/>
    <n v="37"/>
    <n v="2"/>
    <n v="2"/>
    <n v="2"/>
    <n v="6"/>
  </r>
  <r>
    <n v="684"/>
    <n v="23"/>
    <x v="1"/>
    <x v="0"/>
    <s v="Single"/>
    <x v="1"/>
    <x v="0"/>
    <n v="48"/>
    <x v="0"/>
    <n v="1240.94"/>
    <n v="248.18800000000002"/>
    <n v="5"/>
    <n v="1"/>
    <x v="0"/>
    <n v="0"/>
    <n v="1"/>
    <n v="0"/>
    <n v="45"/>
    <n v="2"/>
    <n v="2"/>
    <n v="2"/>
    <n v="6"/>
  </r>
  <r>
    <n v="685"/>
    <n v="63"/>
    <x v="0"/>
    <x v="1"/>
    <s v="Divorced"/>
    <x v="1"/>
    <x v="1"/>
    <n v="40"/>
    <x v="1"/>
    <n v="534.74"/>
    <n v="267.37"/>
    <n v="2"/>
    <n v="0"/>
    <x v="0"/>
    <n v="0"/>
    <n v="0"/>
    <n v="0"/>
    <n v="288"/>
    <n v="1"/>
    <n v="1"/>
    <n v="1"/>
    <n v="3"/>
  </r>
  <r>
    <n v="686"/>
    <n v="27"/>
    <x v="1"/>
    <x v="0"/>
    <s v="Married"/>
    <x v="0"/>
    <x v="0"/>
    <n v="47"/>
    <x v="1"/>
    <n v="1019.67"/>
    <n v="254.91749999999999"/>
    <n v="4"/>
    <n v="0"/>
    <x v="0"/>
    <n v="0"/>
    <n v="0"/>
    <n v="0"/>
    <n v="27"/>
    <n v="3"/>
    <n v="2"/>
    <n v="2"/>
    <n v="7"/>
  </r>
  <r>
    <n v="687"/>
    <n v="54"/>
    <x v="2"/>
    <x v="1"/>
    <s v="Widowed"/>
    <x v="1"/>
    <x v="0"/>
    <n v="20"/>
    <x v="2"/>
    <n v="1446.69"/>
    <n v="160.74333333333334"/>
    <n v="9"/>
    <n v="1"/>
    <x v="0"/>
    <n v="0"/>
    <n v="0"/>
    <n v="1"/>
    <n v="14"/>
    <n v="3"/>
    <n v="3"/>
    <n v="2"/>
    <n v="8"/>
  </r>
  <r>
    <n v="688"/>
    <n v="31"/>
    <x v="3"/>
    <x v="1"/>
    <s v="Married"/>
    <x v="0"/>
    <x v="0"/>
    <n v="6"/>
    <x v="1"/>
    <n v="2281.4700000000003"/>
    <n v="253.4966666666667"/>
    <n v="9"/>
    <n v="2"/>
    <x v="1"/>
    <n v="0"/>
    <n v="0"/>
    <n v="1"/>
    <n v="19"/>
    <n v="3"/>
    <n v="3"/>
    <n v="3"/>
    <n v="9"/>
  </r>
  <r>
    <n v="689"/>
    <n v="39"/>
    <x v="3"/>
    <x v="1"/>
    <s v="Divorced"/>
    <x v="0"/>
    <x v="0"/>
    <n v="11"/>
    <x v="0"/>
    <n v="897.51"/>
    <n v="224.3775"/>
    <n v="4"/>
    <n v="0"/>
    <x v="0"/>
    <n v="0"/>
    <n v="0"/>
    <n v="0"/>
    <n v="10"/>
    <n v="3"/>
    <n v="2"/>
    <n v="2"/>
    <n v="7"/>
  </r>
  <r>
    <n v="690"/>
    <n v="49"/>
    <x v="2"/>
    <x v="1"/>
    <s v="Widowed"/>
    <x v="2"/>
    <x v="0"/>
    <n v="29"/>
    <x v="2"/>
    <n v="638.06000000000006"/>
    <n v="212.6866666666667"/>
    <n v="3"/>
    <n v="0"/>
    <x v="0"/>
    <n v="0"/>
    <n v="0"/>
    <n v="0"/>
    <n v="11"/>
    <n v="3"/>
    <n v="2"/>
    <n v="1"/>
    <n v="6"/>
  </r>
  <r>
    <n v="691"/>
    <n v="35"/>
    <x v="3"/>
    <x v="1"/>
    <s v="Married"/>
    <x v="2"/>
    <x v="1"/>
    <n v="7"/>
    <x v="0"/>
    <n v="683.19"/>
    <n v="341.59500000000003"/>
    <n v="2"/>
    <n v="0"/>
    <x v="0"/>
    <n v="0"/>
    <n v="0"/>
    <n v="0"/>
    <n v="40"/>
    <n v="2"/>
    <n v="1"/>
    <n v="1"/>
    <n v="4"/>
  </r>
  <r>
    <n v="692"/>
    <n v="53"/>
    <x v="2"/>
    <x v="1"/>
    <s v="Single"/>
    <x v="0"/>
    <x v="0"/>
    <n v="29"/>
    <x v="1"/>
    <n v="1421.2599999999998"/>
    <n v="284.25199999999995"/>
    <n v="5"/>
    <n v="0"/>
    <x v="0"/>
    <n v="0"/>
    <n v="0"/>
    <n v="0"/>
    <n v="38"/>
    <n v="2"/>
    <n v="2"/>
    <n v="2"/>
    <n v="6"/>
  </r>
  <r>
    <n v="693"/>
    <n v="63"/>
    <x v="0"/>
    <x v="1"/>
    <s v="Single"/>
    <x v="2"/>
    <x v="0"/>
    <n v="43"/>
    <x v="0"/>
    <n v="2154.62"/>
    <n v="269.32749999999999"/>
    <n v="8"/>
    <n v="1"/>
    <x v="0"/>
    <n v="1"/>
    <n v="0"/>
    <n v="0"/>
    <n v="16"/>
    <n v="3"/>
    <n v="3"/>
    <n v="3"/>
    <n v="9"/>
  </r>
  <r>
    <n v="694"/>
    <n v="69"/>
    <x v="0"/>
    <x v="1"/>
    <s v="Widowed"/>
    <x v="2"/>
    <x v="0"/>
    <n v="4"/>
    <x v="2"/>
    <n v="1500.44"/>
    <n v="214.34857142857143"/>
    <n v="7"/>
    <n v="0"/>
    <x v="0"/>
    <n v="0"/>
    <n v="0"/>
    <n v="0"/>
    <n v="89"/>
    <n v="1"/>
    <n v="2"/>
    <n v="2"/>
    <n v="5"/>
  </r>
  <r>
    <n v="695"/>
    <n v="26"/>
    <x v="1"/>
    <x v="1"/>
    <s v="Single"/>
    <x v="1"/>
    <x v="1"/>
    <n v="24"/>
    <x v="0"/>
    <n v="2615.4300000000003"/>
    <n v="290.60333333333335"/>
    <n v="9"/>
    <n v="2"/>
    <x v="1"/>
    <n v="0"/>
    <n v="0"/>
    <n v="1"/>
    <n v="6"/>
    <n v="3"/>
    <n v="3"/>
    <n v="3"/>
    <n v="9"/>
  </r>
  <r>
    <n v="696"/>
    <n v="43"/>
    <x v="3"/>
    <x v="1"/>
    <s v="Widowed"/>
    <x v="1"/>
    <x v="1"/>
    <n v="3"/>
    <x v="1"/>
    <n v="55.77"/>
    <n v="55.77"/>
    <n v="1"/>
    <n v="1"/>
    <x v="1"/>
    <n v="1"/>
    <n v="0"/>
    <n v="0"/>
    <n v="279"/>
    <n v="1"/>
    <n v="1"/>
    <n v="1"/>
    <n v="3"/>
  </r>
  <r>
    <n v="697"/>
    <n v="39"/>
    <x v="3"/>
    <x v="0"/>
    <s v="Married"/>
    <x v="2"/>
    <x v="0"/>
    <n v="12"/>
    <x v="2"/>
    <n v="489.1"/>
    <n v="244.55"/>
    <n v="2"/>
    <n v="0"/>
    <x v="0"/>
    <n v="0"/>
    <n v="0"/>
    <n v="0"/>
    <n v="108"/>
    <n v="1"/>
    <n v="1"/>
    <n v="1"/>
    <n v="3"/>
  </r>
  <r>
    <n v="698"/>
    <n v="63"/>
    <x v="0"/>
    <x v="1"/>
    <s v="Divorced"/>
    <x v="0"/>
    <x v="0"/>
    <n v="35"/>
    <x v="1"/>
    <n v="273.02"/>
    <n v="136.51"/>
    <n v="2"/>
    <n v="0"/>
    <x v="0"/>
    <n v="0"/>
    <n v="0"/>
    <n v="0"/>
    <n v="54"/>
    <n v="2"/>
    <n v="1"/>
    <n v="1"/>
    <n v="4"/>
  </r>
  <r>
    <n v="699"/>
    <n v="55"/>
    <x v="2"/>
    <x v="0"/>
    <s v="Widowed"/>
    <x v="0"/>
    <x v="1"/>
    <n v="8"/>
    <x v="0"/>
    <n v="994.15999999999985"/>
    <n v="248.53999999999996"/>
    <n v="4"/>
    <n v="0"/>
    <x v="0"/>
    <n v="0"/>
    <n v="0"/>
    <n v="0"/>
    <n v="35"/>
    <n v="2"/>
    <n v="2"/>
    <n v="2"/>
    <n v="6"/>
  </r>
  <r>
    <n v="700"/>
    <n v="40"/>
    <x v="3"/>
    <x v="0"/>
    <s v="Married"/>
    <x v="2"/>
    <x v="0"/>
    <n v="38"/>
    <x v="2"/>
    <n v="2810.28"/>
    <n v="351.28500000000003"/>
    <n v="8"/>
    <n v="2"/>
    <x v="1"/>
    <n v="0"/>
    <n v="0"/>
    <n v="1"/>
    <n v="105"/>
    <n v="1"/>
    <n v="3"/>
    <n v="3"/>
    <n v="7"/>
  </r>
  <r>
    <n v="701"/>
    <n v="34"/>
    <x v="3"/>
    <x v="1"/>
    <s v="Widowed"/>
    <x v="2"/>
    <x v="0"/>
    <n v="41"/>
    <x v="2"/>
    <n v="2395.1000000000004"/>
    <n v="266.12222222222226"/>
    <n v="9"/>
    <n v="0"/>
    <x v="0"/>
    <n v="0"/>
    <n v="0"/>
    <n v="0"/>
    <n v="60"/>
    <n v="2"/>
    <n v="3"/>
    <n v="3"/>
    <n v="8"/>
  </r>
  <r>
    <n v="702"/>
    <n v="43"/>
    <x v="3"/>
    <x v="0"/>
    <s v="Divorced"/>
    <x v="0"/>
    <x v="1"/>
    <n v="38"/>
    <x v="0"/>
    <n v="681.7700000000001"/>
    <n v="136.35400000000001"/>
    <n v="5"/>
    <n v="0"/>
    <x v="0"/>
    <n v="0"/>
    <n v="0"/>
    <n v="0"/>
    <n v="74"/>
    <n v="2"/>
    <n v="2"/>
    <n v="1"/>
    <n v="5"/>
  </r>
  <r>
    <n v="703"/>
    <n v="64"/>
    <x v="0"/>
    <x v="1"/>
    <s v="Single"/>
    <x v="1"/>
    <x v="0"/>
    <n v="15"/>
    <x v="0"/>
    <n v="1289.5500000000002"/>
    <n v="184.22142857142859"/>
    <n v="7"/>
    <n v="2"/>
    <x v="0"/>
    <n v="1"/>
    <n v="0"/>
    <n v="1"/>
    <n v="58"/>
    <n v="2"/>
    <n v="2"/>
    <n v="2"/>
    <n v="6"/>
  </r>
  <r>
    <n v="704"/>
    <n v="55"/>
    <x v="2"/>
    <x v="1"/>
    <s v="Single"/>
    <x v="1"/>
    <x v="0"/>
    <n v="5"/>
    <x v="1"/>
    <n v="948.68"/>
    <n v="316.22666666666663"/>
    <n v="3"/>
    <n v="0"/>
    <x v="0"/>
    <n v="0"/>
    <n v="0"/>
    <n v="0"/>
    <n v="245"/>
    <n v="1"/>
    <n v="2"/>
    <n v="2"/>
    <n v="5"/>
  </r>
  <r>
    <n v="705"/>
    <n v="19"/>
    <x v="1"/>
    <x v="0"/>
    <s v="Widowed"/>
    <x v="0"/>
    <x v="0"/>
    <n v="40"/>
    <x v="1"/>
    <n v="1783.4699999999998"/>
    <n v="254.78142857142853"/>
    <n v="7"/>
    <n v="2"/>
    <x v="1"/>
    <n v="0"/>
    <n v="0"/>
    <n v="1"/>
    <n v="127"/>
    <n v="1"/>
    <n v="2"/>
    <n v="3"/>
    <n v="6"/>
  </r>
  <r>
    <n v="706"/>
    <n v="23"/>
    <x v="1"/>
    <x v="1"/>
    <s v="Divorced"/>
    <x v="2"/>
    <x v="0"/>
    <n v="16"/>
    <x v="2"/>
    <n v="104"/>
    <n v="104"/>
    <n v="1"/>
    <n v="1"/>
    <x v="1"/>
    <n v="0"/>
    <n v="1"/>
    <n v="0"/>
    <n v="221"/>
    <n v="1"/>
    <n v="1"/>
    <n v="1"/>
    <n v="3"/>
  </r>
  <r>
    <n v="707"/>
    <n v="24"/>
    <x v="1"/>
    <x v="0"/>
    <s v="Married"/>
    <x v="1"/>
    <x v="0"/>
    <n v="46"/>
    <x v="2"/>
    <n v="35.24"/>
    <n v="35.24"/>
    <n v="1"/>
    <n v="1"/>
    <x v="1"/>
    <n v="0"/>
    <n v="0"/>
    <n v="1"/>
    <n v="260"/>
    <n v="1"/>
    <n v="1"/>
    <n v="1"/>
    <n v="3"/>
  </r>
  <r>
    <n v="708"/>
    <n v="30"/>
    <x v="1"/>
    <x v="0"/>
    <s v="Married"/>
    <x v="0"/>
    <x v="0"/>
    <n v="28"/>
    <x v="1"/>
    <n v="807.48"/>
    <n v="269.16000000000003"/>
    <n v="3"/>
    <n v="1"/>
    <x v="1"/>
    <n v="0"/>
    <n v="1"/>
    <n v="0"/>
    <n v="16"/>
    <n v="3"/>
    <n v="2"/>
    <n v="1"/>
    <n v="6"/>
  </r>
  <r>
    <n v="709"/>
    <n v="44"/>
    <x v="3"/>
    <x v="0"/>
    <s v="Married"/>
    <x v="2"/>
    <x v="0"/>
    <n v="13"/>
    <x v="0"/>
    <n v="346.94"/>
    <n v="346.94"/>
    <n v="1"/>
    <n v="0"/>
    <x v="0"/>
    <n v="0"/>
    <n v="0"/>
    <n v="0"/>
    <n v="234"/>
    <n v="1"/>
    <n v="1"/>
    <n v="1"/>
    <n v="3"/>
  </r>
  <r>
    <n v="710"/>
    <n v="28"/>
    <x v="1"/>
    <x v="0"/>
    <s v="Widowed"/>
    <x v="2"/>
    <x v="0"/>
    <n v="41"/>
    <x v="1"/>
    <n v="1373.66"/>
    <n v="228.94333333333336"/>
    <n v="6"/>
    <n v="0"/>
    <x v="0"/>
    <n v="0"/>
    <n v="0"/>
    <n v="0"/>
    <n v="26"/>
    <n v="3"/>
    <n v="2"/>
    <n v="2"/>
    <n v="7"/>
  </r>
  <r>
    <n v="711"/>
    <n v="32"/>
    <x v="3"/>
    <x v="1"/>
    <s v="Single"/>
    <x v="1"/>
    <x v="0"/>
    <n v="11"/>
    <x v="1"/>
    <n v="391.99"/>
    <n v="391.99"/>
    <n v="1"/>
    <n v="1"/>
    <x v="1"/>
    <n v="1"/>
    <n v="0"/>
    <n v="0"/>
    <n v="218"/>
    <n v="1"/>
    <n v="1"/>
    <n v="1"/>
    <n v="3"/>
  </r>
  <r>
    <n v="712"/>
    <n v="26"/>
    <x v="1"/>
    <x v="1"/>
    <s v="Widowed"/>
    <x v="2"/>
    <x v="0"/>
    <n v="37"/>
    <x v="0"/>
    <n v="1159.3899999999999"/>
    <n v="231.87799999999999"/>
    <n v="5"/>
    <n v="2"/>
    <x v="0"/>
    <n v="0"/>
    <n v="0"/>
    <n v="1"/>
    <n v="28"/>
    <n v="3"/>
    <n v="2"/>
    <n v="2"/>
    <n v="7"/>
  </r>
  <r>
    <n v="713"/>
    <n v="25"/>
    <x v="1"/>
    <x v="1"/>
    <s v="Widowed"/>
    <x v="0"/>
    <x v="0"/>
    <n v="3"/>
    <x v="1"/>
    <n v="1792.5399999999997"/>
    <n v="224.06749999999997"/>
    <n v="8"/>
    <n v="1"/>
    <x v="0"/>
    <n v="0"/>
    <n v="0"/>
    <n v="1"/>
    <n v="55"/>
    <n v="2"/>
    <n v="3"/>
    <n v="3"/>
    <n v="8"/>
  </r>
  <r>
    <n v="714"/>
    <n v="63"/>
    <x v="0"/>
    <x v="0"/>
    <s v="Widowed"/>
    <x v="0"/>
    <x v="0"/>
    <n v="8"/>
    <x v="0"/>
    <n v="1170.3200000000002"/>
    <n v="146.29000000000002"/>
    <n v="8"/>
    <n v="0"/>
    <x v="0"/>
    <n v="0"/>
    <n v="0"/>
    <n v="0"/>
    <n v="7"/>
    <n v="3"/>
    <n v="3"/>
    <n v="2"/>
    <n v="8"/>
  </r>
  <r>
    <n v="715"/>
    <n v="23"/>
    <x v="1"/>
    <x v="1"/>
    <s v="Married"/>
    <x v="0"/>
    <x v="0"/>
    <n v="38"/>
    <x v="2"/>
    <n v="555.91"/>
    <n v="277.95499999999998"/>
    <n v="2"/>
    <n v="1"/>
    <x v="1"/>
    <n v="0"/>
    <n v="0"/>
    <n v="1"/>
    <n v="143"/>
    <n v="1"/>
    <n v="1"/>
    <n v="1"/>
    <n v="3"/>
  </r>
  <r>
    <n v="716"/>
    <n v="65"/>
    <x v="0"/>
    <x v="0"/>
    <s v="Divorced"/>
    <x v="0"/>
    <x v="1"/>
    <n v="47"/>
    <x v="0"/>
    <n v="3220.3"/>
    <n v="357.81111111111113"/>
    <n v="9"/>
    <n v="2"/>
    <x v="1"/>
    <n v="0"/>
    <n v="0"/>
    <n v="1"/>
    <n v="44"/>
    <n v="2"/>
    <n v="3"/>
    <n v="3"/>
    <n v="8"/>
  </r>
  <r>
    <n v="717"/>
    <n v="60"/>
    <x v="2"/>
    <x v="0"/>
    <s v="Widowed"/>
    <x v="2"/>
    <x v="0"/>
    <n v="34"/>
    <x v="1"/>
    <n v="1950.63"/>
    <n v="278.66142857142859"/>
    <n v="7"/>
    <n v="2"/>
    <x v="1"/>
    <n v="0"/>
    <n v="1"/>
    <n v="1"/>
    <n v="92"/>
    <n v="1"/>
    <n v="2"/>
    <n v="3"/>
    <n v="6"/>
  </r>
  <r>
    <n v="718"/>
    <n v="21"/>
    <x v="1"/>
    <x v="0"/>
    <s v="Married"/>
    <x v="0"/>
    <x v="0"/>
    <n v="38"/>
    <x v="0"/>
    <n v="1845.21"/>
    <n v="307.53500000000003"/>
    <n v="6"/>
    <n v="1"/>
    <x v="1"/>
    <n v="0"/>
    <n v="1"/>
    <n v="0"/>
    <n v="75"/>
    <n v="2"/>
    <n v="2"/>
    <n v="3"/>
    <n v="7"/>
  </r>
  <r>
    <n v="719"/>
    <n v="28"/>
    <x v="1"/>
    <x v="0"/>
    <s v="Widowed"/>
    <x v="1"/>
    <x v="0"/>
    <n v="42"/>
    <x v="2"/>
    <n v="434.86"/>
    <n v="217.43"/>
    <n v="2"/>
    <n v="0"/>
    <x v="0"/>
    <n v="0"/>
    <n v="0"/>
    <n v="0"/>
    <n v="96"/>
    <n v="1"/>
    <n v="1"/>
    <n v="1"/>
    <n v="3"/>
  </r>
  <r>
    <n v="720"/>
    <n v="68"/>
    <x v="0"/>
    <x v="0"/>
    <s v="Widowed"/>
    <x v="2"/>
    <x v="0"/>
    <n v="24"/>
    <x v="1"/>
    <n v="1551.13"/>
    <n v="258.5216666666667"/>
    <n v="6"/>
    <n v="2"/>
    <x v="1"/>
    <n v="0"/>
    <n v="1"/>
    <n v="1"/>
    <n v="101"/>
    <n v="1"/>
    <n v="2"/>
    <n v="2"/>
    <n v="5"/>
  </r>
  <r>
    <n v="721"/>
    <n v="45"/>
    <x v="3"/>
    <x v="0"/>
    <s v="Married"/>
    <x v="2"/>
    <x v="0"/>
    <n v="18"/>
    <x v="1"/>
    <n v="921.33"/>
    <n v="184.26600000000002"/>
    <n v="5"/>
    <n v="0"/>
    <x v="0"/>
    <n v="0"/>
    <n v="0"/>
    <n v="0"/>
    <n v="168"/>
    <n v="1"/>
    <n v="2"/>
    <n v="2"/>
    <n v="5"/>
  </r>
  <r>
    <n v="722"/>
    <n v="43"/>
    <x v="3"/>
    <x v="1"/>
    <s v="Divorced"/>
    <x v="2"/>
    <x v="0"/>
    <n v="25"/>
    <x v="1"/>
    <n v="814.74"/>
    <n v="271.58"/>
    <n v="3"/>
    <n v="1"/>
    <x v="1"/>
    <n v="0"/>
    <n v="0"/>
    <n v="1"/>
    <n v="26"/>
    <n v="3"/>
    <n v="2"/>
    <n v="1"/>
    <n v="6"/>
  </r>
  <r>
    <n v="723"/>
    <n v="21"/>
    <x v="1"/>
    <x v="1"/>
    <s v="Divorced"/>
    <x v="0"/>
    <x v="0"/>
    <n v="13"/>
    <x v="1"/>
    <n v="2143.56"/>
    <n v="306.22285714285715"/>
    <n v="7"/>
    <n v="2"/>
    <x v="0"/>
    <n v="0"/>
    <n v="1"/>
    <n v="1"/>
    <n v="58"/>
    <n v="2"/>
    <n v="2"/>
    <n v="3"/>
    <n v="7"/>
  </r>
  <r>
    <n v="724"/>
    <n v="32"/>
    <x v="3"/>
    <x v="1"/>
    <s v="Single"/>
    <x v="2"/>
    <x v="0"/>
    <n v="39"/>
    <x v="1"/>
    <n v="477.73"/>
    <n v="238.86500000000001"/>
    <n v="2"/>
    <n v="1"/>
    <x v="1"/>
    <n v="0"/>
    <n v="1"/>
    <n v="0"/>
    <n v="220"/>
    <n v="1"/>
    <n v="1"/>
    <n v="1"/>
    <n v="3"/>
  </r>
  <r>
    <n v="725"/>
    <n v="36"/>
    <x v="3"/>
    <x v="0"/>
    <s v="Widowed"/>
    <x v="0"/>
    <x v="0"/>
    <n v="22"/>
    <x v="0"/>
    <n v="627.29"/>
    <n v="313.64499999999998"/>
    <n v="2"/>
    <n v="0"/>
    <x v="0"/>
    <n v="0"/>
    <n v="0"/>
    <n v="0"/>
    <n v="240"/>
    <n v="1"/>
    <n v="1"/>
    <n v="1"/>
    <n v="3"/>
  </r>
  <r>
    <n v="726"/>
    <n v="23"/>
    <x v="1"/>
    <x v="0"/>
    <s v="Single"/>
    <x v="0"/>
    <x v="0"/>
    <n v="30"/>
    <x v="2"/>
    <n v="2048.2000000000003"/>
    <n v="256.02500000000003"/>
    <n v="8"/>
    <n v="1"/>
    <x v="0"/>
    <n v="1"/>
    <n v="0"/>
    <n v="0"/>
    <n v="9"/>
    <n v="3"/>
    <n v="3"/>
    <n v="3"/>
    <n v="9"/>
  </r>
  <r>
    <n v="727"/>
    <n v="22"/>
    <x v="1"/>
    <x v="1"/>
    <s v="Married"/>
    <x v="2"/>
    <x v="0"/>
    <n v="30"/>
    <x v="0"/>
    <n v="1252.1000000000001"/>
    <n v="208.68333333333337"/>
    <n v="6"/>
    <n v="0"/>
    <x v="0"/>
    <n v="0"/>
    <n v="0"/>
    <n v="0"/>
    <n v="8"/>
    <n v="3"/>
    <n v="2"/>
    <n v="2"/>
    <n v="7"/>
  </r>
  <r>
    <n v="728"/>
    <n v="35"/>
    <x v="3"/>
    <x v="1"/>
    <s v="Widowed"/>
    <x v="2"/>
    <x v="0"/>
    <n v="37"/>
    <x v="1"/>
    <n v="1552.44"/>
    <n v="310.488"/>
    <n v="5"/>
    <n v="1"/>
    <x v="1"/>
    <n v="1"/>
    <n v="0"/>
    <n v="0"/>
    <n v="57"/>
    <n v="2"/>
    <n v="2"/>
    <n v="2"/>
    <n v="6"/>
  </r>
  <r>
    <n v="729"/>
    <n v="23"/>
    <x v="1"/>
    <x v="1"/>
    <s v="Married"/>
    <x v="0"/>
    <x v="0"/>
    <n v="45"/>
    <x v="0"/>
    <n v="161.07"/>
    <n v="80.534999999999997"/>
    <n v="2"/>
    <n v="1"/>
    <x v="0"/>
    <n v="0"/>
    <n v="1"/>
    <n v="0"/>
    <n v="12"/>
    <n v="3"/>
    <n v="1"/>
    <n v="1"/>
    <n v="5"/>
  </r>
  <r>
    <n v="730"/>
    <n v="48"/>
    <x v="2"/>
    <x v="0"/>
    <s v="Single"/>
    <x v="2"/>
    <x v="0"/>
    <n v="43"/>
    <x v="1"/>
    <n v="1247.79"/>
    <n v="207.965"/>
    <n v="6"/>
    <n v="1"/>
    <x v="0"/>
    <n v="0"/>
    <n v="0"/>
    <n v="1"/>
    <n v="105"/>
    <n v="1"/>
    <n v="2"/>
    <n v="2"/>
    <n v="5"/>
  </r>
  <r>
    <n v="731"/>
    <n v="42"/>
    <x v="3"/>
    <x v="1"/>
    <s v="Married"/>
    <x v="2"/>
    <x v="0"/>
    <n v="15"/>
    <x v="2"/>
    <n v="1559.5"/>
    <n v="194.9375"/>
    <n v="8"/>
    <n v="0"/>
    <x v="0"/>
    <n v="0"/>
    <n v="0"/>
    <n v="0"/>
    <n v="90"/>
    <n v="1"/>
    <n v="3"/>
    <n v="2"/>
    <n v="6"/>
  </r>
  <r>
    <n v="732"/>
    <n v="21"/>
    <x v="1"/>
    <x v="1"/>
    <s v="Married"/>
    <x v="0"/>
    <x v="0"/>
    <n v="35"/>
    <x v="0"/>
    <n v="1865.7199999999998"/>
    <n v="207.30222222222221"/>
    <n v="9"/>
    <n v="1"/>
    <x v="1"/>
    <n v="0"/>
    <n v="1"/>
    <n v="0"/>
    <n v="113"/>
    <n v="1"/>
    <n v="3"/>
    <n v="3"/>
    <n v="7"/>
  </r>
  <r>
    <n v="733"/>
    <n v="23"/>
    <x v="1"/>
    <x v="0"/>
    <s v="Divorced"/>
    <x v="0"/>
    <x v="1"/>
    <n v="6"/>
    <x v="2"/>
    <n v="681.14"/>
    <n v="227.04666666666665"/>
    <n v="3"/>
    <n v="2"/>
    <x v="1"/>
    <n v="0"/>
    <n v="1"/>
    <n v="0"/>
    <n v="50"/>
    <n v="2"/>
    <n v="2"/>
    <n v="1"/>
    <n v="5"/>
  </r>
  <r>
    <n v="734"/>
    <n v="58"/>
    <x v="2"/>
    <x v="0"/>
    <s v="Widowed"/>
    <x v="2"/>
    <x v="0"/>
    <n v="11"/>
    <x v="0"/>
    <n v="1047.1199999999999"/>
    <n v="209.42399999999998"/>
    <n v="5"/>
    <n v="2"/>
    <x v="1"/>
    <n v="1"/>
    <n v="1"/>
    <n v="0"/>
    <n v="61"/>
    <n v="2"/>
    <n v="2"/>
    <n v="2"/>
    <n v="6"/>
  </r>
  <r>
    <n v="735"/>
    <n v="54"/>
    <x v="2"/>
    <x v="1"/>
    <s v="Widowed"/>
    <x v="0"/>
    <x v="0"/>
    <n v="28"/>
    <x v="1"/>
    <n v="2165.4900000000002"/>
    <n v="270.68625000000003"/>
    <n v="8"/>
    <n v="2"/>
    <x v="1"/>
    <n v="0"/>
    <n v="0"/>
    <n v="1"/>
    <n v="16"/>
    <n v="3"/>
    <n v="3"/>
    <n v="3"/>
    <n v="9"/>
  </r>
  <r>
    <n v="736"/>
    <n v="67"/>
    <x v="0"/>
    <x v="1"/>
    <s v="Widowed"/>
    <x v="0"/>
    <x v="0"/>
    <n v="30"/>
    <x v="1"/>
    <n v="576.29999999999995"/>
    <n v="192.1"/>
    <n v="3"/>
    <n v="1"/>
    <x v="1"/>
    <n v="1"/>
    <n v="0"/>
    <n v="0"/>
    <n v="149"/>
    <n v="1"/>
    <n v="2"/>
    <n v="1"/>
    <n v="4"/>
  </r>
  <r>
    <n v="737"/>
    <n v="42"/>
    <x v="3"/>
    <x v="0"/>
    <s v="Married"/>
    <x v="1"/>
    <x v="0"/>
    <n v="16"/>
    <x v="0"/>
    <n v="2132.0499999999997"/>
    <n v="236.89444444444442"/>
    <n v="9"/>
    <n v="2"/>
    <x v="1"/>
    <n v="0"/>
    <n v="1"/>
    <n v="1"/>
    <n v="44"/>
    <n v="2"/>
    <n v="3"/>
    <n v="3"/>
    <n v="8"/>
  </r>
  <r>
    <n v="738"/>
    <n v="51"/>
    <x v="2"/>
    <x v="0"/>
    <s v="Divorced"/>
    <x v="2"/>
    <x v="0"/>
    <n v="28"/>
    <x v="0"/>
    <n v="675.36"/>
    <n v="225.12"/>
    <n v="3"/>
    <n v="2"/>
    <x v="1"/>
    <n v="1"/>
    <n v="0"/>
    <n v="0"/>
    <n v="228"/>
    <n v="1"/>
    <n v="2"/>
    <n v="1"/>
    <n v="4"/>
  </r>
  <r>
    <n v="739"/>
    <n v="36"/>
    <x v="3"/>
    <x v="0"/>
    <s v="Single"/>
    <x v="2"/>
    <x v="0"/>
    <n v="25"/>
    <x v="2"/>
    <n v="338.96999999999997"/>
    <n v="169.48499999999999"/>
    <n v="2"/>
    <n v="0"/>
    <x v="0"/>
    <n v="0"/>
    <n v="0"/>
    <n v="0"/>
    <n v="83"/>
    <n v="1"/>
    <n v="1"/>
    <n v="1"/>
    <n v="3"/>
  </r>
  <r>
    <n v="740"/>
    <n v="51"/>
    <x v="2"/>
    <x v="0"/>
    <s v="Widowed"/>
    <x v="2"/>
    <x v="0"/>
    <n v="48"/>
    <x v="2"/>
    <n v="2094.81"/>
    <n v="232.75666666666666"/>
    <n v="9"/>
    <n v="1"/>
    <x v="0"/>
    <n v="1"/>
    <n v="0"/>
    <n v="0"/>
    <n v="29"/>
    <n v="2"/>
    <n v="3"/>
    <n v="3"/>
    <n v="8"/>
  </r>
  <r>
    <n v="741"/>
    <n v="32"/>
    <x v="3"/>
    <x v="1"/>
    <s v="Married"/>
    <x v="2"/>
    <x v="0"/>
    <n v="30"/>
    <x v="1"/>
    <n v="2317.6600000000003"/>
    <n v="289.70750000000004"/>
    <n v="8"/>
    <n v="1"/>
    <x v="0"/>
    <n v="1"/>
    <n v="0"/>
    <n v="0"/>
    <n v="16"/>
    <n v="3"/>
    <n v="3"/>
    <n v="3"/>
    <n v="9"/>
  </r>
  <r>
    <n v="742"/>
    <n v="67"/>
    <x v="0"/>
    <x v="1"/>
    <s v="Divorced"/>
    <x v="2"/>
    <x v="1"/>
    <n v="45"/>
    <x v="2"/>
    <n v="583.1"/>
    <n v="291.55"/>
    <n v="2"/>
    <n v="0"/>
    <x v="0"/>
    <n v="0"/>
    <n v="0"/>
    <n v="0"/>
    <n v="183"/>
    <n v="1"/>
    <n v="1"/>
    <n v="1"/>
    <n v="3"/>
  </r>
  <r>
    <n v="743"/>
    <n v="25"/>
    <x v="1"/>
    <x v="1"/>
    <s v="Divorced"/>
    <x v="0"/>
    <x v="0"/>
    <n v="14"/>
    <x v="2"/>
    <n v="1118.4099999999999"/>
    <n v="279.60249999999996"/>
    <n v="4"/>
    <n v="2"/>
    <x v="0"/>
    <n v="1"/>
    <n v="0"/>
    <n v="1"/>
    <n v="16"/>
    <n v="3"/>
    <n v="2"/>
    <n v="2"/>
    <n v="7"/>
  </r>
  <r>
    <n v="744"/>
    <n v="61"/>
    <x v="0"/>
    <x v="1"/>
    <s v="Widowed"/>
    <x v="2"/>
    <x v="0"/>
    <n v="27"/>
    <x v="1"/>
    <n v="1132.03"/>
    <n v="188.67166666666665"/>
    <n v="6"/>
    <n v="0"/>
    <x v="0"/>
    <n v="0"/>
    <n v="0"/>
    <n v="0"/>
    <n v="79"/>
    <n v="2"/>
    <n v="2"/>
    <n v="2"/>
    <n v="6"/>
  </r>
  <r>
    <n v="745"/>
    <n v="64"/>
    <x v="0"/>
    <x v="1"/>
    <s v="Divorced"/>
    <x v="2"/>
    <x v="0"/>
    <n v="48"/>
    <x v="1"/>
    <n v="2639.2799999999997"/>
    <n v="293.25333333333333"/>
    <n v="9"/>
    <n v="0"/>
    <x v="0"/>
    <n v="0"/>
    <n v="0"/>
    <n v="0"/>
    <n v="34"/>
    <n v="2"/>
    <n v="3"/>
    <n v="3"/>
    <n v="8"/>
  </r>
  <r>
    <n v="746"/>
    <n v="66"/>
    <x v="0"/>
    <x v="0"/>
    <s v="Divorced"/>
    <x v="1"/>
    <x v="0"/>
    <n v="30"/>
    <x v="0"/>
    <n v="604.81999999999994"/>
    <n v="302.40999999999997"/>
    <n v="2"/>
    <n v="1"/>
    <x v="0"/>
    <n v="0"/>
    <n v="1"/>
    <n v="0"/>
    <n v="72"/>
    <n v="2"/>
    <n v="1"/>
    <n v="1"/>
    <n v="4"/>
  </r>
  <r>
    <n v="747"/>
    <n v="51"/>
    <x v="2"/>
    <x v="0"/>
    <s v="Married"/>
    <x v="0"/>
    <x v="0"/>
    <n v="10"/>
    <x v="2"/>
    <n v="967.07999999999993"/>
    <n v="241.76999999999998"/>
    <n v="4"/>
    <n v="2"/>
    <x v="1"/>
    <n v="1"/>
    <n v="0"/>
    <n v="1"/>
    <n v="6"/>
    <n v="3"/>
    <n v="2"/>
    <n v="2"/>
    <n v="7"/>
  </r>
  <r>
    <n v="748"/>
    <n v="35"/>
    <x v="3"/>
    <x v="1"/>
    <s v="Single"/>
    <x v="2"/>
    <x v="1"/>
    <n v="20"/>
    <x v="0"/>
    <n v="284.57"/>
    <n v="142.285"/>
    <n v="2"/>
    <n v="0"/>
    <x v="0"/>
    <n v="0"/>
    <n v="0"/>
    <n v="0"/>
    <n v="43"/>
    <n v="2"/>
    <n v="1"/>
    <n v="1"/>
    <n v="4"/>
  </r>
  <r>
    <n v="749"/>
    <n v="47"/>
    <x v="2"/>
    <x v="0"/>
    <s v="Divorced"/>
    <x v="2"/>
    <x v="0"/>
    <n v="44"/>
    <x v="2"/>
    <n v="618.27"/>
    <n v="206.09"/>
    <n v="3"/>
    <n v="2"/>
    <x v="1"/>
    <n v="1"/>
    <n v="1"/>
    <n v="0"/>
    <n v="9"/>
    <n v="3"/>
    <n v="2"/>
    <n v="1"/>
    <n v="6"/>
  </r>
  <r>
    <n v="750"/>
    <n v="30"/>
    <x v="1"/>
    <x v="1"/>
    <s v="Single"/>
    <x v="2"/>
    <x v="0"/>
    <n v="7"/>
    <x v="1"/>
    <n v="2600.41"/>
    <n v="325.05124999999998"/>
    <n v="8"/>
    <n v="2"/>
    <x v="1"/>
    <n v="0"/>
    <n v="0"/>
    <n v="1"/>
    <n v="26"/>
    <n v="3"/>
    <n v="3"/>
    <n v="3"/>
    <n v="9"/>
  </r>
  <r>
    <n v="751"/>
    <n v="64"/>
    <x v="0"/>
    <x v="1"/>
    <s v="Divorced"/>
    <x v="2"/>
    <x v="0"/>
    <n v="34"/>
    <x v="1"/>
    <n v="1172.3499999999999"/>
    <n v="195.39166666666665"/>
    <n v="6"/>
    <n v="1"/>
    <x v="0"/>
    <n v="1"/>
    <n v="0"/>
    <n v="0"/>
    <n v="96"/>
    <n v="1"/>
    <n v="2"/>
    <n v="2"/>
    <n v="5"/>
  </r>
  <r>
    <n v="752"/>
    <n v="50"/>
    <x v="2"/>
    <x v="1"/>
    <s v="Divorced"/>
    <x v="0"/>
    <x v="0"/>
    <n v="27"/>
    <x v="1"/>
    <n v="2056.7600000000002"/>
    <n v="228.5288888888889"/>
    <n v="9"/>
    <n v="2"/>
    <x v="0"/>
    <n v="0"/>
    <n v="0"/>
    <n v="1"/>
    <n v="25"/>
    <n v="3"/>
    <n v="3"/>
    <n v="3"/>
    <n v="9"/>
  </r>
  <r>
    <n v="753"/>
    <n v="52"/>
    <x v="2"/>
    <x v="1"/>
    <s v="Divorced"/>
    <x v="1"/>
    <x v="1"/>
    <n v="23"/>
    <x v="2"/>
    <n v="1560.95"/>
    <n v="260.15833333333336"/>
    <n v="6"/>
    <n v="2"/>
    <x v="1"/>
    <n v="1"/>
    <n v="1"/>
    <n v="0"/>
    <n v="45"/>
    <n v="2"/>
    <n v="2"/>
    <n v="2"/>
    <n v="6"/>
  </r>
  <r>
    <n v="754"/>
    <n v="69"/>
    <x v="0"/>
    <x v="0"/>
    <s v="Widowed"/>
    <x v="1"/>
    <x v="0"/>
    <n v="46"/>
    <x v="1"/>
    <n v="1122.07"/>
    <n v="280.51749999999998"/>
    <n v="4"/>
    <n v="0"/>
    <x v="0"/>
    <n v="0"/>
    <n v="0"/>
    <n v="0"/>
    <n v="66"/>
    <n v="2"/>
    <n v="2"/>
    <n v="2"/>
    <n v="6"/>
  </r>
  <r>
    <n v="755"/>
    <n v="41"/>
    <x v="3"/>
    <x v="1"/>
    <s v="Widowed"/>
    <x v="2"/>
    <x v="0"/>
    <n v="45"/>
    <x v="1"/>
    <n v="539.67999999999995"/>
    <n v="179.89333333333332"/>
    <n v="3"/>
    <n v="0"/>
    <x v="0"/>
    <n v="0"/>
    <n v="0"/>
    <n v="0"/>
    <n v="192"/>
    <n v="1"/>
    <n v="2"/>
    <n v="1"/>
    <n v="4"/>
  </r>
  <r>
    <n v="756"/>
    <n v="43"/>
    <x v="3"/>
    <x v="1"/>
    <s v="Widowed"/>
    <x v="1"/>
    <x v="0"/>
    <n v="25"/>
    <x v="0"/>
    <n v="2081.6999999999998"/>
    <n v="346.95"/>
    <n v="6"/>
    <n v="0"/>
    <x v="0"/>
    <n v="0"/>
    <n v="0"/>
    <n v="0"/>
    <n v="221"/>
    <n v="1"/>
    <n v="2"/>
    <n v="3"/>
    <n v="6"/>
  </r>
  <r>
    <n v="757"/>
    <n v="64"/>
    <x v="0"/>
    <x v="1"/>
    <s v="Single"/>
    <x v="1"/>
    <x v="1"/>
    <n v="28"/>
    <x v="0"/>
    <n v="1484.1200000000001"/>
    <n v="296.82400000000001"/>
    <n v="5"/>
    <n v="1"/>
    <x v="0"/>
    <n v="0"/>
    <n v="0"/>
    <n v="1"/>
    <n v="53"/>
    <n v="2"/>
    <n v="2"/>
    <n v="2"/>
    <n v="6"/>
  </r>
  <r>
    <n v="758"/>
    <n v="68"/>
    <x v="0"/>
    <x v="0"/>
    <s v="Single"/>
    <x v="1"/>
    <x v="0"/>
    <n v="18"/>
    <x v="2"/>
    <n v="1725.4999999999998"/>
    <n v="191.7222222222222"/>
    <n v="9"/>
    <n v="2"/>
    <x v="1"/>
    <n v="0"/>
    <n v="1"/>
    <n v="1"/>
    <n v="19"/>
    <n v="3"/>
    <n v="3"/>
    <n v="3"/>
    <n v="9"/>
  </r>
  <r>
    <n v="759"/>
    <n v="61"/>
    <x v="0"/>
    <x v="1"/>
    <s v="Widowed"/>
    <x v="1"/>
    <x v="0"/>
    <n v="13"/>
    <x v="1"/>
    <n v="575.97"/>
    <n v="287.98500000000001"/>
    <n v="2"/>
    <n v="1"/>
    <x v="0"/>
    <n v="1"/>
    <n v="0"/>
    <n v="0"/>
    <n v="291"/>
    <n v="1"/>
    <n v="1"/>
    <n v="1"/>
    <n v="3"/>
  </r>
  <r>
    <n v="760"/>
    <n v="59"/>
    <x v="2"/>
    <x v="0"/>
    <s v="Single"/>
    <x v="1"/>
    <x v="0"/>
    <n v="13"/>
    <x v="2"/>
    <n v="477.75"/>
    <n v="477.75"/>
    <n v="1"/>
    <n v="2"/>
    <x v="1"/>
    <n v="0"/>
    <n v="1"/>
    <n v="1"/>
    <n v="235"/>
    <n v="1"/>
    <n v="1"/>
    <n v="1"/>
    <n v="3"/>
  </r>
  <r>
    <n v="761"/>
    <n v="64"/>
    <x v="0"/>
    <x v="0"/>
    <s v="Married"/>
    <x v="0"/>
    <x v="0"/>
    <n v="45"/>
    <x v="2"/>
    <n v="1309.22"/>
    <n v="145.4688888888889"/>
    <n v="9"/>
    <n v="1"/>
    <x v="0"/>
    <n v="0"/>
    <n v="0"/>
    <n v="1"/>
    <n v="13"/>
    <n v="3"/>
    <n v="3"/>
    <n v="2"/>
    <n v="8"/>
  </r>
  <r>
    <n v="762"/>
    <n v="18"/>
    <x v="1"/>
    <x v="1"/>
    <s v="Single"/>
    <x v="0"/>
    <x v="1"/>
    <n v="34"/>
    <x v="0"/>
    <n v="2577.9499999999998"/>
    <n v="286.43888888888887"/>
    <n v="9"/>
    <n v="1"/>
    <x v="1"/>
    <n v="1"/>
    <n v="0"/>
    <n v="0"/>
    <n v="107"/>
    <n v="1"/>
    <n v="3"/>
    <n v="3"/>
    <n v="7"/>
  </r>
  <r>
    <n v="763"/>
    <n v="30"/>
    <x v="1"/>
    <x v="0"/>
    <s v="Married"/>
    <x v="0"/>
    <x v="1"/>
    <n v="14"/>
    <x v="0"/>
    <n v="693.13"/>
    <n v="138.626"/>
    <n v="5"/>
    <n v="2"/>
    <x v="0"/>
    <n v="1"/>
    <n v="0"/>
    <n v="1"/>
    <n v="50"/>
    <n v="2"/>
    <n v="2"/>
    <n v="1"/>
    <n v="5"/>
  </r>
  <r>
    <n v="764"/>
    <n v="27"/>
    <x v="1"/>
    <x v="0"/>
    <s v="Widowed"/>
    <x v="1"/>
    <x v="0"/>
    <n v="28"/>
    <x v="0"/>
    <n v="496.99"/>
    <n v="496.99"/>
    <n v="1"/>
    <n v="0"/>
    <x v="0"/>
    <n v="0"/>
    <n v="0"/>
    <n v="0"/>
    <n v="340"/>
    <n v="1"/>
    <n v="1"/>
    <n v="1"/>
    <n v="3"/>
  </r>
  <r>
    <n v="765"/>
    <n v="36"/>
    <x v="3"/>
    <x v="1"/>
    <s v="Married"/>
    <x v="0"/>
    <x v="0"/>
    <n v="13"/>
    <x v="2"/>
    <n v="1079.2"/>
    <n v="215.84"/>
    <n v="5"/>
    <n v="1"/>
    <x v="0"/>
    <n v="0"/>
    <n v="1"/>
    <n v="0"/>
    <n v="110"/>
    <n v="1"/>
    <n v="2"/>
    <n v="2"/>
    <n v="5"/>
  </r>
  <r>
    <n v="766"/>
    <n v="22"/>
    <x v="1"/>
    <x v="1"/>
    <s v="Widowed"/>
    <x v="1"/>
    <x v="0"/>
    <n v="34"/>
    <x v="1"/>
    <n v="910.23"/>
    <n v="303.41000000000003"/>
    <n v="3"/>
    <n v="2"/>
    <x v="0"/>
    <n v="1"/>
    <n v="0"/>
    <n v="1"/>
    <n v="206"/>
    <n v="1"/>
    <n v="2"/>
    <n v="2"/>
    <n v="5"/>
  </r>
  <r>
    <n v="767"/>
    <n v="25"/>
    <x v="1"/>
    <x v="0"/>
    <s v="Widowed"/>
    <x v="1"/>
    <x v="0"/>
    <n v="5"/>
    <x v="0"/>
    <n v="2189.69"/>
    <n v="273.71125000000001"/>
    <n v="8"/>
    <n v="0"/>
    <x v="0"/>
    <n v="0"/>
    <n v="0"/>
    <n v="0"/>
    <n v="9"/>
    <n v="3"/>
    <n v="3"/>
    <n v="3"/>
    <n v="9"/>
  </r>
  <r>
    <n v="768"/>
    <n v="21"/>
    <x v="1"/>
    <x v="1"/>
    <s v="Widowed"/>
    <x v="0"/>
    <x v="0"/>
    <n v="40"/>
    <x v="0"/>
    <n v="1068.46"/>
    <n v="213.69200000000001"/>
    <n v="5"/>
    <n v="0"/>
    <x v="0"/>
    <n v="0"/>
    <n v="0"/>
    <n v="0"/>
    <n v="136"/>
    <n v="1"/>
    <n v="2"/>
    <n v="2"/>
    <n v="5"/>
  </r>
  <r>
    <n v="769"/>
    <n v="66"/>
    <x v="0"/>
    <x v="0"/>
    <s v="Single"/>
    <x v="2"/>
    <x v="0"/>
    <n v="10"/>
    <x v="0"/>
    <n v="1257.4499999999998"/>
    <n v="251.48999999999995"/>
    <n v="5"/>
    <n v="2"/>
    <x v="1"/>
    <n v="1"/>
    <n v="1"/>
    <n v="0"/>
    <n v="180"/>
    <n v="1"/>
    <n v="2"/>
    <n v="2"/>
    <n v="5"/>
  </r>
  <r>
    <n v="770"/>
    <n v="30"/>
    <x v="1"/>
    <x v="1"/>
    <s v="Divorced"/>
    <x v="1"/>
    <x v="0"/>
    <n v="36"/>
    <x v="1"/>
    <n v="970.66999999999985"/>
    <n v="161.77833333333331"/>
    <n v="6"/>
    <n v="2"/>
    <x v="1"/>
    <n v="0"/>
    <n v="1"/>
    <n v="1"/>
    <n v="53"/>
    <n v="2"/>
    <n v="2"/>
    <n v="2"/>
    <n v="6"/>
  </r>
  <r>
    <n v="771"/>
    <n v="55"/>
    <x v="2"/>
    <x v="1"/>
    <s v="Divorced"/>
    <x v="1"/>
    <x v="0"/>
    <n v="6"/>
    <x v="2"/>
    <n v="1500.6299999999999"/>
    <n v="214.37571428571428"/>
    <n v="7"/>
    <n v="2"/>
    <x v="1"/>
    <n v="1"/>
    <n v="1"/>
    <n v="0"/>
    <n v="18"/>
    <n v="3"/>
    <n v="2"/>
    <n v="2"/>
    <n v="7"/>
  </r>
  <r>
    <n v="772"/>
    <n v="63"/>
    <x v="0"/>
    <x v="1"/>
    <s v="Married"/>
    <x v="0"/>
    <x v="0"/>
    <n v="21"/>
    <x v="2"/>
    <n v="1124.58"/>
    <n v="281.14499999999998"/>
    <n v="4"/>
    <n v="2"/>
    <x v="1"/>
    <n v="0"/>
    <n v="1"/>
    <n v="1"/>
    <n v="63"/>
    <n v="2"/>
    <n v="2"/>
    <n v="2"/>
    <n v="6"/>
  </r>
  <r>
    <n v="773"/>
    <n v="66"/>
    <x v="0"/>
    <x v="0"/>
    <s v="Divorced"/>
    <x v="1"/>
    <x v="0"/>
    <n v="35"/>
    <x v="1"/>
    <n v="1918.9099999999999"/>
    <n v="239.86374999999998"/>
    <n v="8"/>
    <n v="0"/>
    <x v="0"/>
    <n v="0"/>
    <n v="0"/>
    <n v="0"/>
    <n v="13"/>
    <n v="3"/>
    <n v="3"/>
    <n v="3"/>
    <n v="9"/>
  </r>
  <r>
    <n v="774"/>
    <n v="63"/>
    <x v="0"/>
    <x v="0"/>
    <s v="Widowed"/>
    <x v="1"/>
    <x v="0"/>
    <n v="16"/>
    <x v="2"/>
    <n v="41.49"/>
    <n v="41.49"/>
    <n v="1"/>
    <n v="0"/>
    <x v="0"/>
    <n v="0"/>
    <n v="0"/>
    <n v="0"/>
    <n v="331"/>
    <n v="1"/>
    <n v="1"/>
    <n v="1"/>
    <n v="3"/>
  </r>
  <r>
    <n v="775"/>
    <n v="36"/>
    <x v="3"/>
    <x v="0"/>
    <s v="Divorced"/>
    <x v="1"/>
    <x v="1"/>
    <n v="20"/>
    <x v="1"/>
    <n v="1586.8999999999999"/>
    <n v="317.38"/>
    <n v="5"/>
    <n v="1"/>
    <x v="0"/>
    <n v="0"/>
    <n v="0"/>
    <n v="1"/>
    <n v="29"/>
    <n v="2"/>
    <n v="2"/>
    <n v="3"/>
    <n v="7"/>
  </r>
  <r>
    <n v="776"/>
    <n v="69"/>
    <x v="0"/>
    <x v="1"/>
    <s v="Married"/>
    <x v="0"/>
    <x v="0"/>
    <n v="31"/>
    <x v="0"/>
    <n v="1647.73"/>
    <n v="329.54599999999999"/>
    <n v="5"/>
    <n v="2"/>
    <x v="1"/>
    <n v="1"/>
    <n v="0"/>
    <n v="1"/>
    <n v="8"/>
    <n v="3"/>
    <n v="2"/>
    <n v="3"/>
    <n v="8"/>
  </r>
  <r>
    <n v="777"/>
    <n v="67"/>
    <x v="0"/>
    <x v="0"/>
    <s v="Widowed"/>
    <x v="2"/>
    <x v="1"/>
    <n v="5"/>
    <x v="1"/>
    <n v="1488"/>
    <n v="248"/>
    <n v="6"/>
    <n v="0"/>
    <x v="0"/>
    <n v="0"/>
    <n v="0"/>
    <n v="0"/>
    <n v="87"/>
    <n v="1"/>
    <n v="2"/>
    <n v="2"/>
    <n v="5"/>
  </r>
  <r>
    <n v="778"/>
    <n v="25"/>
    <x v="1"/>
    <x v="1"/>
    <s v="Single"/>
    <x v="2"/>
    <x v="0"/>
    <n v="6"/>
    <x v="2"/>
    <n v="2064.5100000000002"/>
    <n v="229.39000000000001"/>
    <n v="9"/>
    <n v="2"/>
    <x v="1"/>
    <n v="1"/>
    <n v="1"/>
    <n v="0"/>
    <n v="50"/>
    <n v="2"/>
    <n v="3"/>
    <n v="3"/>
    <n v="8"/>
  </r>
  <r>
    <n v="779"/>
    <n v="44"/>
    <x v="3"/>
    <x v="1"/>
    <s v="Widowed"/>
    <x v="0"/>
    <x v="0"/>
    <n v="2"/>
    <x v="0"/>
    <n v="1563.0600000000002"/>
    <n v="260.51000000000005"/>
    <n v="6"/>
    <n v="1"/>
    <x v="0"/>
    <n v="0"/>
    <n v="1"/>
    <n v="0"/>
    <n v="29"/>
    <n v="2"/>
    <n v="2"/>
    <n v="2"/>
    <n v="6"/>
  </r>
  <r>
    <n v="780"/>
    <n v="67"/>
    <x v="0"/>
    <x v="0"/>
    <s v="Widowed"/>
    <x v="1"/>
    <x v="0"/>
    <n v="39"/>
    <x v="0"/>
    <n v="2107.59"/>
    <n v="301.08428571428573"/>
    <n v="7"/>
    <n v="1"/>
    <x v="1"/>
    <n v="1"/>
    <n v="0"/>
    <n v="0"/>
    <n v="29"/>
    <n v="2"/>
    <n v="2"/>
    <n v="3"/>
    <n v="7"/>
  </r>
  <r>
    <n v="781"/>
    <n v="64"/>
    <x v="0"/>
    <x v="1"/>
    <s v="Married"/>
    <x v="2"/>
    <x v="0"/>
    <n v="22"/>
    <x v="0"/>
    <n v="548.61"/>
    <n v="274.30500000000001"/>
    <n v="2"/>
    <n v="1"/>
    <x v="0"/>
    <n v="0"/>
    <n v="1"/>
    <n v="0"/>
    <n v="164"/>
    <n v="1"/>
    <n v="1"/>
    <n v="1"/>
    <n v="3"/>
  </r>
  <r>
    <n v="782"/>
    <n v="47"/>
    <x v="2"/>
    <x v="0"/>
    <s v="Single"/>
    <x v="0"/>
    <x v="1"/>
    <n v="11"/>
    <x v="0"/>
    <n v="1042.79"/>
    <n v="208.55799999999999"/>
    <n v="5"/>
    <n v="1"/>
    <x v="1"/>
    <n v="0"/>
    <n v="0"/>
    <n v="1"/>
    <n v="77"/>
    <n v="2"/>
    <n v="2"/>
    <n v="2"/>
    <n v="6"/>
  </r>
  <r>
    <n v="783"/>
    <n v="21"/>
    <x v="1"/>
    <x v="1"/>
    <s v="Widowed"/>
    <x v="0"/>
    <x v="0"/>
    <n v="15"/>
    <x v="1"/>
    <n v="1133.68"/>
    <n v="188.94666666666669"/>
    <n v="6"/>
    <n v="0"/>
    <x v="0"/>
    <n v="0"/>
    <n v="0"/>
    <n v="0"/>
    <n v="69"/>
    <n v="2"/>
    <n v="2"/>
    <n v="2"/>
    <n v="6"/>
  </r>
  <r>
    <n v="784"/>
    <n v="28"/>
    <x v="1"/>
    <x v="0"/>
    <s v="Single"/>
    <x v="1"/>
    <x v="0"/>
    <n v="13"/>
    <x v="2"/>
    <n v="1567.71"/>
    <n v="391.92750000000001"/>
    <n v="4"/>
    <n v="2"/>
    <x v="1"/>
    <n v="0"/>
    <n v="0"/>
    <n v="1"/>
    <n v="85"/>
    <n v="1"/>
    <n v="2"/>
    <n v="2"/>
    <n v="5"/>
  </r>
  <r>
    <n v="785"/>
    <n v="38"/>
    <x v="3"/>
    <x v="1"/>
    <s v="Widowed"/>
    <x v="1"/>
    <x v="0"/>
    <n v="33"/>
    <x v="2"/>
    <n v="1960.77"/>
    <n v="280.11"/>
    <n v="7"/>
    <n v="1"/>
    <x v="0"/>
    <n v="0"/>
    <n v="0"/>
    <n v="1"/>
    <n v="12"/>
    <n v="3"/>
    <n v="2"/>
    <n v="3"/>
    <n v="8"/>
  </r>
  <r>
    <n v="786"/>
    <n v="60"/>
    <x v="2"/>
    <x v="1"/>
    <s v="Widowed"/>
    <x v="0"/>
    <x v="0"/>
    <n v="46"/>
    <x v="0"/>
    <n v="2141.4"/>
    <n v="237.93333333333334"/>
    <n v="9"/>
    <n v="2"/>
    <x v="1"/>
    <n v="0"/>
    <n v="0"/>
    <n v="1"/>
    <n v="58"/>
    <n v="2"/>
    <n v="3"/>
    <n v="3"/>
    <n v="8"/>
  </r>
  <r>
    <n v="787"/>
    <n v="19"/>
    <x v="1"/>
    <x v="0"/>
    <s v="Married"/>
    <x v="0"/>
    <x v="0"/>
    <n v="14"/>
    <x v="1"/>
    <n v="1255.3800000000001"/>
    <n v="156.92250000000001"/>
    <n v="8"/>
    <n v="2"/>
    <x v="1"/>
    <n v="1"/>
    <n v="0"/>
    <n v="0"/>
    <n v="37"/>
    <n v="2"/>
    <n v="3"/>
    <n v="2"/>
    <n v="7"/>
  </r>
  <r>
    <n v="788"/>
    <n v="38"/>
    <x v="3"/>
    <x v="0"/>
    <s v="Widowed"/>
    <x v="0"/>
    <x v="1"/>
    <n v="39"/>
    <x v="2"/>
    <n v="1041.1499999999999"/>
    <n v="208.22999999999996"/>
    <n v="5"/>
    <n v="0"/>
    <x v="0"/>
    <n v="0"/>
    <n v="0"/>
    <n v="0"/>
    <n v="10"/>
    <n v="3"/>
    <n v="2"/>
    <n v="2"/>
    <n v="7"/>
  </r>
  <r>
    <n v="789"/>
    <n v="34"/>
    <x v="3"/>
    <x v="1"/>
    <s v="Widowed"/>
    <x v="2"/>
    <x v="1"/>
    <n v="2"/>
    <x v="1"/>
    <n v="1755.7"/>
    <n v="219.46250000000001"/>
    <n v="8"/>
    <n v="2"/>
    <x v="0"/>
    <n v="1"/>
    <n v="0"/>
    <n v="1"/>
    <n v="0"/>
    <n v="3"/>
    <n v="3"/>
    <n v="3"/>
    <n v="9"/>
  </r>
  <r>
    <n v="790"/>
    <n v="60"/>
    <x v="2"/>
    <x v="0"/>
    <s v="Widowed"/>
    <x v="1"/>
    <x v="0"/>
    <n v="10"/>
    <x v="1"/>
    <n v="2782.16"/>
    <n v="309.12888888888887"/>
    <n v="9"/>
    <n v="1"/>
    <x v="0"/>
    <n v="0"/>
    <n v="0"/>
    <n v="1"/>
    <n v="31"/>
    <n v="2"/>
    <n v="3"/>
    <n v="3"/>
    <n v="8"/>
  </r>
  <r>
    <n v="791"/>
    <n v="68"/>
    <x v="0"/>
    <x v="1"/>
    <s v="Divorced"/>
    <x v="0"/>
    <x v="1"/>
    <n v="42"/>
    <x v="1"/>
    <n v="441.32"/>
    <n v="220.66"/>
    <n v="2"/>
    <n v="2"/>
    <x v="0"/>
    <n v="0"/>
    <n v="1"/>
    <n v="1"/>
    <n v="68"/>
    <n v="2"/>
    <n v="1"/>
    <n v="1"/>
    <n v="4"/>
  </r>
  <r>
    <n v="792"/>
    <n v="46"/>
    <x v="2"/>
    <x v="1"/>
    <s v="Single"/>
    <x v="1"/>
    <x v="0"/>
    <n v="30"/>
    <x v="2"/>
    <n v="1381.17"/>
    <n v="276.23400000000004"/>
    <n v="5"/>
    <n v="2"/>
    <x v="1"/>
    <n v="0"/>
    <n v="1"/>
    <n v="1"/>
    <n v="12"/>
    <n v="3"/>
    <n v="2"/>
    <n v="2"/>
    <n v="7"/>
  </r>
  <r>
    <n v="793"/>
    <n v="44"/>
    <x v="3"/>
    <x v="1"/>
    <s v="Married"/>
    <x v="2"/>
    <x v="0"/>
    <n v="32"/>
    <x v="1"/>
    <n v="1189.1499999999999"/>
    <n v="198.19166666666663"/>
    <n v="6"/>
    <n v="1"/>
    <x v="0"/>
    <n v="0"/>
    <n v="1"/>
    <n v="0"/>
    <n v="167"/>
    <n v="1"/>
    <n v="2"/>
    <n v="2"/>
    <n v="5"/>
  </r>
  <r>
    <n v="794"/>
    <n v="41"/>
    <x v="3"/>
    <x v="1"/>
    <s v="Married"/>
    <x v="0"/>
    <x v="0"/>
    <n v="9"/>
    <x v="1"/>
    <n v="2430.75"/>
    <n v="405.125"/>
    <n v="6"/>
    <n v="2"/>
    <x v="0"/>
    <n v="1"/>
    <n v="0"/>
    <n v="0"/>
    <n v="30"/>
    <n v="2"/>
    <n v="2"/>
    <n v="3"/>
    <n v="7"/>
  </r>
  <r>
    <n v="795"/>
    <n v="66"/>
    <x v="0"/>
    <x v="1"/>
    <s v="Married"/>
    <x v="1"/>
    <x v="0"/>
    <n v="48"/>
    <x v="2"/>
    <n v="993.04"/>
    <n v="248.26"/>
    <n v="4"/>
    <n v="1"/>
    <x v="0"/>
    <n v="0"/>
    <n v="0"/>
    <n v="1"/>
    <n v="102"/>
    <n v="1"/>
    <n v="2"/>
    <n v="2"/>
    <n v="5"/>
  </r>
  <r>
    <n v="796"/>
    <n v="20"/>
    <x v="1"/>
    <x v="0"/>
    <s v="Widowed"/>
    <x v="2"/>
    <x v="0"/>
    <n v="16"/>
    <x v="1"/>
    <n v="2309.9500000000003"/>
    <n v="256.66111111111115"/>
    <n v="9"/>
    <n v="0"/>
    <x v="0"/>
    <n v="0"/>
    <n v="0"/>
    <n v="0"/>
    <n v="35"/>
    <n v="2"/>
    <n v="3"/>
    <n v="3"/>
    <n v="8"/>
  </r>
  <r>
    <n v="797"/>
    <n v="56"/>
    <x v="2"/>
    <x v="0"/>
    <s v="Single"/>
    <x v="0"/>
    <x v="0"/>
    <n v="39"/>
    <x v="1"/>
    <n v="922.22"/>
    <n v="230.55500000000001"/>
    <n v="4"/>
    <n v="1"/>
    <x v="0"/>
    <n v="0"/>
    <n v="1"/>
    <n v="0"/>
    <n v="26"/>
    <n v="3"/>
    <n v="2"/>
    <n v="2"/>
    <n v="7"/>
  </r>
  <r>
    <n v="798"/>
    <n v="27"/>
    <x v="1"/>
    <x v="0"/>
    <s v="Divorced"/>
    <x v="1"/>
    <x v="0"/>
    <n v="5"/>
    <x v="0"/>
    <n v="953.95"/>
    <n v="158.99166666666667"/>
    <n v="6"/>
    <n v="2"/>
    <x v="0"/>
    <n v="0"/>
    <n v="0"/>
    <n v="1"/>
    <n v="61"/>
    <n v="2"/>
    <n v="2"/>
    <n v="2"/>
    <n v="6"/>
  </r>
  <r>
    <n v="799"/>
    <n v="20"/>
    <x v="1"/>
    <x v="1"/>
    <s v="Divorced"/>
    <x v="0"/>
    <x v="1"/>
    <n v="46"/>
    <x v="0"/>
    <n v="912.13"/>
    <n v="228.0325"/>
    <n v="4"/>
    <n v="1"/>
    <x v="1"/>
    <n v="0"/>
    <n v="0"/>
    <n v="1"/>
    <n v="103"/>
    <n v="1"/>
    <n v="2"/>
    <n v="2"/>
    <n v="5"/>
  </r>
  <r>
    <n v="800"/>
    <n v="62"/>
    <x v="0"/>
    <x v="0"/>
    <s v="Married"/>
    <x v="1"/>
    <x v="0"/>
    <n v="15"/>
    <x v="2"/>
    <n v="1213.0900000000001"/>
    <n v="242.61800000000002"/>
    <n v="5"/>
    <n v="2"/>
    <x v="1"/>
    <n v="1"/>
    <n v="1"/>
    <n v="0"/>
    <n v="9"/>
    <n v="3"/>
    <n v="2"/>
    <n v="2"/>
    <n v="7"/>
  </r>
  <r>
    <n v="801"/>
    <n v="59"/>
    <x v="2"/>
    <x v="0"/>
    <s v="Single"/>
    <x v="1"/>
    <x v="0"/>
    <n v="4"/>
    <x v="1"/>
    <n v="1621.9899999999998"/>
    <n v="231.7128571428571"/>
    <n v="7"/>
    <n v="0"/>
    <x v="0"/>
    <n v="0"/>
    <n v="0"/>
    <n v="0"/>
    <n v="1"/>
    <n v="3"/>
    <n v="2"/>
    <n v="3"/>
    <n v="8"/>
  </r>
  <r>
    <n v="802"/>
    <n v="43"/>
    <x v="3"/>
    <x v="0"/>
    <s v="Divorced"/>
    <x v="2"/>
    <x v="0"/>
    <n v="24"/>
    <x v="0"/>
    <n v="504.29"/>
    <n v="252.14500000000001"/>
    <n v="2"/>
    <n v="2"/>
    <x v="1"/>
    <n v="0"/>
    <n v="1"/>
    <n v="0"/>
    <n v="26"/>
    <n v="3"/>
    <n v="1"/>
    <n v="1"/>
    <n v="5"/>
  </r>
  <r>
    <n v="803"/>
    <n v="54"/>
    <x v="2"/>
    <x v="1"/>
    <s v="Married"/>
    <x v="2"/>
    <x v="0"/>
    <n v="25"/>
    <x v="1"/>
    <n v="2136.3900000000003"/>
    <n v="267.04875000000004"/>
    <n v="8"/>
    <n v="1"/>
    <x v="1"/>
    <n v="0"/>
    <n v="0"/>
    <n v="1"/>
    <n v="5"/>
    <n v="3"/>
    <n v="3"/>
    <n v="3"/>
    <n v="9"/>
  </r>
  <r>
    <n v="804"/>
    <n v="44"/>
    <x v="3"/>
    <x v="0"/>
    <s v="Divorced"/>
    <x v="2"/>
    <x v="0"/>
    <n v="37"/>
    <x v="1"/>
    <n v="2218.5300000000002"/>
    <n v="316.93285714285719"/>
    <n v="7"/>
    <n v="1"/>
    <x v="0"/>
    <n v="0"/>
    <n v="1"/>
    <n v="0"/>
    <n v="20"/>
    <n v="3"/>
    <n v="2"/>
    <n v="3"/>
    <n v="8"/>
  </r>
  <r>
    <n v="805"/>
    <n v="22"/>
    <x v="1"/>
    <x v="0"/>
    <s v="Divorced"/>
    <x v="2"/>
    <x v="0"/>
    <n v="24"/>
    <x v="1"/>
    <n v="1100.6200000000001"/>
    <n v="183.4366666666667"/>
    <n v="6"/>
    <n v="1"/>
    <x v="0"/>
    <n v="1"/>
    <n v="0"/>
    <n v="0"/>
    <n v="2"/>
    <n v="3"/>
    <n v="2"/>
    <n v="2"/>
    <n v="7"/>
  </r>
  <r>
    <n v="806"/>
    <n v="59"/>
    <x v="2"/>
    <x v="0"/>
    <s v="Single"/>
    <x v="2"/>
    <x v="1"/>
    <n v="42"/>
    <x v="2"/>
    <n v="421.3"/>
    <n v="140.43333333333334"/>
    <n v="3"/>
    <n v="1"/>
    <x v="0"/>
    <n v="1"/>
    <n v="0"/>
    <n v="0"/>
    <n v="55"/>
    <n v="2"/>
    <n v="2"/>
    <n v="1"/>
    <n v="5"/>
  </r>
  <r>
    <n v="807"/>
    <n v="28"/>
    <x v="1"/>
    <x v="1"/>
    <s v="Married"/>
    <x v="1"/>
    <x v="1"/>
    <n v="13"/>
    <x v="0"/>
    <n v="1217.4100000000001"/>
    <n v="304.35250000000002"/>
    <n v="4"/>
    <n v="0"/>
    <x v="0"/>
    <n v="0"/>
    <n v="0"/>
    <n v="0"/>
    <n v="42"/>
    <n v="2"/>
    <n v="2"/>
    <n v="2"/>
    <n v="6"/>
  </r>
  <r>
    <n v="808"/>
    <n v="30"/>
    <x v="1"/>
    <x v="0"/>
    <s v="Divorced"/>
    <x v="2"/>
    <x v="0"/>
    <n v="20"/>
    <x v="2"/>
    <n v="1759.6299999999999"/>
    <n v="293.27166666666665"/>
    <n v="6"/>
    <n v="2"/>
    <x v="1"/>
    <n v="0"/>
    <n v="0"/>
    <n v="1"/>
    <n v="85"/>
    <n v="1"/>
    <n v="2"/>
    <n v="3"/>
    <n v="6"/>
  </r>
  <r>
    <n v="809"/>
    <n v="58"/>
    <x v="2"/>
    <x v="1"/>
    <s v="Widowed"/>
    <x v="1"/>
    <x v="0"/>
    <n v="5"/>
    <x v="0"/>
    <n v="1482.3600000000001"/>
    <n v="164.70666666666668"/>
    <n v="9"/>
    <n v="0"/>
    <x v="0"/>
    <n v="0"/>
    <n v="0"/>
    <n v="0"/>
    <n v="24"/>
    <n v="3"/>
    <n v="3"/>
    <n v="2"/>
    <n v="8"/>
  </r>
  <r>
    <n v="810"/>
    <n v="51"/>
    <x v="2"/>
    <x v="1"/>
    <s v="Widowed"/>
    <x v="1"/>
    <x v="0"/>
    <n v="20"/>
    <x v="2"/>
    <n v="1290.08"/>
    <n v="322.52"/>
    <n v="4"/>
    <n v="1"/>
    <x v="0"/>
    <n v="1"/>
    <n v="0"/>
    <n v="0"/>
    <n v="112"/>
    <n v="1"/>
    <n v="2"/>
    <n v="2"/>
    <n v="5"/>
  </r>
  <r>
    <n v="811"/>
    <n v="55"/>
    <x v="2"/>
    <x v="0"/>
    <s v="Divorced"/>
    <x v="0"/>
    <x v="0"/>
    <n v="18"/>
    <x v="2"/>
    <n v="871.11"/>
    <n v="435.55500000000001"/>
    <n v="2"/>
    <n v="1"/>
    <x v="0"/>
    <n v="1"/>
    <n v="0"/>
    <n v="0"/>
    <n v="265"/>
    <n v="1"/>
    <n v="1"/>
    <n v="2"/>
    <n v="4"/>
  </r>
  <r>
    <n v="812"/>
    <n v="57"/>
    <x v="2"/>
    <x v="1"/>
    <s v="Single"/>
    <x v="1"/>
    <x v="1"/>
    <n v="39"/>
    <x v="0"/>
    <n v="2042.2899999999997"/>
    <n v="291.75571428571425"/>
    <n v="7"/>
    <n v="2"/>
    <x v="0"/>
    <n v="1"/>
    <n v="0"/>
    <n v="1"/>
    <n v="12"/>
    <n v="3"/>
    <n v="2"/>
    <n v="3"/>
    <n v="8"/>
  </r>
  <r>
    <n v="813"/>
    <n v="50"/>
    <x v="2"/>
    <x v="0"/>
    <s v="Single"/>
    <x v="1"/>
    <x v="0"/>
    <n v="49"/>
    <x v="1"/>
    <n v="2206.29"/>
    <n v="275.78625"/>
    <n v="8"/>
    <n v="0"/>
    <x v="0"/>
    <n v="0"/>
    <n v="0"/>
    <n v="0"/>
    <n v="7"/>
    <n v="3"/>
    <n v="3"/>
    <n v="3"/>
    <n v="9"/>
  </r>
  <r>
    <n v="814"/>
    <n v="51"/>
    <x v="2"/>
    <x v="1"/>
    <s v="Divorced"/>
    <x v="2"/>
    <x v="0"/>
    <n v="3"/>
    <x v="2"/>
    <n v="1650.27"/>
    <n v="183.36333333333334"/>
    <n v="9"/>
    <n v="2"/>
    <x v="0"/>
    <n v="0"/>
    <n v="1"/>
    <n v="1"/>
    <n v="41"/>
    <n v="2"/>
    <n v="3"/>
    <n v="3"/>
    <n v="8"/>
  </r>
  <r>
    <n v="815"/>
    <n v="44"/>
    <x v="3"/>
    <x v="0"/>
    <s v="Single"/>
    <x v="1"/>
    <x v="0"/>
    <n v="44"/>
    <x v="2"/>
    <n v="493.38"/>
    <n v="246.69"/>
    <n v="2"/>
    <n v="0"/>
    <x v="0"/>
    <n v="0"/>
    <n v="0"/>
    <n v="0"/>
    <n v="14"/>
    <n v="3"/>
    <n v="1"/>
    <n v="1"/>
    <n v="5"/>
  </r>
  <r>
    <n v="816"/>
    <n v="53"/>
    <x v="2"/>
    <x v="0"/>
    <s v="Single"/>
    <x v="2"/>
    <x v="0"/>
    <n v="31"/>
    <x v="2"/>
    <n v="1299.3699999999999"/>
    <n v="162.42124999999999"/>
    <n v="8"/>
    <n v="0"/>
    <x v="0"/>
    <n v="0"/>
    <n v="0"/>
    <n v="0"/>
    <n v="66"/>
    <n v="2"/>
    <n v="3"/>
    <n v="2"/>
    <n v="7"/>
  </r>
  <r>
    <n v="817"/>
    <n v="43"/>
    <x v="3"/>
    <x v="1"/>
    <s v="Widowed"/>
    <x v="1"/>
    <x v="0"/>
    <n v="30"/>
    <x v="1"/>
    <n v="337.9"/>
    <n v="84.474999999999994"/>
    <n v="4"/>
    <n v="0"/>
    <x v="0"/>
    <n v="0"/>
    <n v="0"/>
    <n v="0"/>
    <n v="134"/>
    <n v="1"/>
    <n v="2"/>
    <n v="1"/>
    <n v="4"/>
  </r>
  <r>
    <n v="818"/>
    <n v="68"/>
    <x v="0"/>
    <x v="0"/>
    <s v="Married"/>
    <x v="1"/>
    <x v="0"/>
    <n v="41"/>
    <x v="2"/>
    <n v="1295.7399999999998"/>
    <n v="161.96749999999997"/>
    <n v="8"/>
    <n v="1"/>
    <x v="0"/>
    <n v="1"/>
    <n v="0"/>
    <n v="0"/>
    <n v="15"/>
    <n v="3"/>
    <n v="3"/>
    <n v="2"/>
    <n v="8"/>
  </r>
  <r>
    <n v="819"/>
    <n v="42"/>
    <x v="3"/>
    <x v="1"/>
    <s v="Married"/>
    <x v="2"/>
    <x v="0"/>
    <n v="24"/>
    <x v="1"/>
    <n v="985.2600000000001"/>
    <n v="197.05200000000002"/>
    <n v="5"/>
    <n v="1"/>
    <x v="1"/>
    <n v="0"/>
    <n v="0"/>
    <n v="1"/>
    <n v="57"/>
    <n v="2"/>
    <n v="2"/>
    <n v="2"/>
    <n v="6"/>
  </r>
  <r>
    <n v="820"/>
    <n v="36"/>
    <x v="3"/>
    <x v="0"/>
    <s v="Divorced"/>
    <x v="0"/>
    <x v="0"/>
    <n v="5"/>
    <x v="2"/>
    <n v="566.46"/>
    <n v="283.23"/>
    <n v="2"/>
    <n v="0"/>
    <x v="0"/>
    <n v="0"/>
    <n v="0"/>
    <n v="0"/>
    <n v="54"/>
    <n v="2"/>
    <n v="1"/>
    <n v="1"/>
    <n v="4"/>
  </r>
  <r>
    <n v="821"/>
    <n v="38"/>
    <x v="3"/>
    <x v="1"/>
    <s v="Divorced"/>
    <x v="1"/>
    <x v="0"/>
    <n v="20"/>
    <x v="0"/>
    <n v="304.95"/>
    <n v="152.47499999999999"/>
    <n v="2"/>
    <n v="1"/>
    <x v="0"/>
    <n v="1"/>
    <n v="0"/>
    <n v="0"/>
    <n v="112"/>
    <n v="1"/>
    <n v="1"/>
    <n v="1"/>
    <n v="3"/>
  </r>
  <r>
    <n v="822"/>
    <n v="48"/>
    <x v="2"/>
    <x v="1"/>
    <s v="Divorced"/>
    <x v="1"/>
    <x v="0"/>
    <n v="24"/>
    <x v="0"/>
    <n v="2275.2399999999998"/>
    <n v="252.80444444444441"/>
    <n v="9"/>
    <n v="2"/>
    <x v="1"/>
    <n v="1"/>
    <n v="1"/>
    <n v="0"/>
    <n v="133"/>
    <n v="1"/>
    <n v="3"/>
    <n v="3"/>
    <n v="7"/>
  </r>
  <r>
    <n v="823"/>
    <n v="46"/>
    <x v="2"/>
    <x v="1"/>
    <s v="Widowed"/>
    <x v="2"/>
    <x v="1"/>
    <n v="17"/>
    <x v="2"/>
    <n v="651.38"/>
    <n v="217.12666666666667"/>
    <n v="3"/>
    <n v="1"/>
    <x v="0"/>
    <n v="0"/>
    <n v="1"/>
    <n v="0"/>
    <n v="125"/>
    <n v="1"/>
    <n v="2"/>
    <n v="1"/>
    <n v="4"/>
  </r>
  <r>
    <n v="824"/>
    <n v="26"/>
    <x v="1"/>
    <x v="1"/>
    <s v="Widowed"/>
    <x v="2"/>
    <x v="0"/>
    <n v="8"/>
    <x v="2"/>
    <n v="318.01"/>
    <n v="318.01"/>
    <n v="1"/>
    <n v="0"/>
    <x v="0"/>
    <n v="0"/>
    <n v="0"/>
    <n v="0"/>
    <n v="169"/>
    <n v="1"/>
    <n v="1"/>
    <n v="1"/>
    <n v="3"/>
  </r>
  <r>
    <n v="825"/>
    <n v="36"/>
    <x v="3"/>
    <x v="1"/>
    <s v="Single"/>
    <x v="0"/>
    <x v="0"/>
    <n v="21"/>
    <x v="1"/>
    <n v="1087.0500000000002"/>
    <n v="120.78333333333336"/>
    <n v="9"/>
    <n v="0"/>
    <x v="0"/>
    <n v="0"/>
    <n v="0"/>
    <n v="0"/>
    <n v="27"/>
    <n v="3"/>
    <n v="3"/>
    <n v="2"/>
    <n v="8"/>
  </r>
  <r>
    <n v="826"/>
    <n v="43"/>
    <x v="3"/>
    <x v="0"/>
    <s v="Widowed"/>
    <x v="0"/>
    <x v="1"/>
    <n v="14"/>
    <x v="0"/>
    <n v="1099.45"/>
    <n v="183.24166666666667"/>
    <n v="6"/>
    <n v="1"/>
    <x v="1"/>
    <n v="1"/>
    <n v="0"/>
    <n v="0"/>
    <n v="113"/>
    <n v="1"/>
    <n v="2"/>
    <n v="2"/>
    <n v="5"/>
  </r>
  <r>
    <n v="827"/>
    <n v="42"/>
    <x v="3"/>
    <x v="0"/>
    <s v="Married"/>
    <x v="0"/>
    <x v="1"/>
    <n v="38"/>
    <x v="2"/>
    <n v="2317.9299999999998"/>
    <n v="386.32166666666666"/>
    <n v="6"/>
    <n v="0"/>
    <x v="0"/>
    <n v="0"/>
    <n v="0"/>
    <n v="0"/>
    <n v="16"/>
    <n v="3"/>
    <n v="2"/>
    <n v="3"/>
    <n v="8"/>
  </r>
  <r>
    <n v="828"/>
    <n v="57"/>
    <x v="2"/>
    <x v="1"/>
    <s v="Widowed"/>
    <x v="1"/>
    <x v="0"/>
    <n v="32"/>
    <x v="2"/>
    <n v="1361.59"/>
    <n v="340.39749999999998"/>
    <n v="4"/>
    <n v="1"/>
    <x v="1"/>
    <n v="0"/>
    <n v="0"/>
    <n v="1"/>
    <n v="55"/>
    <n v="2"/>
    <n v="2"/>
    <n v="2"/>
    <n v="6"/>
  </r>
  <r>
    <n v="829"/>
    <n v="60"/>
    <x v="2"/>
    <x v="0"/>
    <s v="Divorced"/>
    <x v="1"/>
    <x v="0"/>
    <n v="36"/>
    <x v="2"/>
    <n v="144.37"/>
    <n v="144.37"/>
    <n v="1"/>
    <n v="0"/>
    <x v="0"/>
    <n v="0"/>
    <n v="0"/>
    <n v="0"/>
    <n v="144"/>
    <n v="1"/>
    <n v="1"/>
    <n v="1"/>
    <n v="3"/>
  </r>
  <r>
    <n v="830"/>
    <n v="46"/>
    <x v="2"/>
    <x v="0"/>
    <s v="Married"/>
    <x v="2"/>
    <x v="0"/>
    <n v="40"/>
    <x v="1"/>
    <n v="395.99"/>
    <n v="197.995"/>
    <n v="2"/>
    <n v="0"/>
    <x v="0"/>
    <n v="0"/>
    <n v="0"/>
    <n v="0"/>
    <n v="69"/>
    <n v="2"/>
    <n v="1"/>
    <n v="1"/>
    <n v="4"/>
  </r>
  <r>
    <n v="831"/>
    <n v="42"/>
    <x v="3"/>
    <x v="1"/>
    <s v="Single"/>
    <x v="2"/>
    <x v="1"/>
    <n v="4"/>
    <x v="0"/>
    <n v="1417.9499999999998"/>
    <n v="177.24374999999998"/>
    <n v="8"/>
    <n v="1"/>
    <x v="1"/>
    <n v="0"/>
    <n v="1"/>
    <n v="0"/>
    <n v="20"/>
    <n v="3"/>
    <n v="3"/>
    <n v="2"/>
    <n v="8"/>
  </r>
  <r>
    <n v="832"/>
    <n v="36"/>
    <x v="3"/>
    <x v="1"/>
    <s v="Married"/>
    <x v="2"/>
    <x v="0"/>
    <n v="21"/>
    <x v="1"/>
    <n v="1463.62"/>
    <n v="292.72399999999999"/>
    <n v="5"/>
    <n v="0"/>
    <x v="0"/>
    <n v="0"/>
    <n v="0"/>
    <n v="0"/>
    <n v="39"/>
    <n v="2"/>
    <n v="2"/>
    <n v="2"/>
    <n v="6"/>
  </r>
  <r>
    <n v="833"/>
    <n v="21"/>
    <x v="1"/>
    <x v="1"/>
    <s v="Widowed"/>
    <x v="0"/>
    <x v="0"/>
    <n v="25"/>
    <x v="0"/>
    <n v="1000.7900000000001"/>
    <n v="200.15800000000002"/>
    <n v="5"/>
    <n v="1"/>
    <x v="1"/>
    <n v="0"/>
    <n v="1"/>
    <n v="0"/>
    <n v="52"/>
    <n v="2"/>
    <n v="2"/>
    <n v="2"/>
    <n v="6"/>
  </r>
  <r>
    <n v="834"/>
    <n v="62"/>
    <x v="0"/>
    <x v="1"/>
    <s v="Widowed"/>
    <x v="0"/>
    <x v="0"/>
    <n v="45"/>
    <x v="0"/>
    <n v="1521.86"/>
    <n v="304.37199999999996"/>
    <n v="5"/>
    <n v="1"/>
    <x v="1"/>
    <n v="0"/>
    <n v="1"/>
    <n v="0"/>
    <n v="13"/>
    <n v="3"/>
    <n v="2"/>
    <n v="2"/>
    <n v="7"/>
  </r>
  <r>
    <n v="835"/>
    <n v="37"/>
    <x v="3"/>
    <x v="0"/>
    <s v="Single"/>
    <x v="0"/>
    <x v="0"/>
    <n v="1"/>
    <x v="0"/>
    <n v="825.2"/>
    <n v="165.04000000000002"/>
    <n v="5"/>
    <n v="1"/>
    <x v="0"/>
    <n v="1"/>
    <n v="0"/>
    <n v="0"/>
    <n v="97"/>
    <n v="1"/>
    <n v="2"/>
    <n v="1"/>
    <n v="4"/>
  </r>
  <r>
    <n v="836"/>
    <n v="63"/>
    <x v="0"/>
    <x v="0"/>
    <s v="Divorced"/>
    <x v="1"/>
    <x v="1"/>
    <n v="47"/>
    <x v="0"/>
    <n v="1130.44"/>
    <n v="188.40666666666667"/>
    <n v="6"/>
    <n v="2"/>
    <x v="0"/>
    <n v="1"/>
    <n v="0"/>
    <n v="1"/>
    <n v="166"/>
    <n v="1"/>
    <n v="2"/>
    <n v="2"/>
    <n v="5"/>
  </r>
  <r>
    <n v="837"/>
    <n v="18"/>
    <x v="1"/>
    <x v="1"/>
    <s v="Single"/>
    <x v="1"/>
    <x v="0"/>
    <n v="13"/>
    <x v="1"/>
    <n v="1600.01"/>
    <n v="228.57285714285715"/>
    <n v="7"/>
    <n v="0"/>
    <x v="0"/>
    <n v="0"/>
    <n v="0"/>
    <n v="0"/>
    <n v="57"/>
    <n v="2"/>
    <n v="2"/>
    <n v="3"/>
    <n v="7"/>
  </r>
  <r>
    <n v="838"/>
    <n v="28"/>
    <x v="1"/>
    <x v="0"/>
    <s v="Single"/>
    <x v="2"/>
    <x v="0"/>
    <n v="16"/>
    <x v="2"/>
    <n v="1729.93"/>
    <n v="192.21444444444444"/>
    <n v="9"/>
    <n v="2"/>
    <x v="1"/>
    <n v="1"/>
    <n v="0"/>
    <n v="1"/>
    <n v="10"/>
    <n v="3"/>
    <n v="3"/>
    <n v="3"/>
    <n v="9"/>
  </r>
  <r>
    <n v="839"/>
    <n v="21"/>
    <x v="1"/>
    <x v="0"/>
    <s v="Single"/>
    <x v="0"/>
    <x v="0"/>
    <n v="29"/>
    <x v="0"/>
    <n v="1182.5999999999999"/>
    <n v="236.51999999999998"/>
    <n v="5"/>
    <n v="0"/>
    <x v="0"/>
    <n v="0"/>
    <n v="0"/>
    <n v="0"/>
    <n v="15"/>
    <n v="3"/>
    <n v="2"/>
    <n v="2"/>
    <n v="7"/>
  </r>
  <r>
    <n v="840"/>
    <n v="24"/>
    <x v="1"/>
    <x v="1"/>
    <s v="Single"/>
    <x v="1"/>
    <x v="0"/>
    <n v="39"/>
    <x v="0"/>
    <n v="997.82999999999993"/>
    <n v="199.56599999999997"/>
    <n v="5"/>
    <n v="1"/>
    <x v="0"/>
    <n v="1"/>
    <n v="0"/>
    <n v="0"/>
    <n v="7"/>
    <n v="3"/>
    <n v="2"/>
    <n v="2"/>
    <n v="7"/>
  </r>
  <r>
    <n v="841"/>
    <n v="45"/>
    <x v="3"/>
    <x v="0"/>
    <s v="Widowed"/>
    <x v="0"/>
    <x v="1"/>
    <n v="29"/>
    <x v="1"/>
    <n v="1829.4599999999998"/>
    <n v="228.68249999999998"/>
    <n v="8"/>
    <n v="1"/>
    <x v="1"/>
    <n v="0"/>
    <n v="0"/>
    <n v="1"/>
    <n v="17"/>
    <n v="3"/>
    <n v="3"/>
    <n v="3"/>
    <n v="9"/>
  </r>
  <r>
    <n v="842"/>
    <n v="53"/>
    <x v="2"/>
    <x v="0"/>
    <s v="Divorced"/>
    <x v="1"/>
    <x v="0"/>
    <n v="12"/>
    <x v="0"/>
    <n v="2806.69"/>
    <n v="350.83625000000001"/>
    <n v="8"/>
    <n v="1"/>
    <x v="0"/>
    <n v="1"/>
    <n v="0"/>
    <n v="0"/>
    <n v="27"/>
    <n v="3"/>
    <n v="3"/>
    <n v="3"/>
    <n v="9"/>
  </r>
  <r>
    <n v="843"/>
    <n v="24"/>
    <x v="1"/>
    <x v="1"/>
    <s v="Married"/>
    <x v="0"/>
    <x v="0"/>
    <n v="31"/>
    <x v="1"/>
    <n v="1069.53"/>
    <n v="213.90600000000001"/>
    <n v="5"/>
    <n v="1"/>
    <x v="0"/>
    <n v="1"/>
    <n v="0"/>
    <n v="0"/>
    <n v="28"/>
    <n v="3"/>
    <n v="2"/>
    <n v="2"/>
    <n v="7"/>
  </r>
  <r>
    <n v="844"/>
    <n v="37"/>
    <x v="3"/>
    <x v="0"/>
    <s v="Divorced"/>
    <x v="1"/>
    <x v="0"/>
    <n v="20"/>
    <x v="0"/>
    <n v="1505.23"/>
    <n v="250.87166666666667"/>
    <n v="6"/>
    <n v="0"/>
    <x v="0"/>
    <n v="0"/>
    <n v="0"/>
    <n v="0"/>
    <n v="28"/>
    <n v="3"/>
    <n v="2"/>
    <n v="2"/>
    <n v="7"/>
  </r>
  <r>
    <n v="845"/>
    <n v="52"/>
    <x v="2"/>
    <x v="0"/>
    <s v="Divorced"/>
    <x v="1"/>
    <x v="0"/>
    <n v="35"/>
    <x v="2"/>
    <n v="2238.86"/>
    <n v="279.85750000000002"/>
    <n v="8"/>
    <n v="0"/>
    <x v="0"/>
    <n v="0"/>
    <n v="0"/>
    <n v="0"/>
    <n v="8"/>
    <n v="3"/>
    <n v="3"/>
    <n v="3"/>
    <n v="9"/>
  </r>
  <r>
    <n v="846"/>
    <n v="68"/>
    <x v="0"/>
    <x v="0"/>
    <s v="Single"/>
    <x v="1"/>
    <x v="0"/>
    <n v="41"/>
    <x v="0"/>
    <n v="1667.48"/>
    <n v="333.49599999999998"/>
    <n v="5"/>
    <n v="0"/>
    <x v="0"/>
    <n v="0"/>
    <n v="0"/>
    <n v="0"/>
    <n v="42"/>
    <n v="2"/>
    <n v="2"/>
    <n v="3"/>
    <n v="7"/>
  </r>
  <r>
    <n v="847"/>
    <n v="68"/>
    <x v="0"/>
    <x v="1"/>
    <s v="Divorced"/>
    <x v="1"/>
    <x v="0"/>
    <n v="28"/>
    <x v="2"/>
    <n v="1672.9299999999998"/>
    <n v="278.82166666666666"/>
    <n v="6"/>
    <n v="2"/>
    <x v="0"/>
    <n v="1"/>
    <n v="1"/>
    <n v="0"/>
    <n v="136"/>
    <n v="1"/>
    <n v="2"/>
    <n v="3"/>
    <n v="6"/>
  </r>
  <r>
    <n v="848"/>
    <n v="56"/>
    <x v="2"/>
    <x v="1"/>
    <s v="Single"/>
    <x v="2"/>
    <x v="1"/>
    <n v="35"/>
    <x v="0"/>
    <n v="690.16000000000008"/>
    <n v="345.08000000000004"/>
    <n v="2"/>
    <n v="2"/>
    <x v="1"/>
    <n v="0"/>
    <n v="1"/>
    <n v="1"/>
    <n v="54"/>
    <n v="2"/>
    <n v="1"/>
    <n v="1"/>
    <n v="4"/>
  </r>
  <r>
    <n v="849"/>
    <n v="38"/>
    <x v="3"/>
    <x v="0"/>
    <s v="Married"/>
    <x v="0"/>
    <x v="0"/>
    <n v="29"/>
    <x v="1"/>
    <n v="830.54000000000008"/>
    <n v="166.108"/>
    <n v="5"/>
    <n v="2"/>
    <x v="1"/>
    <n v="1"/>
    <n v="1"/>
    <n v="0"/>
    <n v="20"/>
    <n v="3"/>
    <n v="2"/>
    <n v="1"/>
    <n v="6"/>
  </r>
  <r>
    <n v="850"/>
    <n v="61"/>
    <x v="0"/>
    <x v="1"/>
    <s v="Single"/>
    <x v="1"/>
    <x v="1"/>
    <n v="44"/>
    <x v="0"/>
    <n v="38.119999999999997"/>
    <n v="38.119999999999997"/>
    <n v="1"/>
    <n v="0"/>
    <x v="0"/>
    <n v="0"/>
    <n v="0"/>
    <n v="0"/>
    <n v="262"/>
    <n v="1"/>
    <n v="1"/>
    <n v="1"/>
    <n v="3"/>
  </r>
  <r>
    <n v="851"/>
    <n v="18"/>
    <x v="1"/>
    <x v="0"/>
    <s v="Married"/>
    <x v="1"/>
    <x v="0"/>
    <n v="39"/>
    <x v="2"/>
    <n v="580.17999999999995"/>
    <n v="290.08999999999997"/>
    <n v="2"/>
    <n v="1"/>
    <x v="0"/>
    <n v="0"/>
    <n v="1"/>
    <n v="0"/>
    <n v="16"/>
    <n v="3"/>
    <n v="1"/>
    <n v="1"/>
    <n v="5"/>
  </r>
  <r>
    <n v="852"/>
    <n v="54"/>
    <x v="2"/>
    <x v="1"/>
    <s v="Divorced"/>
    <x v="0"/>
    <x v="0"/>
    <n v="29"/>
    <x v="0"/>
    <n v="569.13"/>
    <n v="142.2825"/>
    <n v="4"/>
    <n v="1"/>
    <x v="1"/>
    <n v="1"/>
    <n v="0"/>
    <n v="0"/>
    <n v="14"/>
    <n v="3"/>
    <n v="2"/>
    <n v="1"/>
    <n v="6"/>
  </r>
  <r>
    <n v="853"/>
    <n v="63"/>
    <x v="0"/>
    <x v="0"/>
    <s v="Single"/>
    <x v="1"/>
    <x v="0"/>
    <n v="34"/>
    <x v="1"/>
    <n v="1178.95"/>
    <n v="392.98333333333335"/>
    <n v="3"/>
    <n v="1"/>
    <x v="1"/>
    <n v="1"/>
    <n v="0"/>
    <n v="0"/>
    <n v="154"/>
    <n v="1"/>
    <n v="2"/>
    <n v="2"/>
    <n v="5"/>
  </r>
  <r>
    <n v="854"/>
    <n v="59"/>
    <x v="2"/>
    <x v="1"/>
    <s v="Widowed"/>
    <x v="1"/>
    <x v="0"/>
    <n v="10"/>
    <x v="0"/>
    <n v="47.85"/>
    <n v="47.85"/>
    <n v="1"/>
    <n v="2"/>
    <x v="1"/>
    <n v="0"/>
    <n v="1"/>
    <n v="0"/>
    <n v="60"/>
    <n v="2"/>
    <n v="1"/>
    <n v="1"/>
    <n v="4"/>
  </r>
  <r>
    <n v="855"/>
    <n v="20"/>
    <x v="1"/>
    <x v="0"/>
    <s v="Married"/>
    <x v="0"/>
    <x v="0"/>
    <n v="37"/>
    <x v="2"/>
    <n v="2656.16"/>
    <n v="332.02"/>
    <n v="8"/>
    <n v="2"/>
    <x v="1"/>
    <n v="0"/>
    <n v="0"/>
    <n v="1"/>
    <n v="51"/>
    <n v="2"/>
    <n v="3"/>
    <n v="3"/>
    <n v="8"/>
  </r>
  <r>
    <n v="856"/>
    <n v="51"/>
    <x v="2"/>
    <x v="0"/>
    <s v="Divorced"/>
    <x v="2"/>
    <x v="0"/>
    <n v="48"/>
    <x v="1"/>
    <n v="524.36"/>
    <n v="174.78666666666666"/>
    <n v="3"/>
    <n v="0"/>
    <x v="0"/>
    <n v="0"/>
    <n v="0"/>
    <n v="0"/>
    <n v="90"/>
    <n v="1"/>
    <n v="2"/>
    <n v="1"/>
    <n v="4"/>
  </r>
  <r>
    <n v="857"/>
    <n v="30"/>
    <x v="1"/>
    <x v="1"/>
    <s v="Married"/>
    <x v="2"/>
    <x v="1"/>
    <n v="7"/>
    <x v="0"/>
    <n v="379"/>
    <n v="379"/>
    <n v="1"/>
    <n v="1"/>
    <x v="0"/>
    <n v="0"/>
    <n v="0"/>
    <n v="1"/>
    <n v="168"/>
    <n v="1"/>
    <n v="1"/>
    <n v="1"/>
    <n v="3"/>
  </r>
  <r>
    <n v="858"/>
    <n v="33"/>
    <x v="3"/>
    <x v="0"/>
    <s v="Single"/>
    <x v="1"/>
    <x v="0"/>
    <n v="9"/>
    <x v="1"/>
    <n v="224.33"/>
    <n v="112.16500000000001"/>
    <n v="2"/>
    <n v="2"/>
    <x v="0"/>
    <n v="1"/>
    <n v="1"/>
    <n v="0"/>
    <n v="86"/>
    <n v="1"/>
    <n v="1"/>
    <n v="1"/>
    <n v="3"/>
  </r>
  <r>
    <n v="859"/>
    <n v="51"/>
    <x v="2"/>
    <x v="0"/>
    <s v="Widowed"/>
    <x v="2"/>
    <x v="0"/>
    <n v="16"/>
    <x v="1"/>
    <n v="2320.9000000000005"/>
    <n v="257.87777777777785"/>
    <n v="9"/>
    <n v="0"/>
    <x v="0"/>
    <n v="0"/>
    <n v="0"/>
    <n v="0"/>
    <n v="7"/>
    <n v="3"/>
    <n v="3"/>
    <n v="3"/>
    <n v="9"/>
  </r>
  <r>
    <n v="860"/>
    <n v="41"/>
    <x v="3"/>
    <x v="1"/>
    <s v="Married"/>
    <x v="2"/>
    <x v="0"/>
    <n v="21"/>
    <x v="0"/>
    <n v="410.36"/>
    <n v="205.18"/>
    <n v="2"/>
    <n v="2"/>
    <x v="1"/>
    <n v="0"/>
    <n v="0"/>
    <n v="1"/>
    <n v="24"/>
    <n v="3"/>
    <n v="1"/>
    <n v="1"/>
    <n v="5"/>
  </r>
  <r>
    <n v="861"/>
    <n v="30"/>
    <x v="1"/>
    <x v="1"/>
    <s v="Married"/>
    <x v="1"/>
    <x v="0"/>
    <n v="14"/>
    <x v="1"/>
    <n v="258.79000000000002"/>
    <n v="129.39500000000001"/>
    <n v="2"/>
    <n v="1"/>
    <x v="0"/>
    <n v="0"/>
    <n v="1"/>
    <n v="0"/>
    <n v="31"/>
    <n v="2"/>
    <n v="1"/>
    <n v="1"/>
    <n v="4"/>
  </r>
  <r>
    <n v="862"/>
    <n v="23"/>
    <x v="1"/>
    <x v="0"/>
    <s v="Married"/>
    <x v="1"/>
    <x v="0"/>
    <n v="2"/>
    <x v="2"/>
    <n v="1581.13"/>
    <n v="263.5216666666667"/>
    <n v="6"/>
    <n v="0"/>
    <x v="0"/>
    <n v="0"/>
    <n v="0"/>
    <n v="0"/>
    <n v="14"/>
    <n v="3"/>
    <n v="2"/>
    <n v="3"/>
    <n v="8"/>
  </r>
  <r>
    <n v="863"/>
    <n v="56"/>
    <x v="2"/>
    <x v="0"/>
    <s v="Divorced"/>
    <x v="2"/>
    <x v="0"/>
    <n v="26"/>
    <x v="2"/>
    <n v="1031.04"/>
    <n v="147.29142857142855"/>
    <n v="7"/>
    <n v="2"/>
    <x v="1"/>
    <n v="0"/>
    <n v="1"/>
    <n v="0"/>
    <n v="34"/>
    <n v="2"/>
    <n v="2"/>
    <n v="2"/>
    <n v="6"/>
  </r>
  <r>
    <n v="864"/>
    <n v="19"/>
    <x v="1"/>
    <x v="0"/>
    <s v="Widowed"/>
    <x v="1"/>
    <x v="0"/>
    <n v="34"/>
    <x v="1"/>
    <n v="1537.15"/>
    <n v="219.59285714285716"/>
    <n v="7"/>
    <n v="0"/>
    <x v="0"/>
    <n v="0"/>
    <n v="0"/>
    <n v="0"/>
    <n v="10"/>
    <n v="3"/>
    <n v="2"/>
    <n v="2"/>
    <n v="7"/>
  </r>
  <r>
    <n v="865"/>
    <n v="28"/>
    <x v="1"/>
    <x v="1"/>
    <s v="Widowed"/>
    <x v="1"/>
    <x v="0"/>
    <n v="47"/>
    <x v="0"/>
    <n v="2739.6900000000005"/>
    <n v="304.41000000000008"/>
    <n v="9"/>
    <n v="1"/>
    <x v="1"/>
    <n v="0"/>
    <n v="1"/>
    <n v="0"/>
    <n v="110"/>
    <n v="1"/>
    <n v="3"/>
    <n v="3"/>
    <n v="7"/>
  </r>
  <r>
    <n v="866"/>
    <n v="24"/>
    <x v="1"/>
    <x v="1"/>
    <s v="Widowed"/>
    <x v="2"/>
    <x v="0"/>
    <n v="49"/>
    <x v="1"/>
    <n v="440.09000000000003"/>
    <n v="220.04500000000002"/>
    <n v="2"/>
    <n v="0"/>
    <x v="0"/>
    <n v="0"/>
    <n v="0"/>
    <n v="0"/>
    <n v="167"/>
    <n v="1"/>
    <n v="1"/>
    <n v="1"/>
    <n v="3"/>
  </r>
  <r>
    <n v="867"/>
    <n v="24"/>
    <x v="1"/>
    <x v="0"/>
    <s v="Married"/>
    <x v="0"/>
    <x v="0"/>
    <n v="18"/>
    <x v="1"/>
    <n v="985.19"/>
    <n v="164.19833333333335"/>
    <n v="6"/>
    <n v="0"/>
    <x v="0"/>
    <n v="0"/>
    <n v="0"/>
    <n v="0"/>
    <n v="21"/>
    <n v="3"/>
    <n v="2"/>
    <n v="2"/>
    <n v="7"/>
  </r>
  <r>
    <n v="868"/>
    <n v="56"/>
    <x v="2"/>
    <x v="0"/>
    <s v="Married"/>
    <x v="2"/>
    <x v="0"/>
    <n v="12"/>
    <x v="1"/>
    <n v="1858.01"/>
    <n v="309.66833333333335"/>
    <n v="6"/>
    <n v="0"/>
    <x v="0"/>
    <n v="0"/>
    <n v="0"/>
    <n v="0"/>
    <n v="61"/>
    <n v="2"/>
    <n v="2"/>
    <n v="3"/>
    <n v="7"/>
  </r>
  <r>
    <n v="869"/>
    <n v="56"/>
    <x v="2"/>
    <x v="0"/>
    <s v="Married"/>
    <x v="2"/>
    <x v="1"/>
    <n v="19"/>
    <x v="2"/>
    <n v="1708.06"/>
    <n v="244.00857142857143"/>
    <n v="7"/>
    <n v="2"/>
    <x v="1"/>
    <n v="1"/>
    <n v="0"/>
    <n v="1"/>
    <n v="78"/>
    <n v="2"/>
    <n v="2"/>
    <n v="3"/>
    <n v="7"/>
  </r>
  <r>
    <n v="870"/>
    <n v="29"/>
    <x v="1"/>
    <x v="0"/>
    <s v="Married"/>
    <x v="2"/>
    <x v="0"/>
    <n v="36"/>
    <x v="1"/>
    <n v="358.81"/>
    <n v="358.81"/>
    <n v="1"/>
    <n v="1"/>
    <x v="1"/>
    <n v="0"/>
    <n v="1"/>
    <n v="0"/>
    <n v="326"/>
    <n v="1"/>
    <n v="1"/>
    <n v="1"/>
    <n v="3"/>
  </r>
  <r>
    <n v="871"/>
    <n v="68"/>
    <x v="0"/>
    <x v="1"/>
    <s v="Single"/>
    <x v="1"/>
    <x v="0"/>
    <n v="38"/>
    <x v="2"/>
    <n v="1268.83"/>
    <n v="317.20749999999998"/>
    <n v="4"/>
    <n v="2"/>
    <x v="1"/>
    <n v="1"/>
    <n v="1"/>
    <n v="0"/>
    <n v="69"/>
    <n v="2"/>
    <n v="2"/>
    <n v="2"/>
    <n v="6"/>
  </r>
  <r>
    <n v="872"/>
    <n v="39"/>
    <x v="3"/>
    <x v="0"/>
    <s v="Single"/>
    <x v="2"/>
    <x v="0"/>
    <n v="16"/>
    <x v="1"/>
    <n v="2710.0699999999997"/>
    <n v="338.75874999999996"/>
    <n v="8"/>
    <n v="0"/>
    <x v="0"/>
    <n v="0"/>
    <n v="0"/>
    <n v="0"/>
    <n v="21"/>
    <n v="3"/>
    <n v="3"/>
    <n v="3"/>
    <n v="9"/>
  </r>
  <r>
    <n v="873"/>
    <n v="68"/>
    <x v="0"/>
    <x v="0"/>
    <s v="Divorced"/>
    <x v="1"/>
    <x v="0"/>
    <n v="46"/>
    <x v="1"/>
    <n v="868.72"/>
    <n v="289.57333333333332"/>
    <n v="3"/>
    <n v="0"/>
    <x v="0"/>
    <n v="0"/>
    <n v="0"/>
    <n v="0"/>
    <n v="42"/>
    <n v="2"/>
    <n v="2"/>
    <n v="2"/>
    <n v="6"/>
  </r>
  <r>
    <n v="874"/>
    <n v="68"/>
    <x v="0"/>
    <x v="1"/>
    <s v="Married"/>
    <x v="0"/>
    <x v="0"/>
    <n v="8"/>
    <x v="0"/>
    <n v="488.21"/>
    <n v="488.21"/>
    <n v="1"/>
    <n v="2"/>
    <x v="0"/>
    <n v="0"/>
    <n v="1"/>
    <n v="1"/>
    <n v="117"/>
    <n v="1"/>
    <n v="1"/>
    <n v="1"/>
    <n v="3"/>
  </r>
  <r>
    <n v="875"/>
    <n v="69"/>
    <x v="0"/>
    <x v="1"/>
    <s v="Divorced"/>
    <x v="2"/>
    <x v="0"/>
    <n v="9"/>
    <x v="1"/>
    <n v="2066.71"/>
    <n v="258.33875"/>
    <n v="8"/>
    <n v="0"/>
    <x v="0"/>
    <n v="0"/>
    <n v="0"/>
    <n v="0"/>
    <n v="11"/>
    <n v="3"/>
    <n v="3"/>
    <n v="3"/>
    <n v="9"/>
  </r>
  <r>
    <n v="876"/>
    <n v="20"/>
    <x v="1"/>
    <x v="1"/>
    <s v="Widowed"/>
    <x v="0"/>
    <x v="0"/>
    <n v="4"/>
    <x v="2"/>
    <n v="1940.62"/>
    <n v="242.57749999999999"/>
    <n v="8"/>
    <n v="1"/>
    <x v="0"/>
    <n v="0"/>
    <n v="1"/>
    <n v="0"/>
    <n v="3"/>
    <n v="3"/>
    <n v="3"/>
    <n v="3"/>
    <n v="9"/>
  </r>
  <r>
    <n v="877"/>
    <n v="30"/>
    <x v="1"/>
    <x v="1"/>
    <s v="Married"/>
    <x v="2"/>
    <x v="0"/>
    <n v="36"/>
    <x v="1"/>
    <n v="2189.5500000000002"/>
    <n v="312.79285714285714"/>
    <n v="7"/>
    <n v="0"/>
    <x v="0"/>
    <n v="0"/>
    <n v="0"/>
    <n v="0"/>
    <n v="30"/>
    <n v="2"/>
    <n v="2"/>
    <n v="3"/>
    <n v="7"/>
  </r>
  <r>
    <n v="878"/>
    <n v="47"/>
    <x v="2"/>
    <x v="0"/>
    <s v="Single"/>
    <x v="1"/>
    <x v="0"/>
    <n v="47"/>
    <x v="1"/>
    <n v="2181.62"/>
    <n v="272.70249999999999"/>
    <n v="8"/>
    <n v="0"/>
    <x v="0"/>
    <n v="0"/>
    <n v="0"/>
    <n v="0"/>
    <n v="83"/>
    <n v="1"/>
    <n v="3"/>
    <n v="3"/>
    <n v="7"/>
  </r>
  <r>
    <n v="879"/>
    <n v="27"/>
    <x v="1"/>
    <x v="0"/>
    <s v="Married"/>
    <x v="0"/>
    <x v="0"/>
    <n v="38"/>
    <x v="2"/>
    <n v="328.09"/>
    <n v="328.09"/>
    <n v="1"/>
    <n v="1"/>
    <x v="0"/>
    <n v="0"/>
    <n v="0"/>
    <n v="1"/>
    <n v="18"/>
    <n v="3"/>
    <n v="1"/>
    <n v="1"/>
    <n v="5"/>
  </r>
  <r>
    <n v="880"/>
    <n v="69"/>
    <x v="0"/>
    <x v="1"/>
    <s v="Widowed"/>
    <x v="2"/>
    <x v="0"/>
    <n v="49"/>
    <x v="2"/>
    <n v="1311.23"/>
    <n v="187.31857142857143"/>
    <n v="7"/>
    <n v="2"/>
    <x v="0"/>
    <n v="0"/>
    <n v="0"/>
    <n v="1"/>
    <n v="93"/>
    <n v="1"/>
    <n v="2"/>
    <n v="2"/>
    <n v="5"/>
  </r>
  <r>
    <n v="881"/>
    <n v="26"/>
    <x v="1"/>
    <x v="1"/>
    <s v="Divorced"/>
    <x v="0"/>
    <x v="0"/>
    <n v="49"/>
    <x v="1"/>
    <n v="189.28"/>
    <n v="189.28"/>
    <n v="1"/>
    <n v="2"/>
    <x v="1"/>
    <n v="1"/>
    <n v="1"/>
    <n v="0"/>
    <n v="106"/>
    <n v="1"/>
    <n v="1"/>
    <n v="1"/>
    <n v="3"/>
  </r>
  <r>
    <n v="882"/>
    <n v="23"/>
    <x v="1"/>
    <x v="0"/>
    <s v="Married"/>
    <x v="1"/>
    <x v="0"/>
    <n v="45"/>
    <x v="1"/>
    <n v="745.26"/>
    <n v="248.42"/>
    <n v="3"/>
    <n v="0"/>
    <x v="0"/>
    <n v="0"/>
    <n v="0"/>
    <n v="0"/>
    <n v="49"/>
    <n v="2"/>
    <n v="2"/>
    <n v="1"/>
    <n v="5"/>
  </r>
  <r>
    <n v="883"/>
    <n v="61"/>
    <x v="0"/>
    <x v="0"/>
    <s v="Single"/>
    <x v="1"/>
    <x v="0"/>
    <n v="4"/>
    <x v="1"/>
    <n v="776.71"/>
    <n v="110.95857142857143"/>
    <n v="7"/>
    <n v="2"/>
    <x v="1"/>
    <n v="1"/>
    <n v="1"/>
    <n v="0"/>
    <n v="71"/>
    <n v="2"/>
    <n v="2"/>
    <n v="1"/>
    <n v="5"/>
  </r>
  <r>
    <n v="884"/>
    <n v="19"/>
    <x v="1"/>
    <x v="0"/>
    <s v="Widowed"/>
    <x v="2"/>
    <x v="0"/>
    <n v="8"/>
    <x v="2"/>
    <n v="2069.0300000000002"/>
    <n v="229.89222222222224"/>
    <n v="9"/>
    <n v="1"/>
    <x v="1"/>
    <n v="0"/>
    <n v="0"/>
    <n v="1"/>
    <n v="25"/>
    <n v="3"/>
    <n v="3"/>
    <n v="3"/>
    <n v="9"/>
  </r>
  <r>
    <n v="885"/>
    <n v="61"/>
    <x v="0"/>
    <x v="1"/>
    <s v="Widowed"/>
    <x v="2"/>
    <x v="0"/>
    <n v="43"/>
    <x v="0"/>
    <n v="2431.0299999999997"/>
    <n v="270.11444444444442"/>
    <n v="9"/>
    <n v="2"/>
    <x v="1"/>
    <n v="0"/>
    <n v="0"/>
    <n v="1"/>
    <n v="63"/>
    <n v="2"/>
    <n v="3"/>
    <n v="3"/>
    <n v="8"/>
  </r>
  <r>
    <n v="886"/>
    <n v="33"/>
    <x v="3"/>
    <x v="1"/>
    <s v="Divorced"/>
    <x v="0"/>
    <x v="0"/>
    <n v="7"/>
    <x v="0"/>
    <n v="2197.83"/>
    <n v="313.97571428571428"/>
    <n v="7"/>
    <n v="1"/>
    <x v="0"/>
    <n v="1"/>
    <n v="0"/>
    <n v="0"/>
    <n v="52"/>
    <n v="2"/>
    <n v="2"/>
    <n v="3"/>
    <n v="7"/>
  </r>
  <r>
    <n v="887"/>
    <n v="30"/>
    <x v="1"/>
    <x v="1"/>
    <s v="Married"/>
    <x v="1"/>
    <x v="0"/>
    <n v="3"/>
    <x v="1"/>
    <n v="812.28"/>
    <n v="203.07"/>
    <n v="4"/>
    <n v="2"/>
    <x v="1"/>
    <n v="1"/>
    <n v="0"/>
    <n v="1"/>
    <n v="147"/>
    <n v="1"/>
    <n v="2"/>
    <n v="1"/>
    <n v="4"/>
  </r>
  <r>
    <n v="888"/>
    <n v="65"/>
    <x v="0"/>
    <x v="0"/>
    <s v="Single"/>
    <x v="1"/>
    <x v="0"/>
    <n v="1"/>
    <x v="2"/>
    <n v="436.94000000000005"/>
    <n v="145.64666666666668"/>
    <n v="3"/>
    <n v="1"/>
    <x v="1"/>
    <n v="0"/>
    <n v="1"/>
    <n v="0"/>
    <n v="40"/>
    <n v="2"/>
    <n v="2"/>
    <n v="1"/>
    <n v="5"/>
  </r>
  <r>
    <n v="889"/>
    <n v="30"/>
    <x v="1"/>
    <x v="0"/>
    <s v="Married"/>
    <x v="2"/>
    <x v="0"/>
    <n v="4"/>
    <x v="0"/>
    <n v="306.88"/>
    <n v="76.72"/>
    <n v="4"/>
    <n v="0"/>
    <x v="0"/>
    <n v="0"/>
    <n v="0"/>
    <n v="0"/>
    <n v="58"/>
    <n v="2"/>
    <n v="2"/>
    <n v="1"/>
    <n v="5"/>
  </r>
  <r>
    <n v="890"/>
    <n v="39"/>
    <x v="3"/>
    <x v="0"/>
    <s v="Single"/>
    <x v="1"/>
    <x v="0"/>
    <n v="1"/>
    <x v="0"/>
    <n v="369.47"/>
    <n v="184.73500000000001"/>
    <n v="2"/>
    <n v="2"/>
    <x v="0"/>
    <n v="0"/>
    <n v="1"/>
    <n v="1"/>
    <n v="173"/>
    <n v="1"/>
    <n v="1"/>
    <n v="1"/>
    <n v="3"/>
  </r>
  <r>
    <n v="891"/>
    <n v="36"/>
    <x v="3"/>
    <x v="1"/>
    <s v="Divorced"/>
    <x v="1"/>
    <x v="0"/>
    <n v="46"/>
    <x v="1"/>
    <n v="1602.1699999999998"/>
    <n v="320.43399999999997"/>
    <n v="5"/>
    <n v="2"/>
    <x v="1"/>
    <n v="0"/>
    <n v="1"/>
    <n v="1"/>
    <n v="4"/>
    <n v="3"/>
    <n v="2"/>
    <n v="3"/>
    <n v="8"/>
  </r>
  <r>
    <n v="892"/>
    <n v="43"/>
    <x v="3"/>
    <x v="1"/>
    <s v="Widowed"/>
    <x v="1"/>
    <x v="0"/>
    <n v="42"/>
    <x v="0"/>
    <n v="183.21"/>
    <n v="183.21"/>
    <n v="1"/>
    <n v="1"/>
    <x v="1"/>
    <n v="0"/>
    <n v="0"/>
    <n v="1"/>
    <n v="88"/>
    <n v="1"/>
    <n v="1"/>
    <n v="1"/>
    <n v="3"/>
  </r>
  <r>
    <n v="893"/>
    <n v="31"/>
    <x v="3"/>
    <x v="0"/>
    <s v="Divorced"/>
    <x v="0"/>
    <x v="0"/>
    <n v="38"/>
    <x v="0"/>
    <n v="3026.91"/>
    <n v="336.32333333333332"/>
    <n v="9"/>
    <n v="2"/>
    <x v="1"/>
    <n v="1"/>
    <n v="1"/>
    <n v="0"/>
    <n v="94"/>
    <n v="1"/>
    <n v="3"/>
    <n v="3"/>
    <n v="7"/>
  </r>
  <r>
    <n v="894"/>
    <n v="48"/>
    <x v="2"/>
    <x v="0"/>
    <s v="Widowed"/>
    <x v="0"/>
    <x v="0"/>
    <n v="37"/>
    <x v="0"/>
    <n v="983.26"/>
    <n v="327.75333333333333"/>
    <n v="3"/>
    <n v="2"/>
    <x v="1"/>
    <n v="0"/>
    <n v="0"/>
    <n v="1"/>
    <n v="53"/>
    <n v="2"/>
    <n v="2"/>
    <n v="2"/>
    <n v="6"/>
  </r>
  <r>
    <n v="895"/>
    <n v="46"/>
    <x v="2"/>
    <x v="1"/>
    <s v="Married"/>
    <x v="0"/>
    <x v="0"/>
    <n v="12"/>
    <x v="0"/>
    <n v="1649.0800000000002"/>
    <n v="235.58285714285716"/>
    <n v="7"/>
    <n v="0"/>
    <x v="0"/>
    <n v="0"/>
    <n v="0"/>
    <n v="0"/>
    <n v="91"/>
    <n v="1"/>
    <n v="2"/>
    <n v="3"/>
    <n v="6"/>
  </r>
  <r>
    <n v="896"/>
    <n v="62"/>
    <x v="0"/>
    <x v="1"/>
    <s v="Widowed"/>
    <x v="1"/>
    <x v="0"/>
    <n v="42"/>
    <x v="2"/>
    <n v="1403.03"/>
    <n v="175.37875"/>
    <n v="8"/>
    <n v="1"/>
    <x v="0"/>
    <n v="0"/>
    <n v="0"/>
    <n v="1"/>
    <n v="73"/>
    <n v="2"/>
    <n v="3"/>
    <n v="2"/>
    <n v="7"/>
  </r>
  <r>
    <n v="897"/>
    <n v="59"/>
    <x v="2"/>
    <x v="1"/>
    <s v="Single"/>
    <x v="2"/>
    <x v="0"/>
    <n v="10"/>
    <x v="0"/>
    <n v="2125.2799999999997"/>
    <n v="265.65999999999997"/>
    <n v="8"/>
    <n v="2"/>
    <x v="1"/>
    <n v="1"/>
    <n v="1"/>
    <n v="0"/>
    <n v="72"/>
    <n v="2"/>
    <n v="3"/>
    <n v="3"/>
    <n v="8"/>
  </r>
  <r>
    <n v="898"/>
    <n v="39"/>
    <x v="3"/>
    <x v="0"/>
    <s v="Divorced"/>
    <x v="2"/>
    <x v="0"/>
    <n v="47"/>
    <x v="2"/>
    <n v="2793.9999999999995"/>
    <n v="310.4444444444444"/>
    <n v="9"/>
    <n v="1"/>
    <x v="1"/>
    <n v="0"/>
    <n v="0"/>
    <n v="1"/>
    <n v="70"/>
    <n v="2"/>
    <n v="3"/>
    <n v="3"/>
    <n v="8"/>
  </r>
  <r>
    <n v="899"/>
    <n v="24"/>
    <x v="1"/>
    <x v="0"/>
    <s v="Widowed"/>
    <x v="2"/>
    <x v="1"/>
    <n v="1"/>
    <x v="1"/>
    <n v="38.78"/>
    <n v="38.78"/>
    <n v="1"/>
    <n v="1"/>
    <x v="1"/>
    <n v="0"/>
    <n v="0"/>
    <n v="1"/>
    <n v="154"/>
    <n v="1"/>
    <n v="1"/>
    <n v="1"/>
    <n v="3"/>
  </r>
  <r>
    <n v="900"/>
    <n v="54"/>
    <x v="2"/>
    <x v="1"/>
    <s v="Widowed"/>
    <x v="0"/>
    <x v="0"/>
    <n v="2"/>
    <x v="2"/>
    <n v="353.54"/>
    <n v="117.84666666666668"/>
    <n v="3"/>
    <n v="1"/>
    <x v="0"/>
    <n v="0"/>
    <n v="1"/>
    <n v="0"/>
    <n v="5"/>
    <n v="3"/>
    <n v="2"/>
    <n v="1"/>
    <n v="6"/>
  </r>
  <r>
    <n v="901"/>
    <n v="66"/>
    <x v="0"/>
    <x v="0"/>
    <s v="Married"/>
    <x v="1"/>
    <x v="0"/>
    <n v="12"/>
    <x v="1"/>
    <n v="517.94000000000005"/>
    <n v="258.97000000000003"/>
    <n v="2"/>
    <n v="0"/>
    <x v="0"/>
    <n v="0"/>
    <n v="0"/>
    <n v="0"/>
    <n v="166"/>
    <n v="1"/>
    <n v="1"/>
    <n v="1"/>
    <n v="3"/>
  </r>
  <r>
    <n v="902"/>
    <n v="58"/>
    <x v="2"/>
    <x v="1"/>
    <s v="Married"/>
    <x v="0"/>
    <x v="0"/>
    <n v="39"/>
    <x v="2"/>
    <n v="1040.2"/>
    <n v="148.6"/>
    <n v="7"/>
    <n v="2"/>
    <x v="1"/>
    <n v="0"/>
    <n v="0"/>
    <n v="1"/>
    <n v="20"/>
    <n v="3"/>
    <n v="2"/>
    <n v="2"/>
    <n v="7"/>
  </r>
  <r>
    <n v="903"/>
    <n v="44"/>
    <x v="3"/>
    <x v="0"/>
    <s v="Married"/>
    <x v="0"/>
    <x v="1"/>
    <n v="48"/>
    <x v="0"/>
    <n v="762.77999999999986"/>
    <n v="190.69499999999996"/>
    <n v="4"/>
    <n v="1"/>
    <x v="0"/>
    <n v="1"/>
    <n v="0"/>
    <n v="0"/>
    <n v="156"/>
    <n v="1"/>
    <n v="2"/>
    <n v="1"/>
    <n v="4"/>
  </r>
  <r>
    <n v="904"/>
    <n v="48"/>
    <x v="2"/>
    <x v="0"/>
    <s v="Single"/>
    <x v="2"/>
    <x v="0"/>
    <n v="36"/>
    <x v="0"/>
    <n v="1684.3899999999999"/>
    <n v="240.62714285714284"/>
    <n v="7"/>
    <n v="1"/>
    <x v="0"/>
    <n v="1"/>
    <n v="0"/>
    <n v="0"/>
    <n v="16"/>
    <n v="3"/>
    <n v="2"/>
    <n v="3"/>
    <n v="8"/>
  </r>
  <r>
    <n v="905"/>
    <n v="23"/>
    <x v="1"/>
    <x v="0"/>
    <s v="Married"/>
    <x v="2"/>
    <x v="0"/>
    <n v="7"/>
    <x v="2"/>
    <n v="1222.55"/>
    <n v="152.81874999999999"/>
    <n v="8"/>
    <n v="1"/>
    <x v="1"/>
    <n v="0"/>
    <n v="1"/>
    <n v="0"/>
    <n v="66"/>
    <n v="2"/>
    <n v="3"/>
    <n v="2"/>
    <n v="7"/>
  </r>
  <r>
    <n v="906"/>
    <n v="33"/>
    <x v="3"/>
    <x v="1"/>
    <s v="Widowed"/>
    <x v="1"/>
    <x v="1"/>
    <n v="38"/>
    <x v="1"/>
    <n v="1235.8"/>
    <n v="247.16"/>
    <n v="5"/>
    <n v="0"/>
    <x v="0"/>
    <n v="0"/>
    <n v="0"/>
    <n v="0"/>
    <n v="2"/>
    <n v="3"/>
    <n v="2"/>
    <n v="2"/>
    <n v="7"/>
  </r>
  <r>
    <n v="907"/>
    <n v="55"/>
    <x v="2"/>
    <x v="0"/>
    <s v="Single"/>
    <x v="0"/>
    <x v="0"/>
    <n v="25"/>
    <x v="1"/>
    <n v="54.82"/>
    <n v="54.82"/>
    <n v="1"/>
    <n v="0"/>
    <x v="0"/>
    <n v="0"/>
    <n v="0"/>
    <n v="0"/>
    <n v="77"/>
    <n v="2"/>
    <n v="1"/>
    <n v="1"/>
    <n v="4"/>
  </r>
  <r>
    <n v="908"/>
    <n v="55"/>
    <x v="2"/>
    <x v="1"/>
    <s v="Married"/>
    <x v="1"/>
    <x v="0"/>
    <n v="3"/>
    <x v="1"/>
    <n v="1865.0900000000001"/>
    <n v="207.23222222222225"/>
    <n v="9"/>
    <n v="2"/>
    <x v="1"/>
    <n v="1"/>
    <n v="1"/>
    <n v="0"/>
    <n v="36"/>
    <n v="2"/>
    <n v="3"/>
    <n v="3"/>
    <n v="8"/>
  </r>
  <r>
    <n v="909"/>
    <n v="67"/>
    <x v="0"/>
    <x v="0"/>
    <s v="Widowed"/>
    <x v="0"/>
    <x v="0"/>
    <n v="27"/>
    <x v="2"/>
    <n v="718.24"/>
    <n v="239.41333333333333"/>
    <n v="3"/>
    <n v="0"/>
    <x v="0"/>
    <n v="0"/>
    <n v="0"/>
    <n v="0"/>
    <n v="79"/>
    <n v="2"/>
    <n v="2"/>
    <n v="1"/>
    <n v="5"/>
  </r>
  <r>
    <n v="910"/>
    <n v="49"/>
    <x v="2"/>
    <x v="1"/>
    <s v="Single"/>
    <x v="1"/>
    <x v="0"/>
    <n v="24"/>
    <x v="2"/>
    <n v="797.13999999999987"/>
    <n v="199.28499999999997"/>
    <n v="4"/>
    <n v="0"/>
    <x v="0"/>
    <n v="0"/>
    <n v="0"/>
    <n v="0"/>
    <n v="46"/>
    <n v="2"/>
    <n v="2"/>
    <n v="1"/>
    <n v="5"/>
  </r>
  <r>
    <n v="911"/>
    <n v="50"/>
    <x v="2"/>
    <x v="1"/>
    <s v="Widowed"/>
    <x v="0"/>
    <x v="0"/>
    <n v="27"/>
    <x v="0"/>
    <n v="1058.9000000000001"/>
    <n v="352.9666666666667"/>
    <n v="3"/>
    <n v="0"/>
    <x v="0"/>
    <n v="0"/>
    <n v="0"/>
    <n v="0"/>
    <n v="143"/>
    <n v="1"/>
    <n v="2"/>
    <n v="2"/>
    <n v="5"/>
  </r>
  <r>
    <n v="912"/>
    <n v="66"/>
    <x v="0"/>
    <x v="1"/>
    <s v="Married"/>
    <x v="1"/>
    <x v="0"/>
    <n v="6"/>
    <x v="0"/>
    <n v="1915.0100000000002"/>
    <n v="212.7788888888889"/>
    <n v="9"/>
    <n v="1"/>
    <x v="1"/>
    <n v="1"/>
    <n v="0"/>
    <n v="0"/>
    <n v="18"/>
    <n v="3"/>
    <n v="3"/>
    <n v="3"/>
    <n v="9"/>
  </r>
  <r>
    <n v="913"/>
    <n v="34"/>
    <x v="3"/>
    <x v="1"/>
    <s v="Married"/>
    <x v="0"/>
    <x v="0"/>
    <n v="25"/>
    <x v="0"/>
    <n v="267.44"/>
    <n v="267.44"/>
    <n v="1"/>
    <n v="2"/>
    <x v="0"/>
    <n v="0"/>
    <n v="1"/>
    <n v="1"/>
    <n v="207"/>
    <n v="1"/>
    <n v="1"/>
    <n v="1"/>
    <n v="3"/>
  </r>
  <r>
    <n v="914"/>
    <n v="50"/>
    <x v="2"/>
    <x v="1"/>
    <s v="Single"/>
    <x v="0"/>
    <x v="0"/>
    <n v="43"/>
    <x v="1"/>
    <n v="1722.8"/>
    <n v="246.1142857142857"/>
    <n v="7"/>
    <n v="2"/>
    <x v="1"/>
    <n v="1"/>
    <n v="0"/>
    <n v="1"/>
    <n v="23"/>
    <n v="3"/>
    <n v="2"/>
    <n v="3"/>
    <n v="8"/>
  </r>
  <r>
    <n v="915"/>
    <n v="28"/>
    <x v="1"/>
    <x v="0"/>
    <s v="Divorced"/>
    <x v="2"/>
    <x v="0"/>
    <n v="31"/>
    <x v="2"/>
    <n v="1786.6"/>
    <n v="255.22857142857143"/>
    <n v="7"/>
    <n v="0"/>
    <x v="0"/>
    <n v="0"/>
    <n v="0"/>
    <n v="0"/>
    <n v="16"/>
    <n v="3"/>
    <n v="2"/>
    <n v="3"/>
    <n v="8"/>
  </r>
  <r>
    <n v="916"/>
    <n v="30"/>
    <x v="1"/>
    <x v="0"/>
    <s v="Widowed"/>
    <x v="0"/>
    <x v="0"/>
    <n v="44"/>
    <x v="0"/>
    <n v="1176.8600000000001"/>
    <n v="196.14333333333335"/>
    <n v="6"/>
    <n v="0"/>
    <x v="0"/>
    <n v="0"/>
    <n v="0"/>
    <n v="0"/>
    <n v="31"/>
    <n v="2"/>
    <n v="2"/>
    <n v="2"/>
    <n v="6"/>
  </r>
  <r>
    <n v="917"/>
    <n v="47"/>
    <x v="2"/>
    <x v="1"/>
    <s v="Widowed"/>
    <x v="2"/>
    <x v="0"/>
    <n v="9"/>
    <x v="0"/>
    <n v="1799.3600000000001"/>
    <n v="224.92000000000002"/>
    <n v="8"/>
    <n v="1"/>
    <x v="0"/>
    <n v="0"/>
    <n v="0"/>
    <n v="1"/>
    <n v="24"/>
    <n v="3"/>
    <n v="3"/>
    <n v="3"/>
    <n v="9"/>
  </r>
  <r>
    <n v="918"/>
    <n v="18"/>
    <x v="1"/>
    <x v="1"/>
    <s v="Divorced"/>
    <x v="1"/>
    <x v="1"/>
    <n v="39"/>
    <x v="0"/>
    <n v="1140.8200000000002"/>
    <n v="285.20500000000004"/>
    <n v="4"/>
    <n v="0"/>
    <x v="0"/>
    <n v="0"/>
    <n v="0"/>
    <n v="0"/>
    <n v="20"/>
    <n v="3"/>
    <n v="2"/>
    <n v="2"/>
    <n v="7"/>
  </r>
  <r>
    <n v="919"/>
    <n v="47"/>
    <x v="2"/>
    <x v="1"/>
    <s v="Divorced"/>
    <x v="2"/>
    <x v="1"/>
    <n v="29"/>
    <x v="1"/>
    <n v="1547.4700000000003"/>
    <n v="221.0671428571429"/>
    <n v="7"/>
    <n v="0"/>
    <x v="0"/>
    <n v="0"/>
    <n v="0"/>
    <n v="0"/>
    <n v="56"/>
    <n v="2"/>
    <n v="2"/>
    <n v="2"/>
    <n v="6"/>
  </r>
  <r>
    <n v="920"/>
    <n v="44"/>
    <x v="3"/>
    <x v="0"/>
    <s v="Widowed"/>
    <x v="0"/>
    <x v="0"/>
    <n v="14"/>
    <x v="0"/>
    <n v="2059.02"/>
    <n v="228.78"/>
    <n v="9"/>
    <n v="1"/>
    <x v="1"/>
    <n v="0"/>
    <n v="0"/>
    <n v="1"/>
    <n v="85"/>
    <n v="1"/>
    <n v="3"/>
    <n v="3"/>
    <n v="7"/>
  </r>
  <r>
    <n v="921"/>
    <n v="57"/>
    <x v="2"/>
    <x v="1"/>
    <s v="Single"/>
    <x v="2"/>
    <x v="0"/>
    <n v="36"/>
    <x v="2"/>
    <n v="1778.2"/>
    <n v="296.36666666666667"/>
    <n v="6"/>
    <n v="1"/>
    <x v="1"/>
    <n v="0"/>
    <n v="1"/>
    <n v="0"/>
    <n v="11"/>
    <n v="3"/>
    <n v="2"/>
    <n v="3"/>
    <n v="8"/>
  </r>
  <r>
    <n v="922"/>
    <n v="40"/>
    <x v="3"/>
    <x v="0"/>
    <s v="Divorced"/>
    <x v="2"/>
    <x v="0"/>
    <n v="29"/>
    <x v="1"/>
    <n v="1135"/>
    <n v="378.33333333333331"/>
    <n v="3"/>
    <n v="1"/>
    <x v="1"/>
    <n v="1"/>
    <n v="0"/>
    <n v="0"/>
    <n v="76"/>
    <n v="2"/>
    <n v="2"/>
    <n v="2"/>
    <n v="6"/>
  </r>
  <r>
    <n v="923"/>
    <n v="37"/>
    <x v="3"/>
    <x v="1"/>
    <s v="Married"/>
    <x v="1"/>
    <x v="0"/>
    <n v="43"/>
    <x v="1"/>
    <n v="2462.8499999999995"/>
    <n v="273.64999999999992"/>
    <n v="9"/>
    <n v="2"/>
    <x v="1"/>
    <n v="0"/>
    <n v="1"/>
    <n v="1"/>
    <n v="62"/>
    <n v="2"/>
    <n v="3"/>
    <n v="3"/>
    <n v="8"/>
  </r>
  <r>
    <n v="924"/>
    <n v="23"/>
    <x v="1"/>
    <x v="0"/>
    <s v="Single"/>
    <x v="2"/>
    <x v="1"/>
    <n v="41"/>
    <x v="1"/>
    <n v="760.13"/>
    <n v="380.065"/>
    <n v="2"/>
    <n v="1"/>
    <x v="1"/>
    <n v="0"/>
    <n v="1"/>
    <n v="0"/>
    <n v="184"/>
    <n v="1"/>
    <n v="1"/>
    <n v="1"/>
    <n v="3"/>
  </r>
  <r>
    <n v="925"/>
    <n v="54"/>
    <x v="2"/>
    <x v="1"/>
    <s v="Divorced"/>
    <x v="1"/>
    <x v="1"/>
    <n v="38"/>
    <x v="0"/>
    <n v="1930.4099999999999"/>
    <n v="386.08199999999999"/>
    <n v="5"/>
    <n v="0"/>
    <x v="0"/>
    <n v="0"/>
    <n v="0"/>
    <n v="0"/>
    <n v="56"/>
    <n v="2"/>
    <n v="2"/>
    <n v="3"/>
    <n v="7"/>
  </r>
  <r>
    <n v="926"/>
    <n v="37"/>
    <x v="3"/>
    <x v="0"/>
    <s v="Married"/>
    <x v="1"/>
    <x v="1"/>
    <n v="22"/>
    <x v="2"/>
    <n v="157.62"/>
    <n v="157.62"/>
    <n v="1"/>
    <n v="0"/>
    <x v="0"/>
    <n v="0"/>
    <n v="0"/>
    <n v="0"/>
    <n v="90"/>
    <n v="1"/>
    <n v="1"/>
    <n v="1"/>
    <n v="3"/>
  </r>
  <r>
    <n v="927"/>
    <n v="54"/>
    <x v="2"/>
    <x v="0"/>
    <s v="Married"/>
    <x v="2"/>
    <x v="1"/>
    <n v="12"/>
    <x v="0"/>
    <n v="1462.34"/>
    <n v="292.46799999999996"/>
    <n v="5"/>
    <n v="0"/>
    <x v="0"/>
    <n v="0"/>
    <n v="0"/>
    <n v="0"/>
    <n v="78"/>
    <n v="2"/>
    <n v="2"/>
    <n v="2"/>
    <n v="6"/>
  </r>
  <r>
    <n v="928"/>
    <n v="23"/>
    <x v="1"/>
    <x v="1"/>
    <s v="Widowed"/>
    <x v="0"/>
    <x v="0"/>
    <n v="40"/>
    <x v="1"/>
    <n v="2584.66"/>
    <n v="323.08249999999998"/>
    <n v="8"/>
    <n v="2"/>
    <x v="1"/>
    <n v="0"/>
    <n v="1"/>
    <n v="1"/>
    <n v="89"/>
    <n v="1"/>
    <n v="3"/>
    <n v="3"/>
    <n v="7"/>
  </r>
  <r>
    <n v="929"/>
    <n v="46"/>
    <x v="2"/>
    <x v="1"/>
    <s v="Single"/>
    <x v="1"/>
    <x v="0"/>
    <n v="49"/>
    <x v="2"/>
    <n v="358.27"/>
    <n v="358.27"/>
    <n v="1"/>
    <n v="0"/>
    <x v="0"/>
    <n v="0"/>
    <n v="0"/>
    <n v="0"/>
    <n v="163"/>
    <n v="1"/>
    <n v="1"/>
    <n v="1"/>
    <n v="3"/>
  </r>
  <r>
    <n v="930"/>
    <n v="30"/>
    <x v="1"/>
    <x v="1"/>
    <s v="Divorced"/>
    <x v="2"/>
    <x v="0"/>
    <n v="26"/>
    <x v="1"/>
    <n v="809.61"/>
    <n v="404.80500000000001"/>
    <n v="2"/>
    <n v="0"/>
    <x v="0"/>
    <n v="0"/>
    <n v="0"/>
    <n v="0"/>
    <n v="207"/>
    <n v="1"/>
    <n v="1"/>
    <n v="1"/>
    <n v="3"/>
  </r>
  <r>
    <n v="931"/>
    <n v="44"/>
    <x v="3"/>
    <x v="1"/>
    <s v="Married"/>
    <x v="1"/>
    <x v="0"/>
    <n v="46"/>
    <x v="0"/>
    <n v="1985.28"/>
    <n v="397.05599999999998"/>
    <n v="5"/>
    <n v="1"/>
    <x v="1"/>
    <n v="0"/>
    <n v="1"/>
    <n v="0"/>
    <n v="18"/>
    <n v="3"/>
    <n v="2"/>
    <n v="3"/>
    <n v="8"/>
  </r>
  <r>
    <n v="932"/>
    <n v="67"/>
    <x v="0"/>
    <x v="0"/>
    <s v="Widowed"/>
    <x v="2"/>
    <x v="0"/>
    <n v="28"/>
    <x v="2"/>
    <n v="350.46"/>
    <n v="350.46"/>
    <n v="1"/>
    <n v="1"/>
    <x v="0"/>
    <n v="0"/>
    <n v="1"/>
    <n v="0"/>
    <n v="323"/>
    <n v="1"/>
    <n v="1"/>
    <n v="1"/>
    <n v="3"/>
  </r>
  <r>
    <n v="933"/>
    <n v="37"/>
    <x v="3"/>
    <x v="0"/>
    <s v="Divorced"/>
    <x v="2"/>
    <x v="0"/>
    <n v="21"/>
    <x v="1"/>
    <n v="74.06"/>
    <n v="74.06"/>
    <n v="1"/>
    <n v="2"/>
    <x v="1"/>
    <n v="1"/>
    <n v="0"/>
    <n v="1"/>
    <n v="122"/>
    <n v="1"/>
    <n v="1"/>
    <n v="1"/>
    <n v="3"/>
  </r>
  <r>
    <n v="934"/>
    <n v="30"/>
    <x v="1"/>
    <x v="0"/>
    <s v="Married"/>
    <x v="0"/>
    <x v="0"/>
    <n v="27"/>
    <x v="0"/>
    <n v="282.29000000000002"/>
    <n v="282.29000000000002"/>
    <n v="1"/>
    <n v="1"/>
    <x v="0"/>
    <n v="0"/>
    <n v="0"/>
    <n v="1"/>
    <n v="334"/>
    <n v="1"/>
    <n v="1"/>
    <n v="1"/>
    <n v="3"/>
  </r>
  <r>
    <n v="935"/>
    <n v="56"/>
    <x v="2"/>
    <x v="0"/>
    <s v="Widowed"/>
    <x v="2"/>
    <x v="1"/>
    <n v="33"/>
    <x v="1"/>
    <n v="939.39"/>
    <n v="234.8475"/>
    <n v="4"/>
    <n v="2"/>
    <x v="0"/>
    <n v="0"/>
    <n v="0"/>
    <n v="1"/>
    <n v="203"/>
    <n v="1"/>
    <n v="2"/>
    <n v="2"/>
    <n v="5"/>
  </r>
  <r>
    <n v="936"/>
    <n v="25"/>
    <x v="1"/>
    <x v="0"/>
    <s v="Married"/>
    <x v="1"/>
    <x v="0"/>
    <n v="29"/>
    <x v="0"/>
    <n v="2591.5700000000006"/>
    <n v="287.9522222222223"/>
    <n v="9"/>
    <n v="0"/>
    <x v="0"/>
    <n v="0"/>
    <n v="0"/>
    <n v="0"/>
    <n v="2"/>
    <n v="3"/>
    <n v="3"/>
    <n v="3"/>
    <n v="9"/>
  </r>
  <r>
    <n v="937"/>
    <n v="34"/>
    <x v="3"/>
    <x v="0"/>
    <s v="Widowed"/>
    <x v="1"/>
    <x v="1"/>
    <n v="24"/>
    <x v="0"/>
    <n v="1842.66"/>
    <n v="263.23714285714289"/>
    <n v="7"/>
    <n v="2"/>
    <x v="1"/>
    <n v="1"/>
    <n v="0"/>
    <n v="1"/>
    <n v="80"/>
    <n v="2"/>
    <n v="2"/>
    <n v="3"/>
    <n v="7"/>
  </r>
  <r>
    <n v="938"/>
    <n v="47"/>
    <x v="2"/>
    <x v="1"/>
    <s v="Widowed"/>
    <x v="0"/>
    <x v="0"/>
    <n v="32"/>
    <x v="1"/>
    <n v="695.93000000000006"/>
    <n v="231.97666666666669"/>
    <n v="3"/>
    <n v="1"/>
    <x v="1"/>
    <n v="0"/>
    <n v="1"/>
    <n v="0"/>
    <n v="150"/>
    <n v="1"/>
    <n v="2"/>
    <n v="1"/>
    <n v="4"/>
  </r>
  <r>
    <n v="939"/>
    <n v="18"/>
    <x v="1"/>
    <x v="0"/>
    <s v="Single"/>
    <x v="1"/>
    <x v="0"/>
    <n v="6"/>
    <x v="1"/>
    <n v="394.48"/>
    <n v="394.48"/>
    <n v="1"/>
    <n v="0"/>
    <x v="0"/>
    <n v="0"/>
    <n v="0"/>
    <n v="0"/>
    <n v="179"/>
    <n v="1"/>
    <n v="1"/>
    <n v="1"/>
    <n v="3"/>
  </r>
  <r>
    <n v="940"/>
    <n v="41"/>
    <x v="3"/>
    <x v="0"/>
    <s v="Divorced"/>
    <x v="0"/>
    <x v="0"/>
    <n v="27"/>
    <x v="0"/>
    <n v="1536.43"/>
    <n v="219.49"/>
    <n v="7"/>
    <n v="2"/>
    <x v="1"/>
    <n v="1"/>
    <n v="0"/>
    <n v="0"/>
    <n v="55"/>
    <n v="2"/>
    <n v="2"/>
    <n v="2"/>
    <n v="6"/>
  </r>
  <r>
    <n v="941"/>
    <n v="33"/>
    <x v="3"/>
    <x v="0"/>
    <s v="Widowed"/>
    <x v="2"/>
    <x v="0"/>
    <n v="16"/>
    <x v="1"/>
    <n v="1440.83"/>
    <n v="240.13833333333332"/>
    <n v="6"/>
    <n v="0"/>
    <x v="0"/>
    <n v="0"/>
    <n v="0"/>
    <n v="0"/>
    <n v="7"/>
    <n v="3"/>
    <n v="2"/>
    <n v="2"/>
    <n v="7"/>
  </r>
  <r>
    <n v="942"/>
    <n v="28"/>
    <x v="1"/>
    <x v="1"/>
    <s v="Married"/>
    <x v="2"/>
    <x v="0"/>
    <n v="36"/>
    <x v="2"/>
    <n v="1539.4199999999998"/>
    <n v="219.91714285714284"/>
    <n v="7"/>
    <n v="0"/>
    <x v="0"/>
    <n v="0"/>
    <n v="0"/>
    <n v="0"/>
    <n v="40"/>
    <n v="2"/>
    <n v="2"/>
    <n v="2"/>
    <n v="6"/>
  </r>
  <r>
    <n v="943"/>
    <n v="21"/>
    <x v="1"/>
    <x v="0"/>
    <s v="Divorced"/>
    <x v="2"/>
    <x v="0"/>
    <n v="47"/>
    <x v="1"/>
    <n v="398.92"/>
    <n v="199.46"/>
    <n v="2"/>
    <n v="1"/>
    <x v="0"/>
    <n v="0"/>
    <n v="1"/>
    <n v="0"/>
    <n v="151"/>
    <n v="1"/>
    <n v="1"/>
    <n v="1"/>
    <n v="3"/>
  </r>
  <r>
    <n v="944"/>
    <n v="21"/>
    <x v="1"/>
    <x v="1"/>
    <s v="Divorced"/>
    <x v="0"/>
    <x v="0"/>
    <n v="30"/>
    <x v="1"/>
    <n v="1280.0999999999999"/>
    <n v="256.02"/>
    <n v="5"/>
    <n v="2"/>
    <x v="1"/>
    <n v="1"/>
    <n v="0"/>
    <n v="0"/>
    <n v="107"/>
    <n v="1"/>
    <n v="2"/>
    <n v="2"/>
    <n v="5"/>
  </r>
  <r>
    <n v="945"/>
    <n v="34"/>
    <x v="3"/>
    <x v="0"/>
    <s v="Divorced"/>
    <x v="1"/>
    <x v="0"/>
    <n v="15"/>
    <x v="1"/>
    <n v="541.20000000000005"/>
    <n v="108.24000000000001"/>
    <n v="5"/>
    <n v="0"/>
    <x v="0"/>
    <n v="0"/>
    <n v="0"/>
    <n v="0"/>
    <n v="117"/>
    <n v="1"/>
    <n v="2"/>
    <n v="1"/>
    <n v="4"/>
  </r>
  <r>
    <n v="946"/>
    <n v="66"/>
    <x v="0"/>
    <x v="0"/>
    <s v="Single"/>
    <x v="1"/>
    <x v="0"/>
    <n v="8"/>
    <x v="0"/>
    <n v="451.82"/>
    <n v="150.60666666666665"/>
    <n v="3"/>
    <n v="0"/>
    <x v="0"/>
    <n v="0"/>
    <n v="0"/>
    <n v="0"/>
    <n v="60"/>
    <n v="2"/>
    <n v="2"/>
    <n v="1"/>
    <n v="5"/>
  </r>
  <r>
    <n v="947"/>
    <n v="27"/>
    <x v="1"/>
    <x v="1"/>
    <s v="Widowed"/>
    <x v="2"/>
    <x v="1"/>
    <n v="31"/>
    <x v="1"/>
    <n v="589.05999999999995"/>
    <n v="196.35333333333332"/>
    <n v="3"/>
    <n v="1"/>
    <x v="1"/>
    <n v="0"/>
    <n v="0"/>
    <n v="1"/>
    <n v="109"/>
    <n v="1"/>
    <n v="2"/>
    <n v="1"/>
    <n v="4"/>
  </r>
  <r>
    <n v="948"/>
    <n v="38"/>
    <x v="3"/>
    <x v="0"/>
    <s v="Widowed"/>
    <x v="1"/>
    <x v="1"/>
    <n v="9"/>
    <x v="0"/>
    <n v="1416.12"/>
    <n v="283.22399999999999"/>
    <n v="5"/>
    <n v="0"/>
    <x v="0"/>
    <n v="0"/>
    <n v="0"/>
    <n v="0"/>
    <n v="84"/>
    <n v="1"/>
    <n v="2"/>
    <n v="2"/>
    <n v="5"/>
  </r>
  <r>
    <n v="949"/>
    <n v="55"/>
    <x v="2"/>
    <x v="0"/>
    <s v="Widowed"/>
    <x v="0"/>
    <x v="0"/>
    <n v="42"/>
    <x v="2"/>
    <n v="956.3"/>
    <n v="239.07499999999999"/>
    <n v="4"/>
    <n v="0"/>
    <x v="0"/>
    <n v="0"/>
    <n v="0"/>
    <n v="0"/>
    <n v="97"/>
    <n v="1"/>
    <n v="2"/>
    <n v="2"/>
    <n v="5"/>
  </r>
  <r>
    <n v="950"/>
    <n v="66"/>
    <x v="0"/>
    <x v="1"/>
    <s v="Widowed"/>
    <x v="0"/>
    <x v="0"/>
    <n v="21"/>
    <x v="2"/>
    <n v="1085.17"/>
    <n v="271.29250000000002"/>
    <n v="4"/>
    <n v="0"/>
    <x v="0"/>
    <n v="0"/>
    <n v="0"/>
    <n v="0"/>
    <n v="30"/>
    <n v="2"/>
    <n v="2"/>
    <n v="2"/>
    <n v="6"/>
  </r>
  <r>
    <n v="951"/>
    <n v="35"/>
    <x v="3"/>
    <x v="1"/>
    <s v="Married"/>
    <x v="0"/>
    <x v="0"/>
    <n v="39"/>
    <x v="2"/>
    <n v="1494.9199999999998"/>
    <n v="213.55999999999997"/>
    <n v="7"/>
    <n v="2"/>
    <x v="1"/>
    <n v="1"/>
    <n v="0"/>
    <n v="1"/>
    <n v="69"/>
    <n v="2"/>
    <n v="2"/>
    <n v="2"/>
    <n v="6"/>
  </r>
  <r>
    <n v="952"/>
    <n v="27"/>
    <x v="1"/>
    <x v="0"/>
    <s v="Widowed"/>
    <x v="0"/>
    <x v="0"/>
    <n v="39"/>
    <x v="1"/>
    <n v="344.33"/>
    <n v="344.33"/>
    <n v="1"/>
    <n v="1"/>
    <x v="1"/>
    <n v="0"/>
    <n v="1"/>
    <n v="0"/>
    <n v="340"/>
    <n v="1"/>
    <n v="1"/>
    <n v="1"/>
    <n v="3"/>
  </r>
  <r>
    <n v="953"/>
    <n v="62"/>
    <x v="0"/>
    <x v="0"/>
    <s v="Divorced"/>
    <x v="1"/>
    <x v="0"/>
    <n v="43"/>
    <x v="1"/>
    <n v="2580.58"/>
    <n v="286.73111111111109"/>
    <n v="9"/>
    <n v="2"/>
    <x v="1"/>
    <n v="1"/>
    <n v="0"/>
    <n v="1"/>
    <n v="9"/>
    <n v="3"/>
    <n v="3"/>
    <n v="3"/>
    <n v="9"/>
  </r>
  <r>
    <n v="954"/>
    <n v="33"/>
    <x v="3"/>
    <x v="1"/>
    <s v="Widowed"/>
    <x v="0"/>
    <x v="0"/>
    <n v="20"/>
    <x v="2"/>
    <n v="2009.3200000000002"/>
    <n v="334.88666666666671"/>
    <n v="6"/>
    <n v="0"/>
    <x v="0"/>
    <n v="0"/>
    <n v="0"/>
    <n v="0"/>
    <n v="55"/>
    <n v="2"/>
    <n v="2"/>
    <n v="3"/>
    <n v="7"/>
  </r>
  <r>
    <n v="955"/>
    <n v="56"/>
    <x v="2"/>
    <x v="1"/>
    <s v="Widowed"/>
    <x v="1"/>
    <x v="0"/>
    <n v="26"/>
    <x v="1"/>
    <n v="1453.74"/>
    <n v="242.29"/>
    <n v="6"/>
    <n v="2"/>
    <x v="1"/>
    <n v="1"/>
    <n v="1"/>
    <n v="0"/>
    <n v="16"/>
    <n v="3"/>
    <n v="2"/>
    <n v="2"/>
    <n v="7"/>
  </r>
  <r>
    <n v="956"/>
    <n v="32"/>
    <x v="3"/>
    <x v="1"/>
    <s v="Widowed"/>
    <x v="2"/>
    <x v="0"/>
    <n v="38"/>
    <x v="2"/>
    <n v="858.04"/>
    <n v="286.01333333333332"/>
    <n v="3"/>
    <n v="0"/>
    <x v="0"/>
    <n v="0"/>
    <n v="0"/>
    <n v="0"/>
    <n v="122"/>
    <n v="1"/>
    <n v="2"/>
    <n v="2"/>
    <n v="5"/>
  </r>
  <r>
    <n v="957"/>
    <n v="51"/>
    <x v="2"/>
    <x v="1"/>
    <s v="Widowed"/>
    <x v="1"/>
    <x v="0"/>
    <n v="43"/>
    <x v="0"/>
    <n v="32.799999999999997"/>
    <n v="32.799999999999997"/>
    <n v="1"/>
    <n v="0"/>
    <x v="0"/>
    <n v="0"/>
    <n v="0"/>
    <n v="0"/>
    <n v="198"/>
    <n v="1"/>
    <n v="1"/>
    <n v="1"/>
    <n v="3"/>
  </r>
  <r>
    <n v="958"/>
    <n v="22"/>
    <x v="1"/>
    <x v="0"/>
    <s v="Single"/>
    <x v="0"/>
    <x v="0"/>
    <n v="14"/>
    <x v="2"/>
    <n v="972.8"/>
    <n v="194.56"/>
    <n v="5"/>
    <n v="1"/>
    <x v="1"/>
    <n v="1"/>
    <n v="0"/>
    <n v="0"/>
    <n v="76"/>
    <n v="2"/>
    <n v="2"/>
    <n v="2"/>
    <n v="6"/>
  </r>
  <r>
    <n v="959"/>
    <n v="34"/>
    <x v="3"/>
    <x v="0"/>
    <s v="Divorced"/>
    <x v="1"/>
    <x v="0"/>
    <n v="48"/>
    <x v="2"/>
    <n v="285.35000000000002"/>
    <n v="285.35000000000002"/>
    <n v="1"/>
    <n v="0"/>
    <x v="0"/>
    <n v="0"/>
    <n v="0"/>
    <n v="0"/>
    <n v="203"/>
    <n v="1"/>
    <n v="1"/>
    <n v="1"/>
    <n v="3"/>
  </r>
  <r>
    <n v="960"/>
    <n v="54"/>
    <x v="2"/>
    <x v="1"/>
    <s v="Single"/>
    <x v="2"/>
    <x v="0"/>
    <n v="41"/>
    <x v="2"/>
    <n v="1553.52"/>
    <n v="258.92"/>
    <n v="6"/>
    <n v="2"/>
    <x v="1"/>
    <n v="0"/>
    <n v="0"/>
    <n v="1"/>
    <n v="73"/>
    <n v="2"/>
    <n v="2"/>
    <n v="2"/>
    <n v="6"/>
  </r>
  <r>
    <n v="961"/>
    <n v="25"/>
    <x v="1"/>
    <x v="0"/>
    <s v="Divorced"/>
    <x v="2"/>
    <x v="0"/>
    <n v="21"/>
    <x v="0"/>
    <n v="964.32999999999993"/>
    <n v="321.44333333333333"/>
    <n v="3"/>
    <n v="2"/>
    <x v="1"/>
    <n v="0"/>
    <n v="1"/>
    <n v="1"/>
    <n v="4"/>
    <n v="3"/>
    <n v="2"/>
    <n v="2"/>
    <n v="7"/>
  </r>
  <r>
    <n v="962"/>
    <n v="41"/>
    <x v="3"/>
    <x v="1"/>
    <s v="Widowed"/>
    <x v="2"/>
    <x v="1"/>
    <n v="19"/>
    <x v="2"/>
    <n v="1021.0799999999999"/>
    <n v="255.26999999999998"/>
    <n v="4"/>
    <n v="2"/>
    <x v="1"/>
    <n v="0"/>
    <n v="0"/>
    <n v="1"/>
    <n v="42"/>
    <n v="2"/>
    <n v="2"/>
    <n v="2"/>
    <n v="6"/>
  </r>
  <r>
    <n v="963"/>
    <n v="45"/>
    <x v="3"/>
    <x v="1"/>
    <s v="Widowed"/>
    <x v="1"/>
    <x v="0"/>
    <n v="14"/>
    <x v="2"/>
    <n v="660.32999999999993"/>
    <n v="220.10999999999999"/>
    <n v="3"/>
    <n v="2"/>
    <x v="0"/>
    <n v="0"/>
    <n v="1"/>
    <n v="0"/>
    <n v="4"/>
    <n v="3"/>
    <n v="2"/>
    <n v="1"/>
    <n v="6"/>
  </r>
  <r>
    <n v="964"/>
    <n v="64"/>
    <x v="0"/>
    <x v="0"/>
    <s v="Divorced"/>
    <x v="0"/>
    <x v="0"/>
    <n v="9"/>
    <x v="2"/>
    <n v="2348.8199999999997"/>
    <n v="260.97999999999996"/>
    <n v="9"/>
    <n v="2"/>
    <x v="1"/>
    <n v="0"/>
    <n v="1"/>
    <n v="1"/>
    <n v="16"/>
    <n v="3"/>
    <n v="3"/>
    <n v="3"/>
    <n v="9"/>
  </r>
  <r>
    <n v="965"/>
    <n v="25"/>
    <x v="1"/>
    <x v="1"/>
    <s v="Divorced"/>
    <x v="0"/>
    <x v="1"/>
    <n v="42"/>
    <x v="0"/>
    <n v="213.98"/>
    <n v="213.98"/>
    <n v="1"/>
    <n v="1"/>
    <x v="1"/>
    <n v="1"/>
    <n v="0"/>
    <n v="0"/>
    <n v="67"/>
    <n v="2"/>
    <n v="1"/>
    <n v="1"/>
    <n v="4"/>
  </r>
  <r>
    <n v="966"/>
    <n v="40"/>
    <x v="3"/>
    <x v="1"/>
    <s v="Single"/>
    <x v="1"/>
    <x v="1"/>
    <n v="4"/>
    <x v="0"/>
    <n v="2097.75"/>
    <n v="299.67857142857144"/>
    <n v="7"/>
    <n v="0"/>
    <x v="0"/>
    <n v="0"/>
    <n v="0"/>
    <n v="0"/>
    <n v="32"/>
    <n v="2"/>
    <n v="2"/>
    <n v="3"/>
    <n v="7"/>
  </r>
  <r>
    <n v="967"/>
    <n v="52"/>
    <x v="2"/>
    <x v="0"/>
    <s v="Single"/>
    <x v="0"/>
    <x v="0"/>
    <n v="23"/>
    <x v="2"/>
    <n v="230.71"/>
    <n v="230.71"/>
    <n v="1"/>
    <n v="0"/>
    <x v="0"/>
    <n v="0"/>
    <n v="0"/>
    <n v="0"/>
    <n v="160"/>
    <n v="1"/>
    <n v="1"/>
    <n v="1"/>
    <n v="3"/>
  </r>
  <r>
    <n v="968"/>
    <n v="48"/>
    <x v="2"/>
    <x v="0"/>
    <s v="Married"/>
    <x v="0"/>
    <x v="0"/>
    <n v="22"/>
    <x v="2"/>
    <n v="344.12"/>
    <n v="172.06"/>
    <n v="2"/>
    <n v="1"/>
    <x v="0"/>
    <n v="0"/>
    <n v="1"/>
    <n v="0"/>
    <n v="230"/>
    <n v="1"/>
    <n v="1"/>
    <n v="1"/>
    <n v="3"/>
  </r>
  <r>
    <n v="969"/>
    <n v="34"/>
    <x v="3"/>
    <x v="1"/>
    <s v="Married"/>
    <x v="1"/>
    <x v="0"/>
    <n v="20"/>
    <x v="2"/>
    <n v="1296.96"/>
    <n v="324.24"/>
    <n v="4"/>
    <n v="1"/>
    <x v="1"/>
    <n v="1"/>
    <n v="0"/>
    <n v="0"/>
    <n v="63"/>
    <n v="2"/>
    <n v="2"/>
    <n v="2"/>
    <n v="6"/>
  </r>
  <r>
    <n v="970"/>
    <n v="45"/>
    <x v="3"/>
    <x v="0"/>
    <s v="Single"/>
    <x v="2"/>
    <x v="1"/>
    <n v="19"/>
    <x v="1"/>
    <n v="748.68000000000006"/>
    <n v="124.78000000000002"/>
    <n v="6"/>
    <n v="2"/>
    <x v="1"/>
    <n v="1"/>
    <n v="0"/>
    <n v="1"/>
    <n v="69"/>
    <n v="2"/>
    <n v="2"/>
    <n v="1"/>
    <n v="5"/>
  </r>
  <r>
    <n v="971"/>
    <n v="65"/>
    <x v="0"/>
    <x v="0"/>
    <s v="Married"/>
    <x v="0"/>
    <x v="1"/>
    <n v="19"/>
    <x v="0"/>
    <n v="283.95"/>
    <n v="141.97499999999999"/>
    <n v="2"/>
    <n v="0"/>
    <x v="0"/>
    <n v="0"/>
    <n v="0"/>
    <n v="0"/>
    <n v="147"/>
    <n v="1"/>
    <n v="1"/>
    <n v="1"/>
    <n v="3"/>
  </r>
  <r>
    <n v="972"/>
    <n v="65"/>
    <x v="0"/>
    <x v="0"/>
    <s v="Single"/>
    <x v="2"/>
    <x v="0"/>
    <n v="23"/>
    <x v="0"/>
    <n v="1105.44"/>
    <n v="368.48"/>
    <n v="3"/>
    <n v="0"/>
    <x v="0"/>
    <n v="0"/>
    <n v="0"/>
    <n v="0"/>
    <n v="246"/>
    <n v="1"/>
    <n v="2"/>
    <n v="2"/>
    <n v="5"/>
  </r>
  <r>
    <n v="973"/>
    <n v="68"/>
    <x v="0"/>
    <x v="0"/>
    <s v="Single"/>
    <x v="0"/>
    <x v="0"/>
    <n v="31"/>
    <x v="1"/>
    <n v="56.53"/>
    <n v="56.53"/>
    <n v="1"/>
    <n v="0"/>
    <x v="0"/>
    <n v="0"/>
    <n v="0"/>
    <n v="0"/>
    <n v="24"/>
    <n v="3"/>
    <n v="1"/>
    <n v="1"/>
    <n v="5"/>
  </r>
  <r>
    <n v="974"/>
    <n v="29"/>
    <x v="1"/>
    <x v="0"/>
    <s v="Single"/>
    <x v="2"/>
    <x v="0"/>
    <n v="46"/>
    <x v="0"/>
    <n v="1789.8100000000002"/>
    <n v="298.30166666666668"/>
    <n v="6"/>
    <n v="0"/>
    <x v="0"/>
    <n v="0"/>
    <n v="0"/>
    <n v="0"/>
    <n v="37"/>
    <n v="2"/>
    <n v="2"/>
    <n v="3"/>
    <n v="7"/>
  </r>
  <r>
    <n v="975"/>
    <n v="41"/>
    <x v="3"/>
    <x v="0"/>
    <s v="Married"/>
    <x v="2"/>
    <x v="1"/>
    <n v="19"/>
    <x v="0"/>
    <n v="1892.1799999999998"/>
    <n v="270.31142857142856"/>
    <n v="7"/>
    <n v="0"/>
    <x v="0"/>
    <n v="0"/>
    <n v="0"/>
    <n v="0"/>
    <n v="22"/>
    <n v="3"/>
    <n v="2"/>
    <n v="3"/>
    <n v="8"/>
  </r>
  <r>
    <n v="976"/>
    <n v="32"/>
    <x v="3"/>
    <x v="1"/>
    <s v="Divorced"/>
    <x v="0"/>
    <x v="0"/>
    <n v="44"/>
    <x v="2"/>
    <n v="557.62"/>
    <n v="278.81"/>
    <n v="2"/>
    <n v="0"/>
    <x v="0"/>
    <n v="0"/>
    <n v="0"/>
    <n v="0"/>
    <n v="289"/>
    <n v="1"/>
    <n v="1"/>
    <n v="1"/>
    <n v="3"/>
  </r>
  <r>
    <n v="977"/>
    <n v="57"/>
    <x v="2"/>
    <x v="0"/>
    <s v="Widowed"/>
    <x v="0"/>
    <x v="0"/>
    <n v="20"/>
    <x v="2"/>
    <n v="772.33999999999992"/>
    <n v="257.44666666666666"/>
    <n v="3"/>
    <n v="2"/>
    <x v="0"/>
    <n v="1"/>
    <n v="1"/>
    <n v="0"/>
    <n v="132"/>
    <n v="1"/>
    <n v="2"/>
    <n v="1"/>
    <n v="4"/>
  </r>
  <r>
    <n v="978"/>
    <n v="48"/>
    <x v="2"/>
    <x v="1"/>
    <s v="Married"/>
    <x v="1"/>
    <x v="0"/>
    <n v="26"/>
    <x v="0"/>
    <n v="1465.5"/>
    <n v="209.35714285714286"/>
    <n v="7"/>
    <n v="1"/>
    <x v="1"/>
    <n v="1"/>
    <n v="0"/>
    <n v="0"/>
    <n v="51"/>
    <n v="2"/>
    <n v="2"/>
    <n v="2"/>
    <n v="6"/>
  </r>
  <r>
    <n v="979"/>
    <n v="44"/>
    <x v="3"/>
    <x v="1"/>
    <s v="Widowed"/>
    <x v="0"/>
    <x v="1"/>
    <n v="6"/>
    <x v="1"/>
    <n v="1711.28"/>
    <n v="244.46857142857144"/>
    <n v="7"/>
    <n v="1"/>
    <x v="0"/>
    <n v="0"/>
    <n v="0"/>
    <n v="1"/>
    <n v="90"/>
    <n v="1"/>
    <n v="2"/>
    <n v="3"/>
    <n v="6"/>
  </r>
  <r>
    <n v="980"/>
    <n v="52"/>
    <x v="2"/>
    <x v="1"/>
    <s v="Widowed"/>
    <x v="0"/>
    <x v="0"/>
    <n v="28"/>
    <x v="2"/>
    <n v="2079.5"/>
    <n v="259.9375"/>
    <n v="8"/>
    <n v="1"/>
    <x v="1"/>
    <n v="1"/>
    <n v="0"/>
    <n v="0"/>
    <n v="7"/>
    <n v="3"/>
    <n v="3"/>
    <n v="3"/>
    <n v="9"/>
  </r>
  <r>
    <n v="981"/>
    <n v="35"/>
    <x v="3"/>
    <x v="0"/>
    <s v="Divorced"/>
    <x v="1"/>
    <x v="0"/>
    <n v="41"/>
    <x v="1"/>
    <n v="285.43"/>
    <n v="285.43"/>
    <n v="1"/>
    <n v="0"/>
    <x v="0"/>
    <n v="0"/>
    <n v="0"/>
    <n v="0"/>
    <n v="307"/>
    <n v="1"/>
    <n v="1"/>
    <n v="1"/>
    <n v="3"/>
  </r>
  <r>
    <n v="982"/>
    <n v="53"/>
    <x v="2"/>
    <x v="0"/>
    <s v="Married"/>
    <x v="2"/>
    <x v="1"/>
    <n v="4"/>
    <x v="0"/>
    <n v="913.21"/>
    <n v="152.20166666666668"/>
    <n v="6"/>
    <n v="1"/>
    <x v="0"/>
    <n v="0"/>
    <n v="1"/>
    <n v="0"/>
    <n v="105"/>
    <n v="1"/>
    <n v="2"/>
    <n v="2"/>
    <n v="5"/>
  </r>
  <r>
    <n v="983"/>
    <n v="25"/>
    <x v="1"/>
    <x v="1"/>
    <s v="Widowed"/>
    <x v="1"/>
    <x v="0"/>
    <n v="49"/>
    <x v="0"/>
    <n v="1395.3000000000002"/>
    <n v="279.06000000000006"/>
    <n v="5"/>
    <n v="2"/>
    <x v="1"/>
    <n v="1"/>
    <n v="0"/>
    <n v="0"/>
    <n v="40"/>
    <n v="2"/>
    <n v="2"/>
    <n v="2"/>
    <n v="6"/>
  </r>
  <r>
    <n v="984"/>
    <n v="63"/>
    <x v="0"/>
    <x v="1"/>
    <s v="Divorced"/>
    <x v="2"/>
    <x v="0"/>
    <n v="44"/>
    <x v="1"/>
    <n v="1127.04"/>
    <n v="140.88"/>
    <n v="8"/>
    <n v="1"/>
    <x v="0"/>
    <n v="1"/>
    <n v="0"/>
    <n v="0"/>
    <n v="9"/>
    <n v="3"/>
    <n v="3"/>
    <n v="2"/>
    <n v="8"/>
  </r>
  <r>
    <n v="985"/>
    <n v="66"/>
    <x v="0"/>
    <x v="1"/>
    <s v="Divorced"/>
    <x v="1"/>
    <x v="0"/>
    <n v="9"/>
    <x v="1"/>
    <n v="1752.58"/>
    <n v="350.51599999999996"/>
    <n v="5"/>
    <n v="2"/>
    <x v="1"/>
    <n v="0"/>
    <n v="0"/>
    <n v="1"/>
    <n v="9"/>
    <n v="3"/>
    <n v="2"/>
    <n v="3"/>
    <n v="8"/>
  </r>
  <r>
    <n v="986"/>
    <n v="55"/>
    <x v="2"/>
    <x v="1"/>
    <s v="Single"/>
    <x v="0"/>
    <x v="0"/>
    <n v="49"/>
    <x v="2"/>
    <n v="1392.6100000000001"/>
    <n v="198.94428571428574"/>
    <n v="7"/>
    <n v="2"/>
    <x v="0"/>
    <n v="1"/>
    <n v="1"/>
    <n v="0"/>
    <n v="83"/>
    <n v="1"/>
    <n v="2"/>
    <n v="2"/>
    <n v="5"/>
  </r>
  <r>
    <n v="987"/>
    <n v="22"/>
    <x v="1"/>
    <x v="0"/>
    <s v="Married"/>
    <x v="0"/>
    <x v="1"/>
    <n v="14"/>
    <x v="0"/>
    <n v="1683.65"/>
    <n v="240.52142857142857"/>
    <n v="7"/>
    <n v="0"/>
    <x v="0"/>
    <n v="0"/>
    <n v="0"/>
    <n v="0"/>
    <n v="9"/>
    <n v="3"/>
    <n v="2"/>
    <n v="3"/>
    <n v="8"/>
  </r>
  <r>
    <n v="988"/>
    <n v="31"/>
    <x v="3"/>
    <x v="1"/>
    <s v="Widowed"/>
    <x v="2"/>
    <x v="0"/>
    <n v="31"/>
    <x v="1"/>
    <n v="2543.12"/>
    <n v="282.56888888888886"/>
    <n v="9"/>
    <n v="2"/>
    <x v="1"/>
    <n v="1"/>
    <n v="1"/>
    <n v="0"/>
    <n v="33"/>
    <n v="2"/>
    <n v="3"/>
    <n v="3"/>
    <n v="8"/>
  </r>
  <r>
    <n v="989"/>
    <n v="55"/>
    <x v="2"/>
    <x v="0"/>
    <s v="Divorced"/>
    <x v="0"/>
    <x v="1"/>
    <n v="29"/>
    <x v="1"/>
    <n v="1530.42"/>
    <n v="218.63142857142859"/>
    <n v="7"/>
    <n v="2"/>
    <x v="1"/>
    <n v="1"/>
    <n v="0"/>
    <n v="0"/>
    <n v="104"/>
    <n v="1"/>
    <n v="2"/>
    <n v="2"/>
    <n v="5"/>
  </r>
  <r>
    <n v="990"/>
    <n v="37"/>
    <x v="3"/>
    <x v="1"/>
    <s v="Widowed"/>
    <x v="2"/>
    <x v="1"/>
    <n v="49"/>
    <x v="0"/>
    <n v="483.5"/>
    <n v="483.5"/>
    <n v="1"/>
    <n v="2"/>
    <x v="1"/>
    <n v="1"/>
    <n v="0"/>
    <n v="1"/>
    <n v="179"/>
    <n v="1"/>
    <n v="1"/>
    <n v="1"/>
    <n v="3"/>
  </r>
  <r>
    <n v="991"/>
    <n v="61"/>
    <x v="0"/>
    <x v="0"/>
    <s v="Married"/>
    <x v="1"/>
    <x v="0"/>
    <n v="22"/>
    <x v="1"/>
    <n v="801.36000000000013"/>
    <n v="267.12000000000006"/>
    <n v="3"/>
    <n v="0"/>
    <x v="0"/>
    <n v="0"/>
    <n v="0"/>
    <n v="0"/>
    <n v="8"/>
    <n v="3"/>
    <n v="2"/>
    <n v="1"/>
    <n v="6"/>
  </r>
  <r>
    <n v="992"/>
    <n v="26"/>
    <x v="1"/>
    <x v="0"/>
    <s v="Single"/>
    <x v="0"/>
    <x v="0"/>
    <n v="9"/>
    <x v="1"/>
    <n v="311.62"/>
    <n v="311.62"/>
    <n v="1"/>
    <n v="1"/>
    <x v="1"/>
    <n v="0"/>
    <n v="0"/>
    <n v="1"/>
    <n v="269"/>
    <n v="1"/>
    <n v="1"/>
    <n v="1"/>
    <n v="3"/>
  </r>
  <r>
    <n v="993"/>
    <n v="50"/>
    <x v="2"/>
    <x v="1"/>
    <s v="Widowed"/>
    <x v="2"/>
    <x v="0"/>
    <n v="11"/>
    <x v="1"/>
    <n v="81.64"/>
    <n v="81.64"/>
    <n v="1"/>
    <n v="0"/>
    <x v="0"/>
    <n v="0"/>
    <n v="0"/>
    <n v="0"/>
    <n v="317"/>
    <n v="1"/>
    <n v="1"/>
    <n v="1"/>
    <n v="3"/>
  </r>
  <r>
    <n v="994"/>
    <n v="35"/>
    <x v="3"/>
    <x v="1"/>
    <s v="Single"/>
    <x v="1"/>
    <x v="0"/>
    <n v="25"/>
    <x v="0"/>
    <n v="1801.34"/>
    <n v="200.14888888888888"/>
    <n v="9"/>
    <n v="2"/>
    <x v="1"/>
    <n v="1"/>
    <n v="0"/>
    <n v="0"/>
    <n v="15"/>
    <n v="3"/>
    <n v="3"/>
    <n v="3"/>
    <n v="9"/>
  </r>
  <r>
    <n v="995"/>
    <n v="23"/>
    <x v="1"/>
    <x v="1"/>
    <s v="Divorced"/>
    <x v="0"/>
    <x v="1"/>
    <n v="34"/>
    <x v="1"/>
    <n v="1020"/>
    <n v="204"/>
    <n v="5"/>
    <n v="1"/>
    <x v="0"/>
    <n v="0"/>
    <n v="1"/>
    <n v="0"/>
    <n v="4"/>
    <n v="3"/>
    <n v="2"/>
    <n v="2"/>
    <n v="7"/>
  </r>
  <r>
    <n v="996"/>
    <n v="54"/>
    <x v="2"/>
    <x v="1"/>
    <s v="Single"/>
    <x v="0"/>
    <x v="0"/>
    <n v="38"/>
    <x v="0"/>
    <n v="227.25"/>
    <n v="227.25"/>
    <n v="1"/>
    <n v="0"/>
    <x v="0"/>
    <n v="0"/>
    <n v="0"/>
    <n v="0"/>
    <n v="160"/>
    <n v="1"/>
    <n v="1"/>
    <n v="1"/>
    <n v="3"/>
  </r>
  <r>
    <n v="997"/>
    <n v="19"/>
    <x v="1"/>
    <x v="0"/>
    <s v="Widowed"/>
    <x v="2"/>
    <x v="0"/>
    <n v="5"/>
    <x v="0"/>
    <n v="419.82"/>
    <n v="209.91"/>
    <n v="2"/>
    <n v="0"/>
    <x v="0"/>
    <n v="0"/>
    <n v="0"/>
    <n v="0"/>
    <n v="67"/>
    <n v="2"/>
    <n v="1"/>
    <n v="1"/>
    <n v="4"/>
  </r>
  <r>
    <n v="998"/>
    <n v="47"/>
    <x v="2"/>
    <x v="0"/>
    <s v="Married"/>
    <x v="0"/>
    <x v="0"/>
    <n v="47"/>
    <x v="1"/>
    <n v="252.15"/>
    <n v="252.15"/>
    <n v="1"/>
    <n v="0"/>
    <x v="0"/>
    <n v="0"/>
    <n v="0"/>
    <n v="0"/>
    <n v="104"/>
    <n v="1"/>
    <n v="1"/>
    <n v="1"/>
    <n v="3"/>
  </r>
  <r>
    <n v="999"/>
    <n v="23"/>
    <x v="1"/>
    <x v="0"/>
    <s v="Widowed"/>
    <x v="2"/>
    <x v="0"/>
    <n v="23"/>
    <x v="1"/>
    <n v="2393.2599999999998"/>
    <n v="265.91777777777776"/>
    <n v="9"/>
    <n v="0"/>
    <x v="0"/>
    <n v="0"/>
    <n v="0"/>
    <n v="0"/>
    <n v="24"/>
    <n v="3"/>
    <n v="3"/>
    <n v="3"/>
    <n v="9"/>
  </r>
  <r>
    <n v="1000"/>
    <n v="34"/>
    <x v="3"/>
    <x v="0"/>
    <s v="Widowed"/>
    <x v="0"/>
    <x v="0"/>
    <n v="22"/>
    <x v="0"/>
    <n v="1670.79"/>
    <n v="278.46499999999997"/>
    <n v="6"/>
    <n v="0"/>
    <x v="0"/>
    <n v="0"/>
    <n v="0"/>
    <n v="0"/>
    <n v="18"/>
    <n v="3"/>
    <n v="2"/>
    <n v="3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21AB20-BB65-45FB-BBE4-B3733B45D902}" name="PivotTable4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>
  <location ref="A100:D104" firstHeaderRow="1" firstDataRow="2" firstDataCol="1"/>
  <pivotFields count="22">
    <pivotField showAll="0"/>
    <pivotField showAll="0"/>
    <pivotField showAll="0">
      <items count="5">
        <item x="1"/>
        <item x="3"/>
        <item x="2"/>
        <item x="0"/>
        <item t="default"/>
      </items>
    </pivotField>
    <pivotField showAll="0"/>
    <pivotField showAll="0"/>
    <pivotField showAll="0">
      <items count="4">
        <item x="2"/>
        <item x="0"/>
        <item x="1"/>
        <item t="default"/>
      </items>
    </pivotField>
    <pivotField axis="axisCol" showAll="0">
      <items count="3">
        <item n="Non-churn" x="0"/>
        <item n="Churn" x="1"/>
        <item t="default"/>
      </items>
    </pivotField>
    <pivotField dataField="1" showAll="0"/>
    <pivotField showAll="0">
      <items count="4">
        <item x="0"/>
        <item x="2"/>
        <item x="1"/>
        <item t="default"/>
      </items>
    </pivotField>
    <pivotField numFmtId="43" showAll="0"/>
    <pivotField numFmtId="43" showAll="0"/>
    <pivotField showAll="0"/>
    <pivotField showAll="0"/>
    <pivotField axis="axisRow" showAll="0">
      <items count="3">
        <item n="No Unresolved" x="0"/>
        <item n="Has Unresolved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3">
    <i>
      <x/>
    </i>
    <i>
      <x v="1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 of LoginFrequency" fld="7" subtotal="count" baseField="13" baseItem="0"/>
  </dataFields>
  <chartFormats count="5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C2579A-6B69-4C6D-A246-7BE7F9450628}" name="PivotTable7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A84:B87" firstHeaderRow="1" firstDataRow="1" firstDataCol="1"/>
  <pivotFields count="22">
    <pivotField showAll="0"/>
    <pivotField showAll="0"/>
    <pivotField showAll="0">
      <items count="5">
        <item x="1"/>
        <item x="3"/>
        <item x="2"/>
        <item x="0"/>
        <item t="default"/>
      </items>
    </pivotField>
    <pivotField showAll="0"/>
    <pivotField showAll="0"/>
    <pivotField showAll="0">
      <items count="4">
        <item x="2"/>
        <item x="0"/>
        <item x="1"/>
        <item t="default"/>
      </items>
    </pivotField>
    <pivotField axis="axisRow" showAll="0">
      <items count="3">
        <item n="Non-Churn" x="0"/>
        <item n="Churn" x="1"/>
        <item t="default"/>
      </items>
    </pivotField>
    <pivotField dataField="1" showAll="0"/>
    <pivotField showAll="0">
      <items count="4">
        <item x="0"/>
        <item x="2"/>
        <item x="1"/>
        <item t="default"/>
      </items>
    </pivotField>
    <pivotField numFmtId="43"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Average of LoginFrequency" fld="7" subtotal="average" baseField="6" baseItem="0"/>
  </dataFields>
  <formats count="1">
    <format dxfId="1">
      <pivotArea collapsedLevelsAreSubtotals="1" fieldPosition="0">
        <references count="1">
          <reference field="6" count="0"/>
        </references>
      </pivotArea>
    </format>
  </format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C1A209-EA4B-4124-BE1A-8AC7D3649CB4}" name="PivotTable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1:B4" firstHeaderRow="1" firstDataRow="1" firstDataCol="1"/>
  <pivotFields count="22">
    <pivotField dataField="1" showAll="0"/>
    <pivotField showAll="0"/>
    <pivotField showAll="0"/>
    <pivotField showAll="0"/>
    <pivotField showAll="0"/>
    <pivotField showAll="0"/>
    <pivotField axis="axisRow" showAll="0">
      <items count="3">
        <item n="Non-Churn" x="0"/>
        <item n="Churn" x="1"/>
        <item t="default"/>
      </items>
    </pivotField>
    <pivotField showAll="0"/>
    <pivotField showAll="0"/>
    <pivotField numFmtId="43"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CustomerID" fld="0" subtotal="count" baseField="5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6B9639-BE5E-4F09-9BA5-9818CD16AED4}" name="PivotTable6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68:D73" firstHeaderRow="1" firstDataRow="2" firstDataCol="1"/>
  <pivotFields count="22">
    <pivotField dataField="1" showAll="0"/>
    <pivotField showAll="0"/>
    <pivotField showAll="0">
      <items count="5">
        <item x="1"/>
        <item x="3"/>
        <item x="2"/>
        <item x="0"/>
        <item t="default"/>
      </items>
    </pivotField>
    <pivotField showAll="0"/>
    <pivotField showAll="0"/>
    <pivotField showAll="0">
      <items count="4">
        <item x="2"/>
        <item x="0"/>
        <item x="1"/>
        <item t="default"/>
      </items>
    </pivotField>
    <pivotField axis="axisCol" showAll="0">
      <items count="3">
        <item n="Non_Churn" x="0"/>
        <item n="Churn" x="1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numFmtId="43"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 of CustomerID" fld="0" subtotal="count" baseField="5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FB1B0E-3EFB-40A3-938A-098E4AFA8645}" name="PivotTable5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52:D58" firstHeaderRow="1" firstDataRow="2" firstDataCol="1"/>
  <pivotFields count="22">
    <pivotField dataField="1"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>
      <items count="4">
        <item x="2"/>
        <item x="0"/>
        <item x="1"/>
        <item t="default"/>
      </items>
    </pivotField>
    <pivotField axis="axisCol" showAll="0">
      <items count="3">
        <item n="Non-Churn" x="0"/>
        <item n="Churn" x="1"/>
        <item t="default"/>
      </items>
    </pivotField>
    <pivotField showAll="0"/>
    <pivotField showAll="0"/>
    <pivotField numFmtId="43"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 of CustomerID" fld="0" subtotal="count" baseField="5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9C6987-7DE5-4BB5-AAAB-BFD742EF4B9A}" name="PivotTable3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5:D40" firstHeaderRow="1" firstDataRow="2" firstDataCol="1"/>
  <pivotFields count="22">
    <pivotField dataField="1"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axis="axisCol" showAll="0">
      <items count="3">
        <item n="Non-Churn" x="0"/>
        <item n="Churn" x="1"/>
        <item t="default"/>
      </items>
    </pivotField>
    <pivotField showAll="0"/>
    <pivotField showAll="0"/>
    <pivotField numFmtId="43"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 of CustomerID" fld="0" subtotal="count" baseField="5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03B600-DD20-487E-8131-8DC11444BA29}" name="PivotTable2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18:D22" firstHeaderRow="1" firstDataRow="2" firstDataCol="1"/>
  <pivotFields count="22">
    <pivotField dataField="1" showAll="0"/>
    <pivotField showAll="0"/>
    <pivotField showAll="0"/>
    <pivotField axis="axisRow" showAll="0">
      <items count="3">
        <item n="Female" x="1"/>
        <item n="Male" x="0"/>
        <item t="default"/>
      </items>
    </pivotField>
    <pivotField showAll="0"/>
    <pivotField showAll="0"/>
    <pivotField axis="axisCol" showAll="0">
      <items count="3">
        <item n="Non-Churn" x="0"/>
        <item n="Churn" x="1"/>
        <item t="default"/>
      </items>
    </pivotField>
    <pivotField showAll="0"/>
    <pivotField showAll="0"/>
    <pivotField numFmtId="43"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 of CustomerID" fld="0" subtotal="count" baseField="5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78E7DB9-B4C8-4F75-87EE-EF8758F4F7C9}" name="Table6" displayName="Table6" ref="A1:V1001" totalsRowShown="0">
  <autoFilter ref="A1:V1001" xr:uid="{B78E7DB9-B4C8-4F75-87EE-EF8758F4F7C9}"/>
  <tableColumns count="22">
    <tableColumn id="1" xr3:uid="{CF7B2DEF-5539-4663-B213-12F668AF79B0}" name="CustomerID"/>
    <tableColumn id="2" xr3:uid="{E3722200-E19D-4C8D-BEA2-B995D8686826}" name="Age"/>
    <tableColumn id="22" xr3:uid="{41037BCF-D8C9-4771-95D1-177105A80301}" name="Age_Group" dataDxfId="39"/>
    <tableColumn id="3" xr3:uid="{AE794430-2D1E-467B-A5AC-85A47E90BD0D}" name="Gender"/>
    <tableColumn id="4" xr3:uid="{3AEE39DA-1EF8-48BF-882A-6C23E5E6B86C}" name="MaritalStatus"/>
    <tableColumn id="5" xr3:uid="{A1CE60D4-F108-46E4-B84E-D1ABD958B6EF}" name="IncomeLevel"/>
    <tableColumn id="6" xr3:uid="{8EF6BCCE-8439-4365-B08B-C4F457103810}" name="ChurnStatus"/>
    <tableColumn id="7" xr3:uid="{271EC782-1722-47A6-8FFA-00ACB77892DC}" name="LoginFrequency"/>
    <tableColumn id="8" xr3:uid="{E1F88840-07AF-4E06-954D-96409DF2FA2F}" name="ServiceUsage"/>
    <tableColumn id="9" xr3:uid="{4DF2A97D-2E93-414B-806F-8745C5CD4DDC}" name="Total_Amount_Spent" dataDxfId="38" dataCellStyle="Comma"/>
    <tableColumn id="10" xr3:uid="{128CD754-93A3-4AE3-ACF4-503896A27797}" name="Avg_Amount_Spent" dataDxfId="37" dataCellStyle="Comma"/>
    <tableColumn id="11" xr3:uid="{A3C0A820-3865-452B-ADF6-0FDA52805E93}" name="Jumlah_Transaksi"/>
    <tableColumn id="12" xr3:uid="{668758FA-F352-4D18-96B7-179C1406EF7D}" name="Total_Interaction"/>
    <tableColumn id="13" xr3:uid="{39A77813-A97C-4EEC-9D71-EFD80FE835AF}" name="Has_Unresolved"/>
    <tableColumn id="14" xr3:uid="{5FF2D801-450E-4A6A-A9F1-9342DFE43E67}" name="Pernah_Complaint"/>
    <tableColumn id="15" xr3:uid="{F69CF8F3-49D0-4B1F-B1D3-7CAF9CC30DB8}" name="Pernah_Inquiry" dataDxfId="36"/>
    <tableColumn id="16" xr3:uid="{5C45E3BC-689E-4DE1-B015-43FA0858DC87}" name="Pernah_Feedback" dataDxfId="35"/>
    <tableColumn id="17" xr3:uid="{D5018EBA-84E5-4738-B028-A631DC9FF52D}" name="Recency_Days" dataDxfId="34"/>
    <tableColumn id="18" xr3:uid="{90F633AF-7B45-4949-9142-E6644F9C941E}" name="Recency_Score" dataDxfId="33"/>
    <tableColumn id="19" xr3:uid="{87C6F55B-D059-473B-8CF0-44250B9008DA}" name="Frequency_Score" dataDxfId="32"/>
    <tableColumn id="20" xr3:uid="{D6255744-6F15-4B6F-B125-5C16FF5E9DDB}" name="Monetary_Score" dataDxfId="31"/>
    <tableColumn id="21" xr3:uid="{2D8072A8-8CB8-4927-8575-3C49984236DC}" name="RFM_Score" dataDxfId="3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BD1C93-FDBB-4965-BDC0-028CD2490B7E}" name="Table1" displayName="Table1" ref="A1:D22" totalsRowShown="0">
  <autoFilter ref="A1:D22" xr:uid="{BDBD1C93-FDBB-4965-BDC0-028CD2490B7E}"/>
  <tableColumns count="4">
    <tableColumn id="1" xr3:uid="{D6C1D43A-117B-4DFB-A8DD-A0847A2FC1E4}" name="Kolom"/>
    <tableColumn id="2" xr3:uid="{9F53B47C-3B48-4F79-B7D5-7FE35BA6383D}" name="Total_Null" dataDxfId="29">
      <calculatedColumnFormula>COUNTBLANK(Customer_level!B$2:B$1001)</calculatedColumnFormula>
    </tableColumn>
    <tableColumn id="3" xr3:uid="{4891C4CE-79FB-4BCB-8435-B72312B10C23}" name="Persentase">
      <calculatedColumnFormula>B2/1000*100</calculatedColumnFormula>
    </tableColumn>
    <tableColumn id="4" xr3:uid="{6E7BDDB4-C416-4D03-BFCD-E7BCE1ED41D5}" name="Metod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0B85BD-0648-4869-A0FE-049D4AA329D8}" name="Table2" displayName="Table2" ref="A30:I36" totalsRowShown="0">
  <autoFilter ref="A30:I36" xr:uid="{710B85BD-0648-4869-A0FE-049D4AA329D8}"/>
  <tableColumns count="9">
    <tableColumn id="1" xr3:uid="{67249DB0-7F48-4618-A8CA-2B1721850847}" name="Kolom" dataDxfId="28"/>
    <tableColumn id="2" xr3:uid="{E28C3CC2-8D7B-4A2E-BA05-F003E0A93944}" name="Q1" dataDxfId="27"/>
    <tableColumn id="3" xr3:uid="{2ACAFB57-D1C8-4F8C-B0E0-DD42185CEF84}" name="Q3" dataDxfId="26"/>
    <tableColumn id="4" xr3:uid="{8D3C2078-FE98-479A-9428-69C2B622EDEF}" name="IQR" dataDxfId="25">
      <calculatedColumnFormula>C31-B31</calculatedColumnFormula>
    </tableColumn>
    <tableColumn id="5" xr3:uid="{E400E4F7-3876-4999-B60A-36473C77D208}" name="Lower_Bound" dataDxfId="24">
      <calculatedColumnFormula>B31-(1.5*D31)</calculatedColumnFormula>
    </tableColumn>
    <tableColumn id="6" xr3:uid="{2852E0C7-3D57-4675-9FDA-D3DBA70B5361}" name="Upper_Bound" dataDxfId="23">
      <calculatedColumnFormula>C31+(1.5*D31)</calculatedColumnFormula>
    </tableColumn>
    <tableColumn id="7" xr3:uid="{4C893F65-79F6-4560-8A8E-A4D09172CE02}" name="Count_Outlier" dataDxfId="22"/>
    <tableColumn id="10" xr3:uid="{31B79853-B3DF-4E41-A8FF-C66F06E383C1}" name="Pct_Outlier" dataDxfId="21">
      <calculatedColumnFormula>Table2[[#This Row],[Count_Outlier]]/1000*100</calculatedColumnFormula>
    </tableColumn>
    <tableColumn id="8" xr3:uid="{B8A226B7-8416-45FE-83E9-BC11A1AB2430}" name="Keputusa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B760C8-C3B7-4974-A1CE-1D2AF60EB3D0}" name="Table64" displayName="Table64" ref="A1:Z1001" totalsRowShown="0">
  <autoFilter ref="A1:Z1001" xr:uid="{97B760C8-C3B7-4974-A1CE-1D2AF60EB3D0}"/>
  <tableColumns count="26">
    <tableColumn id="1" xr3:uid="{221B42F3-A32E-4A9D-A9AA-FD22EB95FC94}" name="CustomerID"/>
    <tableColumn id="2" xr3:uid="{626DC187-1354-4E6A-AB37-C97AA9DB5FDD}" name="Age" dataDxfId="20"/>
    <tableColumn id="3" xr3:uid="{CB45F012-E899-4468-AE80-022C4B91C854}" name="Gender-Encoded"/>
    <tableColumn id="4" xr3:uid="{0A71C754-8632-41EB-AD20-70BB08112D5A}" name="MS_Single"/>
    <tableColumn id="23" xr3:uid="{F2DA075D-705F-476B-8818-90BE92C27EB8}" name="MS_Married" dataDxfId="19"/>
    <tableColumn id="22" xr3:uid="{F1B92ECE-49AB-4BDA-99C2-FF543C905CB3}" name="MS_Divorced" dataDxfId="18"/>
    <tableColumn id="24" xr3:uid="{075A6F99-23A6-4932-9C1A-D6F95D456BA0}" name="MS_Widowed" dataDxfId="17"/>
    <tableColumn id="5" xr3:uid="{76EE8D3E-24BB-44B9-8825-134F878D88C1}" name="IncomeLevel"/>
    <tableColumn id="6" xr3:uid="{8484B90F-05C1-47AD-8C1C-BA24EA8E275E}" name="ChurnStatus"/>
    <tableColumn id="7" xr3:uid="{CC5F6798-B18D-4CCB-8F0D-B5DFCCACDC77}" name="LoginFrequency" dataDxfId="16"/>
    <tableColumn id="8" xr3:uid="{63372DA8-70CE-4693-B982-69E9D0D18131}" name="Su_MobileApp"/>
    <tableColumn id="26" xr3:uid="{2DC0148A-FFFC-4264-9083-C6253862420B}" name="SU_Website" dataDxfId="15"/>
    <tableColumn id="25" xr3:uid="{5B51313F-DC7D-4DE2-85B8-4568C52E6ECA}" name="SU_OnlineBanking" dataDxfId="14"/>
    <tableColumn id="9" xr3:uid="{3222B6A9-6EA2-4255-AC30-E1D3BE6500E1}" name="Total_Amount_Spent" dataDxfId="13" dataCellStyle="Comma"/>
    <tableColumn id="10" xr3:uid="{92DE365D-417A-42F3-B555-CE82B0512DD1}" name="Avg_Amount_Spent" dataDxfId="12" dataCellStyle="Comma"/>
    <tableColumn id="11" xr3:uid="{BBF5A3EB-281A-4FF3-847F-B1AB4284D7F6}" name="Jumlah_Transaksi" dataDxfId="11"/>
    <tableColumn id="12" xr3:uid="{7058161F-14B6-4EC8-8BAE-64EE4651EDDE}" name="Total_Interaction"/>
    <tableColumn id="13" xr3:uid="{915EDA7E-E24D-4147-AFA4-9C577FE3D222}" name="Has_Unresolved"/>
    <tableColumn id="14" xr3:uid="{993C927F-6C04-45C0-932A-41D2B92EFE59}" name="Pernah_Complaint"/>
    <tableColumn id="15" xr3:uid="{D67F6076-7B06-4725-9487-371C85BE59EE}" name="Pernah_Inquiry" dataDxfId="10"/>
    <tableColumn id="16" xr3:uid="{A5433675-3CEF-4A8E-9E68-DA8B6CF7617B}" name="Pernah_Feedback" dataDxfId="9"/>
    <tableColumn id="17" xr3:uid="{31488D81-03E4-4187-AE77-92B806412F16}" name="Recency_Days" dataDxfId="8"/>
    <tableColumn id="18" xr3:uid="{067347FF-37E8-4EAB-83AD-0B1899BB52A3}" name="Recency_Score" dataDxfId="7"/>
    <tableColumn id="19" xr3:uid="{DC62D183-0D3F-4D25-AF3E-D7E8C74F9DB8}" name="Frequency_Score" dataDxfId="6"/>
    <tableColumn id="20" xr3:uid="{F77E0634-3599-4A13-B23E-C3FE61F24FF4}" name="Monetary_Score" dataDxfId="5"/>
    <tableColumn id="21" xr3:uid="{740DA299-5F93-43FA-ABDD-8F296CF31A41}" name="RFM_Score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D662F-6811-406C-89C5-C1AB99FCF3DF}">
  <dimension ref="A1:D104"/>
  <sheetViews>
    <sheetView tabSelected="1" topLeftCell="A40" zoomScale="80" zoomScaleNormal="80" workbookViewId="0">
      <selection activeCell="E50" sqref="E50"/>
    </sheetView>
  </sheetViews>
  <sheetFormatPr defaultRowHeight="14.5" x14ac:dyDescent="0.35"/>
  <cols>
    <col min="1" max="1" width="22.90625" bestFit="1" customWidth="1"/>
    <col min="2" max="2" width="16.453125" bestFit="1" customWidth="1"/>
    <col min="3" max="3" width="6.26953125" bestFit="1" customWidth="1"/>
    <col min="4" max="4" width="11" bestFit="1" customWidth="1"/>
    <col min="6" max="6" width="9.54296875" bestFit="1" customWidth="1"/>
    <col min="7" max="7" width="13.81640625" customWidth="1"/>
    <col min="8" max="8" width="17.36328125" customWidth="1"/>
  </cols>
  <sheetData>
    <row r="1" spans="1:2" x14ac:dyDescent="0.35">
      <c r="A1" s="12" t="s">
        <v>67</v>
      </c>
      <c r="B1" t="s">
        <v>69</v>
      </c>
    </row>
    <row r="2" spans="1:2" x14ac:dyDescent="0.35">
      <c r="A2" s="13" t="s">
        <v>80</v>
      </c>
      <c r="B2" s="5">
        <v>796</v>
      </c>
    </row>
    <row r="3" spans="1:2" x14ac:dyDescent="0.35">
      <c r="A3" s="13" t="s">
        <v>81</v>
      </c>
      <c r="B3" s="5">
        <v>204</v>
      </c>
    </row>
    <row r="4" spans="1:2" x14ac:dyDescent="0.35">
      <c r="A4" s="13" t="s">
        <v>68</v>
      </c>
      <c r="B4" s="5">
        <v>1000</v>
      </c>
    </row>
    <row r="5" spans="1:2" x14ac:dyDescent="0.35">
      <c r="A5" s="13"/>
      <c r="B5" s="5"/>
    </row>
    <row r="6" spans="1:2" x14ac:dyDescent="0.35">
      <c r="A6" s="13"/>
      <c r="B6" s="5"/>
    </row>
    <row r="7" spans="1:2" x14ac:dyDescent="0.35">
      <c r="A7" s="13"/>
      <c r="B7" s="5"/>
    </row>
    <row r="8" spans="1:2" x14ac:dyDescent="0.35">
      <c r="A8" s="13"/>
      <c r="B8" s="5"/>
    </row>
    <row r="9" spans="1:2" x14ac:dyDescent="0.35">
      <c r="A9" s="13"/>
      <c r="B9" s="5"/>
    </row>
    <row r="10" spans="1:2" x14ac:dyDescent="0.35">
      <c r="A10" s="13"/>
      <c r="B10" s="5"/>
    </row>
    <row r="11" spans="1:2" x14ac:dyDescent="0.35">
      <c r="A11" s="13"/>
      <c r="B11" s="5"/>
    </row>
    <row r="12" spans="1:2" x14ac:dyDescent="0.35">
      <c r="A12" s="13"/>
      <c r="B12" s="5"/>
    </row>
    <row r="13" spans="1:2" x14ac:dyDescent="0.35">
      <c r="A13" s="13"/>
      <c r="B13" s="5"/>
    </row>
    <row r="14" spans="1:2" x14ac:dyDescent="0.35">
      <c r="A14" s="13"/>
      <c r="B14" s="5"/>
    </row>
    <row r="15" spans="1:2" x14ac:dyDescent="0.35">
      <c r="A15" s="13"/>
      <c r="B15" s="5"/>
    </row>
    <row r="16" spans="1:2" x14ac:dyDescent="0.35">
      <c r="A16" s="13"/>
      <c r="B16" s="5"/>
    </row>
    <row r="18" spans="1:4" x14ac:dyDescent="0.35">
      <c r="A18" s="12" t="s">
        <v>69</v>
      </c>
      <c r="B18" s="12" t="s">
        <v>70</v>
      </c>
    </row>
    <row r="19" spans="1:4" x14ac:dyDescent="0.35">
      <c r="A19" s="12" t="s">
        <v>67</v>
      </c>
      <c r="B19" t="s">
        <v>80</v>
      </c>
      <c r="C19" t="s">
        <v>81</v>
      </c>
      <c r="D19" t="s">
        <v>68</v>
      </c>
    </row>
    <row r="20" spans="1:4" x14ac:dyDescent="0.35">
      <c r="A20" s="13" t="s">
        <v>83</v>
      </c>
      <c r="B20" s="5">
        <v>412</v>
      </c>
      <c r="C20" s="5">
        <v>101</v>
      </c>
      <c r="D20" s="5">
        <v>513</v>
      </c>
    </row>
    <row r="21" spans="1:4" x14ac:dyDescent="0.35">
      <c r="A21" s="13" t="s">
        <v>82</v>
      </c>
      <c r="B21" s="5">
        <v>384</v>
      </c>
      <c r="C21" s="5">
        <v>103</v>
      </c>
      <c r="D21" s="5">
        <v>487</v>
      </c>
    </row>
    <row r="22" spans="1:4" x14ac:dyDescent="0.35">
      <c r="A22" s="13" t="s">
        <v>68</v>
      </c>
      <c r="B22" s="5">
        <v>796</v>
      </c>
      <c r="C22" s="5">
        <v>204</v>
      </c>
      <c r="D22" s="5">
        <v>1000</v>
      </c>
    </row>
    <row r="35" spans="1:4" x14ac:dyDescent="0.35">
      <c r="A35" s="12" t="s">
        <v>69</v>
      </c>
      <c r="B35" s="12" t="s">
        <v>70</v>
      </c>
    </row>
    <row r="36" spans="1:4" x14ac:dyDescent="0.35">
      <c r="A36" s="12" t="s">
        <v>67</v>
      </c>
      <c r="B36" t="s">
        <v>80</v>
      </c>
      <c r="C36" t="s">
        <v>81</v>
      </c>
      <c r="D36" t="s">
        <v>68</v>
      </c>
    </row>
    <row r="37" spans="1:4" x14ac:dyDescent="0.35">
      <c r="A37" s="13" t="s">
        <v>13</v>
      </c>
      <c r="B37" s="5">
        <v>282</v>
      </c>
      <c r="C37" s="5">
        <v>67</v>
      </c>
      <c r="D37" s="5">
        <v>349</v>
      </c>
    </row>
    <row r="38" spans="1:4" x14ac:dyDescent="0.35">
      <c r="A38" s="13" t="s">
        <v>11</v>
      </c>
      <c r="B38" s="5">
        <v>253</v>
      </c>
      <c r="C38" s="5">
        <v>72</v>
      </c>
      <c r="D38" s="5">
        <v>325</v>
      </c>
    </row>
    <row r="39" spans="1:4" x14ac:dyDescent="0.35">
      <c r="A39" s="13" t="s">
        <v>12</v>
      </c>
      <c r="B39" s="5">
        <v>261</v>
      </c>
      <c r="C39" s="5">
        <v>65</v>
      </c>
      <c r="D39" s="5">
        <v>326</v>
      </c>
    </row>
    <row r="40" spans="1:4" x14ac:dyDescent="0.35">
      <c r="A40" s="13" t="s">
        <v>68</v>
      </c>
      <c r="B40" s="5">
        <v>796</v>
      </c>
      <c r="C40" s="5">
        <v>204</v>
      </c>
      <c r="D40" s="5">
        <v>1000</v>
      </c>
    </row>
    <row r="52" spans="1:4" x14ac:dyDescent="0.35">
      <c r="A52" s="12" t="s">
        <v>69</v>
      </c>
      <c r="B52" s="12" t="s">
        <v>70</v>
      </c>
    </row>
    <row r="53" spans="1:4" x14ac:dyDescent="0.35">
      <c r="A53" s="12" t="s">
        <v>67</v>
      </c>
      <c r="B53" t="s">
        <v>80</v>
      </c>
      <c r="C53" t="s">
        <v>81</v>
      </c>
      <c r="D53" t="s">
        <v>68</v>
      </c>
    </row>
    <row r="54" spans="1:4" x14ac:dyDescent="0.35">
      <c r="A54" s="13" t="s">
        <v>73</v>
      </c>
      <c r="B54" s="5">
        <v>214</v>
      </c>
      <c r="C54" s="5">
        <v>52</v>
      </c>
      <c r="D54" s="5">
        <v>266</v>
      </c>
    </row>
    <row r="55" spans="1:4" x14ac:dyDescent="0.35">
      <c r="A55" s="13" t="s">
        <v>75</v>
      </c>
      <c r="B55" s="5">
        <v>216</v>
      </c>
      <c r="C55" s="5">
        <v>60</v>
      </c>
      <c r="D55" s="5">
        <v>276</v>
      </c>
    </row>
    <row r="56" spans="1:4" x14ac:dyDescent="0.35">
      <c r="A56" s="13" t="s">
        <v>74</v>
      </c>
      <c r="B56" s="5">
        <v>228</v>
      </c>
      <c r="C56" s="5">
        <v>56</v>
      </c>
      <c r="D56" s="5">
        <v>284</v>
      </c>
    </row>
    <row r="57" spans="1:4" x14ac:dyDescent="0.35">
      <c r="A57" s="13" t="s">
        <v>72</v>
      </c>
      <c r="B57" s="5">
        <v>138</v>
      </c>
      <c r="C57" s="5">
        <v>36</v>
      </c>
      <c r="D57" s="5">
        <v>174</v>
      </c>
    </row>
    <row r="58" spans="1:4" x14ac:dyDescent="0.35">
      <c r="A58" s="13" t="s">
        <v>68</v>
      </c>
      <c r="B58" s="5">
        <v>796</v>
      </c>
      <c r="C58" s="5">
        <v>204</v>
      </c>
      <c r="D58" s="5">
        <v>1000</v>
      </c>
    </row>
    <row r="68" spans="1:4" x14ac:dyDescent="0.35">
      <c r="A68" s="12" t="s">
        <v>69</v>
      </c>
      <c r="B68" s="12" t="s">
        <v>70</v>
      </c>
    </row>
    <row r="69" spans="1:4" x14ac:dyDescent="0.35">
      <c r="A69" s="12" t="s">
        <v>67</v>
      </c>
      <c r="B69" t="s">
        <v>84</v>
      </c>
      <c r="C69" t="s">
        <v>81</v>
      </c>
      <c r="D69" t="s">
        <v>68</v>
      </c>
    </row>
    <row r="70" spans="1:4" x14ac:dyDescent="0.35">
      <c r="A70" s="13" t="s">
        <v>16</v>
      </c>
      <c r="B70" s="5">
        <v>263</v>
      </c>
      <c r="C70" s="5">
        <v>79</v>
      </c>
      <c r="D70" s="5">
        <v>342</v>
      </c>
    </row>
    <row r="71" spans="1:4" x14ac:dyDescent="0.35">
      <c r="A71" s="13" t="s">
        <v>18</v>
      </c>
      <c r="B71" s="5">
        <v>279</v>
      </c>
      <c r="C71" s="5">
        <v>70</v>
      </c>
      <c r="D71" s="5">
        <v>349</v>
      </c>
    </row>
    <row r="72" spans="1:4" x14ac:dyDescent="0.35">
      <c r="A72" s="13" t="s">
        <v>17</v>
      </c>
      <c r="B72" s="5">
        <v>254</v>
      </c>
      <c r="C72" s="5">
        <v>55</v>
      </c>
      <c r="D72" s="5">
        <v>309</v>
      </c>
    </row>
    <row r="73" spans="1:4" x14ac:dyDescent="0.35">
      <c r="A73" s="13" t="s">
        <v>68</v>
      </c>
      <c r="B73" s="5">
        <v>796</v>
      </c>
      <c r="C73" s="5">
        <v>204</v>
      </c>
      <c r="D73" s="5">
        <v>1000</v>
      </c>
    </row>
    <row r="84" spans="1:2" x14ac:dyDescent="0.35">
      <c r="A84" s="12" t="s">
        <v>67</v>
      </c>
      <c r="B84" t="s">
        <v>76</v>
      </c>
    </row>
    <row r="85" spans="1:2" x14ac:dyDescent="0.35">
      <c r="A85" s="13" t="s">
        <v>80</v>
      </c>
      <c r="B85" s="14">
        <v>26.492462311557787</v>
      </c>
    </row>
    <row r="86" spans="1:2" x14ac:dyDescent="0.35">
      <c r="A86" s="13" t="s">
        <v>81</v>
      </c>
      <c r="B86" s="14">
        <v>23.647058823529413</v>
      </c>
    </row>
    <row r="87" spans="1:2" x14ac:dyDescent="0.35">
      <c r="A87" s="13" t="s">
        <v>68</v>
      </c>
      <c r="B87" s="5">
        <v>25.911999999999999</v>
      </c>
    </row>
    <row r="100" spans="1:4" x14ac:dyDescent="0.35">
      <c r="A100" s="12" t="s">
        <v>77</v>
      </c>
      <c r="B100" s="12" t="s">
        <v>70</v>
      </c>
    </row>
    <row r="101" spans="1:4" x14ac:dyDescent="0.35">
      <c r="A101" s="12" t="s">
        <v>67</v>
      </c>
      <c r="B101" t="s">
        <v>85</v>
      </c>
      <c r="C101" t="s">
        <v>81</v>
      </c>
      <c r="D101" t="s">
        <v>68</v>
      </c>
    </row>
    <row r="102" spans="1:4" x14ac:dyDescent="0.35">
      <c r="A102" s="13" t="s">
        <v>78</v>
      </c>
      <c r="B102" s="5">
        <v>471</v>
      </c>
      <c r="C102" s="5">
        <v>118</v>
      </c>
      <c r="D102" s="5">
        <v>589</v>
      </c>
    </row>
    <row r="103" spans="1:4" x14ac:dyDescent="0.35">
      <c r="A103" s="13" t="s">
        <v>79</v>
      </c>
      <c r="B103" s="5">
        <v>325</v>
      </c>
      <c r="C103" s="5">
        <v>86</v>
      </c>
      <c r="D103" s="5">
        <v>411</v>
      </c>
    </row>
    <row r="104" spans="1:4" x14ac:dyDescent="0.35">
      <c r="A104" s="13" t="s">
        <v>68</v>
      </c>
      <c r="B104" s="5">
        <v>796</v>
      </c>
      <c r="C104" s="5">
        <v>204</v>
      </c>
      <c r="D104" s="5">
        <v>1000</v>
      </c>
    </row>
  </sheetData>
  <pageMargins left="0.7" right="0.7" top="0.75" bottom="0.75" header="0.3" footer="0.3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46610-A267-4758-BC61-235982883E0E}">
  <dimension ref="A1:V1001"/>
  <sheetViews>
    <sheetView workbookViewId="0">
      <selection activeCell="D13" sqref="D13"/>
    </sheetView>
  </sheetViews>
  <sheetFormatPr defaultRowHeight="14.5" x14ac:dyDescent="0.35"/>
  <cols>
    <col min="1" max="1" width="12.81640625" customWidth="1"/>
    <col min="4" max="4" width="9" customWidth="1"/>
    <col min="5" max="5" width="14.1796875" customWidth="1"/>
    <col min="6" max="7" width="13.1796875" customWidth="1"/>
    <col min="8" max="8" width="15.81640625" customWidth="1"/>
    <col min="9" max="9" width="13.6328125" customWidth="1"/>
    <col min="10" max="10" width="20.7265625" customWidth="1"/>
    <col min="11" max="11" width="19.453125" customWidth="1"/>
    <col min="12" max="12" width="17.6328125" customWidth="1"/>
    <col min="13" max="13" width="16.90625" customWidth="1"/>
    <col min="14" max="14" width="16.36328125" customWidth="1"/>
    <col min="15" max="15" width="18.453125" customWidth="1"/>
  </cols>
  <sheetData>
    <row r="1" spans="1:22" x14ac:dyDescent="0.35">
      <c r="A1" t="s">
        <v>0</v>
      </c>
      <c r="B1" t="s">
        <v>1</v>
      </c>
      <c r="C1" t="s">
        <v>71</v>
      </c>
      <c r="D1" t="s">
        <v>2</v>
      </c>
      <c r="E1" t="s">
        <v>3</v>
      </c>
      <c r="F1" t="s">
        <v>4</v>
      </c>
      <c r="G1" t="s">
        <v>19</v>
      </c>
      <c r="H1" t="s">
        <v>14</v>
      </c>
      <c r="I1" t="s">
        <v>15</v>
      </c>
      <c r="J1" t="s">
        <v>20</v>
      </c>
      <c r="K1" t="s">
        <v>24</v>
      </c>
      <c r="L1" t="s">
        <v>21</v>
      </c>
      <c r="M1" t="s">
        <v>31</v>
      </c>
      <c r="N1" t="s">
        <v>22</v>
      </c>
      <c r="O1" t="s">
        <v>23</v>
      </c>
      <c r="P1" t="s">
        <v>26</v>
      </c>
      <c r="Q1" t="s">
        <v>25</v>
      </c>
      <c r="R1" t="s">
        <v>32</v>
      </c>
      <c r="S1" t="s">
        <v>27</v>
      </c>
      <c r="T1" t="s">
        <v>28</v>
      </c>
      <c r="U1" t="s">
        <v>29</v>
      </c>
      <c r="V1" t="s">
        <v>30</v>
      </c>
    </row>
    <row r="2" spans="1:22" x14ac:dyDescent="0.35">
      <c r="A2">
        <v>1</v>
      </c>
      <c r="B2">
        <v>62</v>
      </c>
      <c r="C2" t="s">
        <v>72</v>
      </c>
      <c r="D2" t="s">
        <v>5</v>
      </c>
      <c r="E2" t="s">
        <v>7</v>
      </c>
      <c r="F2" t="s">
        <v>11</v>
      </c>
      <c r="G2">
        <v>0</v>
      </c>
      <c r="H2">
        <v>34</v>
      </c>
      <c r="I2" t="s">
        <v>16</v>
      </c>
      <c r="J2" s="1">
        <v>416.5</v>
      </c>
      <c r="K2" s="1">
        <v>416.5</v>
      </c>
      <c r="L2">
        <v>1</v>
      </c>
      <c r="M2">
        <v>1</v>
      </c>
      <c r="N2">
        <v>0</v>
      </c>
      <c r="O2">
        <v>0</v>
      </c>
      <c r="P2">
        <v>1</v>
      </c>
      <c r="Q2">
        <v>0</v>
      </c>
      <c r="R2">
        <v>279</v>
      </c>
      <c r="S2" s="5">
        <v>1</v>
      </c>
      <c r="T2" s="5">
        <v>1</v>
      </c>
      <c r="U2" s="5">
        <v>1</v>
      </c>
      <c r="V2" s="5">
        <v>3</v>
      </c>
    </row>
    <row r="3" spans="1:22" x14ac:dyDescent="0.35">
      <c r="A3">
        <v>2</v>
      </c>
      <c r="B3">
        <v>65</v>
      </c>
      <c r="C3" t="s">
        <v>72</v>
      </c>
      <c r="D3" t="s">
        <v>5</v>
      </c>
      <c r="E3" t="s">
        <v>8</v>
      </c>
      <c r="F3" t="s">
        <v>11</v>
      </c>
      <c r="G3">
        <v>1</v>
      </c>
      <c r="H3">
        <v>5</v>
      </c>
      <c r="I3" t="s">
        <v>17</v>
      </c>
      <c r="J3" s="1">
        <v>1547.4199999999998</v>
      </c>
      <c r="K3" s="1">
        <v>221.05999999999997</v>
      </c>
      <c r="L3">
        <v>7</v>
      </c>
      <c r="M3">
        <v>1</v>
      </c>
      <c r="N3">
        <v>0</v>
      </c>
      <c r="O3">
        <v>0</v>
      </c>
      <c r="P3">
        <v>1</v>
      </c>
      <c r="Q3">
        <v>0</v>
      </c>
      <c r="R3">
        <v>42</v>
      </c>
      <c r="S3" s="5">
        <v>2</v>
      </c>
      <c r="T3" s="5">
        <v>2</v>
      </c>
      <c r="U3" s="5">
        <v>2</v>
      </c>
      <c r="V3" s="5">
        <v>6</v>
      </c>
    </row>
    <row r="4" spans="1:22" x14ac:dyDescent="0.35">
      <c r="A4">
        <v>3</v>
      </c>
      <c r="B4">
        <v>18</v>
      </c>
      <c r="C4" t="s">
        <v>73</v>
      </c>
      <c r="D4" t="s">
        <v>5</v>
      </c>
      <c r="E4" t="s">
        <v>7</v>
      </c>
      <c r="F4" t="s">
        <v>11</v>
      </c>
      <c r="G4">
        <v>0</v>
      </c>
      <c r="H4">
        <v>3</v>
      </c>
      <c r="I4" t="s">
        <v>17</v>
      </c>
      <c r="J4" s="1">
        <v>1702.9799999999998</v>
      </c>
      <c r="K4" s="1">
        <v>283.83</v>
      </c>
      <c r="L4">
        <v>6</v>
      </c>
      <c r="M4">
        <v>1</v>
      </c>
      <c r="N4">
        <v>0</v>
      </c>
      <c r="O4">
        <v>0</v>
      </c>
      <c r="P4">
        <v>1</v>
      </c>
      <c r="Q4">
        <v>0</v>
      </c>
      <c r="R4">
        <v>84</v>
      </c>
      <c r="S4" s="5">
        <v>1</v>
      </c>
      <c r="T4" s="5">
        <v>2</v>
      </c>
      <c r="U4" s="5">
        <v>3</v>
      </c>
      <c r="V4" s="5">
        <v>6</v>
      </c>
    </row>
    <row r="5" spans="1:22" x14ac:dyDescent="0.35">
      <c r="A5">
        <v>4</v>
      </c>
      <c r="B5">
        <v>21</v>
      </c>
      <c r="C5" t="s">
        <v>73</v>
      </c>
      <c r="D5" t="s">
        <v>5</v>
      </c>
      <c r="E5" t="s">
        <v>9</v>
      </c>
      <c r="F5" t="s">
        <v>11</v>
      </c>
      <c r="G5">
        <v>0</v>
      </c>
      <c r="H5">
        <v>2</v>
      </c>
      <c r="I5" t="s">
        <v>17</v>
      </c>
      <c r="J5" s="1">
        <v>917.29</v>
      </c>
      <c r="K5" s="1">
        <v>183.458</v>
      </c>
      <c r="L5">
        <v>5</v>
      </c>
      <c r="M5">
        <v>2</v>
      </c>
      <c r="N5">
        <v>1</v>
      </c>
      <c r="O5">
        <v>0</v>
      </c>
      <c r="P5">
        <v>1</v>
      </c>
      <c r="Q5">
        <v>0</v>
      </c>
      <c r="R5">
        <v>4</v>
      </c>
      <c r="S5" s="5">
        <v>3</v>
      </c>
      <c r="T5" s="5">
        <v>2</v>
      </c>
      <c r="U5" s="5">
        <v>2</v>
      </c>
      <c r="V5" s="5">
        <v>7</v>
      </c>
    </row>
    <row r="6" spans="1:22" x14ac:dyDescent="0.35">
      <c r="A6">
        <v>5</v>
      </c>
      <c r="B6">
        <v>21</v>
      </c>
      <c r="C6" t="s">
        <v>73</v>
      </c>
      <c r="D6" t="s">
        <v>5</v>
      </c>
      <c r="E6" t="s">
        <v>10</v>
      </c>
      <c r="F6" t="s">
        <v>12</v>
      </c>
      <c r="G6">
        <v>0</v>
      </c>
      <c r="H6">
        <v>41</v>
      </c>
      <c r="I6" t="s">
        <v>17</v>
      </c>
      <c r="J6" s="1">
        <v>2001.49</v>
      </c>
      <c r="K6" s="1">
        <v>250.18625</v>
      </c>
      <c r="L6">
        <v>8</v>
      </c>
      <c r="M6">
        <v>0</v>
      </c>
      <c r="N6">
        <v>0</v>
      </c>
      <c r="O6">
        <v>0</v>
      </c>
      <c r="P6">
        <v>0</v>
      </c>
      <c r="Q6">
        <v>0</v>
      </c>
      <c r="R6">
        <v>10</v>
      </c>
      <c r="S6" s="5">
        <v>3</v>
      </c>
      <c r="T6" s="5">
        <v>3</v>
      </c>
      <c r="U6" s="5">
        <v>3</v>
      </c>
      <c r="V6" s="5">
        <v>9</v>
      </c>
    </row>
    <row r="7" spans="1:22" x14ac:dyDescent="0.35">
      <c r="A7">
        <v>6</v>
      </c>
      <c r="B7">
        <v>57</v>
      </c>
      <c r="C7" t="s">
        <v>74</v>
      </c>
      <c r="D7" t="s">
        <v>6</v>
      </c>
      <c r="E7" t="s">
        <v>10</v>
      </c>
      <c r="F7" t="s">
        <v>12</v>
      </c>
      <c r="G7">
        <v>0</v>
      </c>
      <c r="H7">
        <v>2</v>
      </c>
      <c r="I7" t="s">
        <v>17</v>
      </c>
      <c r="J7" s="1">
        <v>1164.2900000000002</v>
      </c>
      <c r="K7" s="1">
        <v>232.85800000000003</v>
      </c>
      <c r="L7">
        <v>5</v>
      </c>
      <c r="M7">
        <v>1</v>
      </c>
      <c r="N7">
        <v>0</v>
      </c>
      <c r="O7">
        <v>0</v>
      </c>
      <c r="P7">
        <v>0</v>
      </c>
      <c r="Q7">
        <v>1</v>
      </c>
      <c r="R7">
        <v>63</v>
      </c>
      <c r="S7" s="5">
        <v>2</v>
      </c>
      <c r="T7" s="5">
        <v>2</v>
      </c>
      <c r="U7" s="5">
        <v>2</v>
      </c>
      <c r="V7" s="5">
        <v>6</v>
      </c>
    </row>
    <row r="8" spans="1:22" x14ac:dyDescent="0.35">
      <c r="A8">
        <v>7</v>
      </c>
      <c r="B8">
        <v>27</v>
      </c>
      <c r="C8" t="s">
        <v>73</v>
      </c>
      <c r="D8" t="s">
        <v>6</v>
      </c>
      <c r="E8" t="s">
        <v>8</v>
      </c>
      <c r="F8" t="s">
        <v>13</v>
      </c>
      <c r="G8">
        <v>0</v>
      </c>
      <c r="H8">
        <v>32</v>
      </c>
      <c r="I8" t="s">
        <v>16</v>
      </c>
      <c r="J8" s="1">
        <v>86.73</v>
      </c>
      <c r="K8" s="1">
        <v>86.73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68</v>
      </c>
      <c r="S8" s="5">
        <v>2</v>
      </c>
      <c r="T8" s="5">
        <v>1</v>
      </c>
      <c r="U8" s="5">
        <v>1</v>
      </c>
      <c r="V8" s="5">
        <v>4</v>
      </c>
    </row>
    <row r="9" spans="1:22" x14ac:dyDescent="0.35">
      <c r="A9">
        <v>8</v>
      </c>
      <c r="B9">
        <v>37</v>
      </c>
      <c r="C9" t="s">
        <v>75</v>
      </c>
      <c r="D9" t="s">
        <v>5</v>
      </c>
      <c r="E9" t="s">
        <v>7</v>
      </c>
      <c r="F9" t="s">
        <v>11</v>
      </c>
      <c r="G9">
        <v>1</v>
      </c>
      <c r="H9">
        <v>17</v>
      </c>
      <c r="I9" t="s">
        <v>18</v>
      </c>
      <c r="J9" s="1">
        <v>2046.8799999999999</v>
      </c>
      <c r="K9" s="1">
        <v>292.41142857142853</v>
      </c>
      <c r="L9">
        <v>7</v>
      </c>
      <c r="M9">
        <v>2</v>
      </c>
      <c r="N9">
        <v>1</v>
      </c>
      <c r="O9">
        <v>0</v>
      </c>
      <c r="P9">
        <v>1</v>
      </c>
      <c r="Q9">
        <v>1</v>
      </c>
      <c r="R9">
        <v>52</v>
      </c>
      <c r="S9" s="5">
        <v>2</v>
      </c>
      <c r="T9" s="5">
        <v>2</v>
      </c>
      <c r="U9" s="5">
        <v>3</v>
      </c>
      <c r="V9" s="5">
        <v>7</v>
      </c>
    </row>
    <row r="10" spans="1:22" x14ac:dyDescent="0.35">
      <c r="A10">
        <v>9</v>
      </c>
      <c r="B10">
        <v>39</v>
      </c>
      <c r="C10" t="s">
        <v>75</v>
      </c>
      <c r="D10" t="s">
        <v>5</v>
      </c>
      <c r="E10" t="s">
        <v>10</v>
      </c>
      <c r="F10" t="s">
        <v>13</v>
      </c>
      <c r="G10">
        <v>0</v>
      </c>
      <c r="H10">
        <v>24</v>
      </c>
      <c r="I10" t="s">
        <v>17</v>
      </c>
      <c r="J10" s="1">
        <v>1317.24</v>
      </c>
      <c r="K10" s="1">
        <v>263.44799999999998</v>
      </c>
      <c r="L10">
        <v>5</v>
      </c>
      <c r="M10">
        <v>1</v>
      </c>
      <c r="N10">
        <v>0</v>
      </c>
      <c r="O10">
        <v>0</v>
      </c>
      <c r="P10">
        <v>1</v>
      </c>
      <c r="Q10">
        <v>0</v>
      </c>
      <c r="R10">
        <v>73</v>
      </c>
      <c r="S10" s="5">
        <v>2</v>
      </c>
      <c r="T10" s="5">
        <v>2</v>
      </c>
      <c r="U10" s="5">
        <v>2</v>
      </c>
      <c r="V10" s="5">
        <v>6</v>
      </c>
    </row>
    <row r="11" spans="1:22" x14ac:dyDescent="0.35">
      <c r="A11">
        <v>10</v>
      </c>
      <c r="B11">
        <v>68</v>
      </c>
      <c r="C11" t="s">
        <v>72</v>
      </c>
      <c r="D11" t="s">
        <v>5</v>
      </c>
      <c r="E11" t="s">
        <v>8</v>
      </c>
      <c r="F11" t="s">
        <v>13</v>
      </c>
      <c r="G11">
        <v>1</v>
      </c>
      <c r="H11">
        <v>29</v>
      </c>
      <c r="I11" t="s">
        <v>18</v>
      </c>
      <c r="J11" s="1">
        <v>1397.36</v>
      </c>
      <c r="K11" s="1">
        <v>199.62285714285713</v>
      </c>
      <c r="L11">
        <v>7</v>
      </c>
      <c r="M11">
        <v>0</v>
      </c>
      <c r="N11">
        <v>0</v>
      </c>
      <c r="O11">
        <v>0</v>
      </c>
      <c r="P11">
        <v>0</v>
      </c>
      <c r="Q11">
        <v>0</v>
      </c>
      <c r="R11">
        <v>61</v>
      </c>
      <c r="S11" s="5">
        <v>2</v>
      </c>
      <c r="T11" s="5">
        <v>2</v>
      </c>
      <c r="U11" s="5">
        <v>2</v>
      </c>
      <c r="V11" s="5">
        <v>6</v>
      </c>
    </row>
    <row r="12" spans="1:22" x14ac:dyDescent="0.35">
      <c r="A12">
        <v>11</v>
      </c>
      <c r="B12">
        <v>54</v>
      </c>
      <c r="C12" t="s">
        <v>74</v>
      </c>
      <c r="D12" t="s">
        <v>5</v>
      </c>
      <c r="E12" t="s">
        <v>10</v>
      </c>
      <c r="F12" t="s">
        <v>12</v>
      </c>
      <c r="G12">
        <v>0</v>
      </c>
      <c r="H12">
        <v>30</v>
      </c>
      <c r="I12" t="s">
        <v>18</v>
      </c>
      <c r="J12" s="1">
        <v>1733.83</v>
      </c>
      <c r="K12" s="1">
        <v>346.76599999999996</v>
      </c>
      <c r="L12">
        <v>5</v>
      </c>
      <c r="M12">
        <v>2</v>
      </c>
      <c r="N12">
        <v>1</v>
      </c>
      <c r="O12">
        <v>0</v>
      </c>
      <c r="P12">
        <v>0</v>
      </c>
      <c r="Q12">
        <v>1</v>
      </c>
      <c r="R12">
        <v>17</v>
      </c>
      <c r="S12" s="5">
        <v>3</v>
      </c>
      <c r="T12" s="5">
        <v>2</v>
      </c>
      <c r="U12" s="5">
        <v>3</v>
      </c>
      <c r="V12" s="5">
        <v>8</v>
      </c>
    </row>
    <row r="13" spans="1:22" x14ac:dyDescent="0.35">
      <c r="A13">
        <v>12</v>
      </c>
      <c r="B13">
        <v>41</v>
      </c>
      <c r="C13" t="s">
        <v>75</v>
      </c>
      <c r="D13" t="s">
        <v>6</v>
      </c>
      <c r="E13" t="s">
        <v>8</v>
      </c>
      <c r="F13" t="s">
        <v>11</v>
      </c>
      <c r="G13">
        <v>0</v>
      </c>
      <c r="H13">
        <v>43</v>
      </c>
      <c r="I13" t="s">
        <v>17</v>
      </c>
      <c r="J13" s="1">
        <v>87.1</v>
      </c>
      <c r="K13" s="1">
        <v>87.1</v>
      </c>
      <c r="L13">
        <v>1</v>
      </c>
      <c r="M13">
        <v>2</v>
      </c>
      <c r="N13">
        <v>1</v>
      </c>
      <c r="O13">
        <v>0</v>
      </c>
      <c r="P13">
        <v>1</v>
      </c>
      <c r="Q13">
        <v>1</v>
      </c>
      <c r="R13">
        <v>59</v>
      </c>
      <c r="S13" s="5">
        <v>2</v>
      </c>
      <c r="T13" s="5">
        <v>1</v>
      </c>
      <c r="U13" s="5">
        <v>1</v>
      </c>
      <c r="V13" s="5">
        <v>4</v>
      </c>
    </row>
    <row r="14" spans="1:22" x14ac:dyDescent="0.35">
      <c r="A14">
        <v>13</v>
      </c>
      <c r="B14">
        <v>24</v>
      </c>
      <c r="C14" t="s">
        <v>73</v>
      </c>
      <c r="D14" t="s">
        <v>6</v>
      </c>
      <c r="E14" t="s">
        <v>10</v>
      </c>
      <c r="F14" t="s">
        <v>11</v>
      </c>
      <c r="G14">
        <v>0</v>
      </c>
      <c r="H14">
        <v>10</v>
      </c>
      <c r="I14" t="s">
        <v>16</v>
      </c>
      <c r="J14" s="1">
        <v>392.02</v>
      </c>
      <c r="K14" s="1">
        <v>130.67333333333332</v>
      </c>
      <c r="L14">
        <v>3</v>
      </c>
      <c r="M14">
        <v>1</v>
      </c>
      <c r="N14">
        <v>0</v>
      </c>
      <c r="O14">
        <v>1</v>
      </c>
      <c r="P14">
        <v>0</v>
      </c>
      <c r="Q14">
        <v>0</v>
      </c>
      <c r="R14">
        <v>95</v>
      </c>
      <c r="S14" s="5">
        <v>1</v>
      </c>
      <c r="T14" s="5">
        <v>2</v>
      </c>
      <c r="U14" s="5">
        <v>1</v>
      </c>
      <c r="V14" s="5">
        <v>4</v>
      </c>
    </row>
    <row r="15" spans="1:22" x14ac:dyDescent="0.35">
      <c r="A15">
        <v>14</v>
      </c>
      <c r="B15">
        <v>42</v>
      </c>
      <c r="C15" t="s">
        <v>75</v>
      </c>
      <c r="D15" t="s">
        <v>5</v>
      </c>
      <c r="E15" t="s">
        <v>9</v>
      </c>
      <c r="F15" t="s">
        <v>12</v>
      </c>
      <c r="G15">
        <v>0</v>
      </c>
      <c r="H15">
        <v>26</v>
      </c>
      <c r="I15" t="s">
        <v>18</v>
      </c>
      <c r="J15" s="1">
        <v>2843.5899999999997</v>
      </c>
      <c r="K15" s="1">
        <v>315.95444444444439</v>
      </c>
      <c r="L15">
        <v>9</v>
      </c>
      <c r="M15">
        <v>2</v>
      </c>
      <c r="N15">
        <v>1</v>
      </c>
      <c r="O15">
        <v>1</v>
      </c>
      <c r="P15">
        <v>0</v>
      </c>
      <c r="Q15">
        <v>1</v>
      </c>
      <c r="R15">
        <v>53</v>
      </c>
      <c r="S15" s="5">
        <v>2</v>
      </c>
      <c r="T15" s="5">
        <v>3</v>
      </c>
      <c r="U15" s="5">
        <v>3</v>
      </c>
      <c r="V15" s="5">
        <v>8</v>
      </c>
    </row>
    <row r="16" spans="1:22" x14ac:dyDescent="0.35">
      <c r="A16">
        <v>15</v>
      </c>
      <c r="B16">
        <v>42</v>
      </c>
      <c r="C16" t="s">
        <v>75</v>
      </c>
      <c r="D16" t="s">
        <v>5</v>
      </c>
      <c r="E16" t="s">
        <v>10</v>
      </c>
      <c r="F16" t="s">
        <v>12</v>
      </c>
      <c r="G16">
        <v>0</v>
      </c>
      <c r="H16">
        <v>44</v>
      </c>
      <c r="I16" t="s">
        <v>18</v>
      </c>
      <c r="J16" s="1">
        <v>1914.02</v>
      </c>
      <c r="K16" s="1">
        <v>239.2525</v>
      </c>
      <c r="L16">
        <v>8</v>
      </c>
      <c r="M16">
        <v>2</v>
      </c>
      <c r="N16">
        <v>1</v>
      </c>
      <c r="O16">
        <v>1</v>
      </c>
      <c r="P16">
        <v>0</v>
      </c>
      <c r="Q16">
        <v>1</v>
      </c>
      <c r="R16">
        <v>15</v>
      </c>
      <c r="S16" s="5">
        <v>3</v>
      </c>
      <c r="T16" s="5">
        <v>3</v>
      </c>
      <c r="U16" s="5">
        <v>3</v>
      </c>
      <c r="V16" s="5">
        <v>9</v>
      </c>
    </row>
    <row r="17" spans="1:22" x14ac:dyDescent="0.35">
      <c r="A17">
        <v>16</v>
      </c>
      <c r="B17">
        <v>30</v>
      </c>
      <c r="C17" t="s">
        <v>73</v>
      </c>
      <c r="D17" t="s">
        <v>6</v>
      </c>
      <c r="E17" t="s">
        <v>7</v>
      </c>
      <c r="F17" t="s">
        <v>12</v>
      </c>
      <c r="G17">
        <v>1</v>
      </c>
      <c r="H17">
        <v>41</v>
      </c>
      <c r="I17" t="s">
        <v>18</v>
      </c>
      <c r="J17" s="1">
        <v>2019.79</v>
      </c>
      <c r="K17" s="1">
        <v>224.42111111111112</v>
      </c>
      <c r="L17">
        <v>9</v>
      </c>
      <c r="M17">
        <v>2</v>
      </c>
      <c r="N17">
        <v>0</v>
      </c>
      <c r="O17">
        <v>0</v>
      </c>
      <c r="P17">
        <v>1</v>
      </c>
      <c r="Q17">
        <v>0</v>
      </c>
      <c r="R17">
        <v>17</v>
      </c>
      <c r="S17" s="5">
        <v>3</v>
      </c>
      <c r="T17" s="5">
        <v>3</v>
      </c>
      <c r="U17" s="5">
        <v>3</v>
      </c>
      <c r="V17" s="5">
        <v>9</v>
      </c>
    </row>
    <row r="18" spans="1:22" x14ac:dyDescent="0.35">
      <c r="A18">
        <v>17</v>
      </c>
      <c r="B18">
        <v>19</v>
      </c>
      <c r="C18" t="s">
        <v>73</v>
      </c>
      <c r="D18" t="s">
        <v>5</v>
      </c>
      <c r="E18" t="s">
        <v>8</v>
      </c>
      <c r="F18" t="s">
        <v>11</v>
      </c>
      <c r="G18">
        <v>0</v>
      </c>
      <c r="H18">
        <v>8</v>
      </c>
      <c r="I18" t="s">
        <v>18</v>
      </c>
      <c r="J18" s="1">
        <v>1625.27</v>
      </c>
      <c r="K18" s="1">
        <v>232.18142857142857</v>
      </c>
      <c r="L18">
        <v>7</v>
      </c>
      <c r="M18">
        <v>2</v>
      </c>
      <c r="N18">
        <v>1</v>
      </c>
      <c r="O18">
        <v>0</v>
      </c>
      <c r="P18">
        <v>1</v>
      </c>
      <c r="Q18">
        <v>0</v>
      </c>
      <c r="R18">
        <v>37</v>
      </c>
      <c r="S18" s="5">
        <v>2</v>
      </c>
      <c r="T18" s="5">
        <v>2</v>
      </c>
      <c r="U18" s="5">
        <v>3</v>
      </c>
      <c r="V18" s="5">
        <v>7</v>
      </c>
    </row>
    <row r="19" spans="1:22" x14ac:dyDescent="0.35">
      <c r="A19">
        <v>18</v>
      </c>
      <c r="B19">
        <v>56</v>
      </c>
      <c r="C19" t="s">
        <v>74</v>
      </c>
      <c r="D19" t="s">
        <v>6</v>
      </c>
      <c r="E19" t="s">
        <v>8</v>
      </c>
      <c r="F19" t="s">
        <v>13</v>
      </c>
      <c r="G19">
        <v>1</v>
      </c>
      <c r="H19">
        <v>37</v>
      </c>
      <c r="I19" t="s">
        <v>17</v>
      </c>
      <c r="J19" s="1">
        <v>951.38000000000011</v>
      </c>
      <c r="K19" s="1">
        <v>190.27600000000001</v>
      </c>
      <c r="L19">
        <v>5</v>
      </c>
      <c r="M19">
        <v>1</v>
      </c>
      <c r="N19">
        <v>1</v>
      </c>
      <c r="O19">
        <v>0</v>
      </c>
      <c r="P19">
        <v>1</v>
      </c>
      <c r="Q19">
        <v>0</v>
      </c>
      <c r="R19">
        <v>123</v>
      </c>
      <c r="S19" s="5">
        <v>1</v>
      </c>
      <c r="T19" s="5">
        <v>2</v>
      </c>
      <c r="U19" s="5">
        <v>2</v>
      </c>
      <c r="V19" s="5">
        <v>5</v>
      </c>
    </row>
    <row r="20" spans="1:22" x14ac:dyDescent="0.35">
      <c r="A20">
        <v>19</v>
      </c>
      <c r="B20">
        <v>57</v>
      </c>
      <c r="C20" t="s">
        <v>74</v>
      </c>
      <c r="D20" t="s">
        <v>6</v>
      </c>
      <c r="E20" t="s">
        <v>10</v>
      </c>
      <c r="F20" t="s">
        <v>13</v>
      </c>
      <c r="G20">
        <v>0</v>
      </c>
      <c r="H20">
        <v>39</v>
      </c>
      <c r="I20" t="s">
        <v>18</v>
      </c>
      <c r="J20" s="1">
        <v>1017.26</v>
      </c>
      <c r="K20" s="1">
        <v>203.452</v>
      </c>
      <c r="L20">
        <v>5</v>
      </c>
      <c r="M20">
        <v>2</v>
      </c>
      <c r="N20">
        <v>1</v>
      </c>
      <c r="O20">
        <v>1</v>
      </c>
      <c r="P20">
        <v>0</v>
      </c>
      <c r="Q20">
        <v>0</v>
      </c>
      <c r="R20">
        <v>9</v>
      </c>
      <c r="S20" s="5">
        <v>3</v>
      </c>
      <c r="T20" s="5">
        <v>2</v>
      </c>
      <c r="U20" s="5">
        <v>2</v>
      </c>
      <c r="V20" s="5">
        <v>7</v>
      </c>
    </row>
    <row r="21" spans="1:22" x14ac:dyDescent="0.35">
      <c r="A21">
        <v>20</v>
      </c>
      <c r="B21">
        <v>41</v>
      </c>
      <c r="C21" t="s">
        <v>75</v>
      </c>
      <c r="D21" t="s">
        <v>5</v>
      </c>
      <c r="E21" t="s">
        <v>7</v>
      </c>
      <c r="F21" t="s">
        <v>11</v>
      </c>
      <c r="G21">
        <v>0</v>
      </c>
      <c r="H21">
        <v>16</v>
      </c>
      <c r="I21" t="s">
        <v>17</v>
      </c>
      <c r="J21" s="1">
        <v>2775.85</v>
      </c>
      <c r="K21" s="1">
        <v>308.42777777777775</v>
      </c>
      <c r="L21">
        <v>9</v>
      </c>
      <c r="M21">
        <v>1</v>
      </c>
      <c r="N21">
        <v>0</v>
      </c>
      <c r="O21">
        <v>0</v>
      </c>
      <c r="P21">
        <v>0</v>
      </c>
      <c r="Q21">
        <v>1</v>
      </c>
      <c r="R21">
        <v>14</v>
      </c>
      <c r="S21" s="5">
        <v>3</v>
      </c>
      <c r="T21" s="5">
        <v>3</v>
      </c>
      <c r="U21" s="5">
        <v>3</v>
      </c>
      <c r="V21" s="5">
        <v>9</v>
      </c>
    </row>
    <row r="22" spans="1:22" x14ac:dyDescent="0.35">
      <c r="A22">
        <v>21</v>
      </c>
      <c r="B22">
        <v>64</v>
      </c>
      <c r="C22" t="s">
        <v>72</v>
      </c>
      <c r="D22" t="s">
        <v>5</v>
      </c>
      <c r="E22" t="s">
        <v>10</v>
      </c>
      <c r="F22" t="s">
        <v>13</v>
      </c>
      <c r="G22">
        <v>0</v>
      </c>
      <c r="H22">
        <v>18</v>
      </c>
      <c r="I22" t="s">
        <v>17</v>
      </c>
      <c r="J22" s="1">
        <v>913.0200000000001</v>
      </c>
      <c r="K22" s="1">
        <v>182.60400000000001</v>
      </c>
      <c r="L22">
        <v>5</v>
      </c>
      <c r="M22">
        <v>0</v>
      </c>
      <c r="N22">
        <v>0</v>
      </c>
      <c r="O22">
        <v>0</v>
      </c>
      <c r="P22">
        <v>0</v>
      </c>
      <c r="Q22">
        <v>0</v>
      </c>
      <c r="R22">
        <v>151</v>
      </c>
      <c r="S22" s="5">
        <v>1</v>
      </c>
      <c r="T22" s="5">
        <v>2</v>
      </c>
      <c r="U22" s="5">
        <v>2</v>
      </c>
      <c r="V22" s="5">
        <v>5</v>
      </c>
    </row>
    <row r="23" spans="1:22" x14ac:dyDescent="0.35">
      <c r="A23">
        <v>22</v>
      </c>
      <c r="B23">
        <v>42</v>
      </c>
      <c r="C23" t="s">
        <v>75</v>
      </c>
      <c r="D23" t="s">
        <v>6</v>
      </c>
      <c r="E23" t="s">
        <v>10</v>
      </c>
      <c r="F23" t="s">
        <v>11</v>
      </c>
      <c r="G23">
        <v>0</v>
      </c>
      <c r="H23">
        <v>42</v>
      </c>
      <c r="I23" t="s">
        <v>16</v>
      </c>
      <c r="J23" s="1">
        <v>1582.73</v>
      </c>
      <c r="K23" s="1">
        <v>263.78833333333336</v>
      </c>
      <c r="L23">
        <v>6</v>
      </c>
      <c r="M23">
        <v>2</v>
      </c>
      <c r="N23">
        <v>0</v>
      </c>
      <c r="O23">
        <v>0</v>
      </c>
      <c r="P23">
        <v>1</v>
      </c>
      <c r="Q23">
        <v>0</v>
      </c>
      <c r="R23">
        <v>73</v>
      </c>
      <c r="S23" s="5">
        <v>2</v>
      </c>
      <c r="T23" s="5">
        <v>2</v>
      </c>
      <c r="U23" s="5">
        <v>3</v>
      </c>
      <c r="V23" s="5">
        <v>7</v>
      </c>
    </row>
    <row r="24" spans="1:22" x14ac:dyDescent="0.35">
      <c r="A24">
        <v>23</v>
      </c>
      <c r="B24">
        <v>35</v>
      </c>
      <c r="C24" t="s">
        <v>75</v>
      </c>
      <c r="D24" t="s">
        <v>6</v>
      </c>
      <c r="E24" t="s">
        <v>10</v>
      </c>
      <c r="F24" t="s">
        <v>11</v>
      </c>
      <c r="G24">
        <v>0</v>
      </c>
      <c r="H24">
        <v>19</v>
      </c>
      <c r="I24" t="s">
        <v>16</v>
      </c>
      <c r="J24" s="1">
        <v>1490.7399999999998</v>
      </c>
      <c r="K24" s="1">
        <v>372.68499999999995</v>
      </c>
      <c r="L24">
        <v>4</v>
      </c>
      <c r="M24">
        <v>2</v>
      </c>
      <c r="N24">
        <v>1</v>
      </c>
      <c r="O24">
        <v>1</v>
      </c>
      <c r="P24">
        <v>0</v>
      </c>
      <c r="Q24">
        <v>0</v>
      </c>
      <c r="R24">
        <v>54</v>
      </c>
      <c r="S24" s="5">
        <v>2</v>
      </c>
      <c r="T24" s="5">
        <v>2</v>
      </c>
      <c r="U24" s="5">
        <v>2</v>
      </c>
      <c r="V24" s="5">
        <v>6</v>
      </c>
    </row>
    <row r="25" spans="1:22" x14ac:dyDescent="0.35">
      <c r="A25">
        <v>24</v>
      </c>
      <c r="B25">
        <v>55</v>
      </c>
      <c r="C25" t="s">
        <v>74</v>
      </c>
      <c r="D25" t="s">
        <v>5</v>
      </c>
      <c r="E25" t="s">
        <v>9</v>
      </c>
      <c r="F25" t="s">
        <v>12</v>
      </c>
      <c r="G25">
        <v>0</v>
      </c>
      <c r="H25">
        <v>12</v>
      </c>
      <c r="I25" t="s">
        <v>16</v>
      </c>
      <c r="J25" s="1">
        <v>1143.22</v>
      </c>
      <c r="K25" s="1">
        <v>228.64400000000001</v>
      </c>
      <c r="L25">
        <v>5</v>
      </c>
      <c r="M25">
        <v>1</v>
      </c>
      <c r="N25">
        <v>0</v>
      </c>
      <c r="O25">
        <v>1</v>
      </c>
      <c r="P25">
        <v>0</v>
      </c>
      <c r="Q25">
        <v>0</v>
      </c>
      <c r="R25">
        <v>19</v>
      </c>
      <c r="S25" s="5">
        <v>3</v>
      </c>
      <c r="T25" s="5">
        <v>2</v>
      </c>
      <c r="U25" s="5">
        <v>2</v>
      </c>
      <c r="V25" s="5">
        <v>7</v>
      </c>
    </row>
    <row r="26" spans="1:22" x14ac:dyDescent="0.35">
      <c r="A26">
        <v>25</v>
      </c>
      <c r="B26">
        <v>43</v>
      </c>
      <c r="C26" t="s">
        <v>75</v>
      </c>
      <c r="D26" t="s">
        <v>6</v>
      </c>
      <c r="E26" t="s">
        <v>8</v>
      </c>
      <c r="F26" t="s">
        <v>11</v>
      </c>
      <c r="G26">
        <v>0</v>
      </c>
      <c r="H26">
        <v>27</v>
      </c>
      <c r="I26" t="s">
        <v>16</v>
      </c>
      <c r="J26" s="1">
        <v>764.77</v>
      </c>
      <c r="K26" s="1">
        <v>254.92333333333332</v>
      </c>
      <c r="L26">
        <v>3</v>
      </c>
      <c r="M26">
        <v>1</v>
      </c>
      <c r="N26">
        <v>0</v>
      </c>
      <c r="O26">
        <v>0</v>
      </c>
      <c r="P26">
        <v>0</v>
      </c>
      <c r="Q26">
        <v>1</v>
      </c>
      <c r="R26">
        <v>85</v>
      </c>
      <c r="S26" s="5">
        <v>1</v>
      </c>
      <c r="T26" s="5">
        <v>2</v>
      </c>
      <c r="U26" s="5">
        <v>1</v>
      </c>
      <c r="V26" s="5">
        <v>4</v>
      </c>
    </row>
    <row r="27" spans="1:22" x14ac:dyDescent="0.35">
      <c r="A27">
        <v>26</v>
      </c>
      <c r="B27">
        <v>31</v>
      </c>
      <c r="C27" t="s">
        <v>75</v>
      </c>
      <c r="D27" t="s">
        <v>5</v>
      </c>
      <c r="E27" t="s">
        <v>7</v>
      </c>
      <c r="F27" t="s">
        <v>12</v>
      </c>
      <c r="G27">
        <v>1</v>
      </c>
      <c r="H27">
        <v>45</v>
      </c>
      <c r="I27" t="s">
        <v>16</v>
      </c>
      <c r="J27" s="1">
        <v>571.76</v>
      </c>
      <c r="K27" s="1">
        <v>190.58666666666667</v>
      </c>
      <c r="L27">
        <v>3</v>
      </c>
      <c r="M27">
        <v>1</v>
      </c>
      <c r="N27">
        <v>0</v>
      </c>
      <c r="O27">
        <v>1</v>
      </c>
      <c r="P27">
        <v>0</v>
      </c>
      <c r="Q27">
        <v>0</v>
      </c>
      <c r="R27">
        <v>3</v>
      </c>
      <c r="S27" s="5">
        <v>3</v>
      </c>
      <c r="T27" s="5">
        <v>2</v>
      </c>
      <c r="U27" s="5">
        <v>1</v>
      </c>
      <c r="V27" s="5">
        <v>6</v>
      </c>
    </row>
    <row r="28" spans="1:22" x14ac:dyDescent="0.35">
      <c r="A28">
        <v>27</v>
      </c>
      <c r="B28">
        <v>26</v>
      </c>
      <c r="C28" t="s">
        <v>73</v>
      </c>
      <c r="D28" t="s">
        <v>5</v>
      </c>
      <c r="E28" t="s">
        <v>9</v>
      </c>
      <c r="F28" t="s">
        <v>12</v>
      </c>
      <c r="G28">
        <v>0</v>
      </c>
      <c r="H28">
        <v>22</v>
      </c>
      <c r="I28" t="s">
        <v>16</v>
      </c>
      <c r="J28" s="1">
        <v>2210.6</v>
      </c>
      <c r="K28" s="1">
        <v>276.32499999999999</v>
      </c>
      <c r="L28">
        <v>8</v>
      </c>
      <c r="M28">
        <v>1</v>
      </c>
      <c r="N28">
        <v>1</v>
      </c>
      <c r="O28">
        <v>0</v>
      </c>
      <c r="P28">
        <v>0</v>
      </c>
      <c r="Q28">
        <v>1</v>
      </c>
      <c r="R28">
        <v>51</v>
      </c>
      <c r="S28" s="5">
        <v>2</v>
      </c>
      <c r="T28" s="5">
        <v>3</v>
      </c>
      <c r="U28" s="5">
        <v>3</v>
      </c>
      <c r="V28" s="5">
        <v>8</v>
      </c>
    </row>
    <row r="29" spans="1:22" x14ac:dyDescent="0.35">
      <c r="A29">
        <v>28</v>
      </c>
      <c r="B29">
        <v>27</v>
      </c>
      <c r="C29" t="s">
        <v>73</v>
      </c>
      <c r="D29" t="s">
        <v>6</v>
      </c>
      <c r="E29" t="s">
        <v>9</v>
      </c>
      <c r="F29" t="s">
        <v>13</v>
      </c>
      <c r="G29">
        <v>0</v>
      </c>
      <c r="H29">
        <v>42</v>
      </c>
      <c r="I29" t="s">
        <v>18</v>
      </c>
      <c r="J29" s="1">
        <v>1702.2600000000002</v>
      </c>
      <c r="K29" s="1">
        <v>283.71000000000004</v>
      </c>
      <c r="L29">
        <v>6</v>
      </c>
      <c r="M29">
        <v>2</v>
      </c>
      <c r="N29">
        <v>1</v>
      </c>
      <c r="O29">
        <v>1</v>
      </c>
      <c r="P29">
        <v>1</v>
      </c>
      <c r="Q29">
        <v>0</v>
      </c>
      <c r="R29">
        <v>13</v>
      </c>
      <c r="S29" s="5">
        <v>3</v>
      </c>
      <c r="T29" s="5">
        <v>2</v>
      </c>
      <c r="U29" s="5">
        <v>3</v>
      </c>
      <c r="V29" s="5">
        <v>8</v>
      </c>
    </row>
    <row r="30" spans="1:22" x14ac:dyDescent="0.35">
      <c r="A30">
        <v>29</v>
      </c>
      <c r="B30">
        <v>38</v>
      </c>
      <c r="C30" t="s">
        <v>75</v>
      </c>
      <c r="D30" t="s">
        <v>6</v>
      </c>
      <c r="E30" t="s">
        <v>10</v>
      </c>
      <c r="F30" t="s">
        <v>12</v>
      </c>
      <c r="G30">
        <v>0</v>
      </c>
      <c r="H30">
        <v>34</v>
      </c>
      <c r="I30" t="s">
        <v>17</v>
      </c>
      <c r="J30" s="1">
        <v>853.06999999999994</v>
      </c>
      <c r="K30" s="1">
        <v>284.35666666666663</v>
      </c>
      <c r="L30">
        <v>3</v>
      </c>
      <c r="M30">
        <v>2</v>
      </c>
      <c r="N30">
        <v>1</v>
      </c>
      <c r="O30">
        <v>0</v>
      </c>
      <c r="P30">
        <v>1</v>
      </c>
      <c r="Q30">
        <v>1</v>
      </c>
      <c r="R30">
        <v>98</v>
      </c>
      <c r="S30" s="5">
        <v>1</v>
      </c>
      <c r="T30" s="5">
        <v>2</v>
      </c>
      <c r="U30" s="5">
        <v>2</v>
      </c>
      <c r="V30" s="5">
        <v>5</v>
      </c>
    </row>
    <row r="31" spans="1:22" x14ac:dyDescent="0.35">
      <c r="A31">
        <v>30</v>
      </c>
      <c r="B31">
        <v>69</v>
      </c>
      <c r="C31" t="s">
        <v>72</v>
      </c>
      <c r="D31" t="s">
        <v>5</v>
      </c>
      <c r="E31" t="s">
        <v>10</v>
      </c>
      <c r="F31" t="s">
        <v>13</v>
      </c>
      <c r="G31">
        <v>0</v>
      </c>
      <c r="H31">
        <v>38</v>
      </c>
      <c r="I31" t="s">
        <v>17</v>
      </c>
      <c r="J31" s="1">
        <v>706.66</v>
      </c>
      <c r="K31" s="1">
        <v>353.33</v>
      </c>
      <c r="L31">
        <v>2</v>
      </c>
      <c r="M31">
        <v>2</v>
      </c>
      <c r="N31">
        <v>1</v>
      </c>
      <c r="O31">
        <v>1</v>
      </c>
      <c r="P31">
        <v>0</v>
      </c>
      <c r="Q31">
        <v>0</v>
      </c>
      <c r="R31">
        <v>105</v>
      </c>
      <c r="S31" s="5">
        <v>1</v>
      </c>
      <c r="T31" s="5">
        <v>1</v>
      </c>
      <c r="U31" s="5">
        <v>1</v>
      </c>
      <c r="V31" s="5">
        <v>3</v>
      </c>
    </row>
    <row r="32" spans="1:22" x14ac:dyDescent="0.35">
      <c r="A32">
        <v>31</v>
      </c>
      <c r="B32">
        <v>34</v>
      </c>
      <c r="C32" t="s">
        <v>75</v>
      </c>
      <c r="D32" t="s">
        <v>5</v>
      </c>
      <c r="E32" t="s">
        <v>10</v>
      </c>
      <c r="F32" t="s">
        <v>11</v>
      </c>
      <c r="G32">
        <v>0</v>
      </c>
      <c r="H32">
        <v>23</v>
      </c>
      <c r="I32" t="s">
        <v>18</v>
      </c>
      <c r="J32" s="1">
        <v>1108.56</v>
      </c>
      <c r="K32" s="1">
        <v>221.71199999999999</v>
      </c>
      <c r="L32">
        <v>5</v>
      </c>
      <c r="M32">
        <v>2</v>
      </c>
      <c r="N32">
        <v>0</v>
      </c>
      <c r="O32">
        <v>1</v>
      </c>
      <c r="P32">
        <v>1</v>
      </c>
      <c r="Q32">
        <v>0</v>
      </c>
      <c r="R32">
        <v>22</v>
      </c>
      <c r="S32" s="5">
        <v>3</v>
      </c>
      <c r="T32" s="5">
        <v>2</v>
      </c>
      <c r="U32" s="5">
        <v>2</v>
      </c>
      <c r="V32" s="5">
        <v>7</v>
      </c>
    </row>
    <row r="33" spans="1:22" x14ac:dyDescent="0.35">
      <c r="A33">
        <v>32</v>
      </c>
      <c r="B33">
        <v>69</v>
      </c>
      <c r="C33" t="s">
        <v>72</v>
      </c>
      <c r="D33" t="s">
        <v>6</v>
      </c>
      <c r="E33" t="s">
        <v>8</v>
      </c>
      <c r="F33" t="s">
        <v>13</v>
      </c>
      <c r="G33">
        <v>0</v>
      </c>
      <c r="H33">
        <v>48</v>
      </c>
      <c r="I33" t="s">
        <v>16</v>
      </c>
      <c r="J33" s="1">
        <v>1225.52</v>
      </c>
      <c r="K33" s="1">
        <v>245.10399999999998</v>
      </c>
      <c r="L33">
        <v>5</v>
      </c>
      <c r="M33">
        <v>0</v>
      </c>
      <c r="N33">
        <v>0</v>
      </c>
      <c r="O33">
        <v>0</v>
      </c>
      <c r="P33">
        <v>0</v>
      </c>
      <c r="Q33">
        <v>0</v>
      </c>
      <c r="R33">
        <v>88</v>
      </c>
      <c r="S33" s="5">
        <v>1</v>
      </c>
      <c r="T33" s="5">
        <v>2</v>
      </c>
      <c r="U33" s="5">
        <v>2</v>
      </c>
      <c r="V33" s="5">
        <v>5</v>
      </c>
    </row>
    <row r="34" spans="1:22" x14ac:dyDescent="0.35">
      <c r="A34">
        <v>33</v>
      </c>
      <c r="B34">
        <v>23</v>
      </c>
      <c r="C34" t="s">
        <v>73</v>
      </c>
      <c r="D34" t="s">
        <v>5</v>
      </c>
      <c r="E34" t="s">
        <v>10</v>
      </c>
      <c r="F34" t="s">
        <v>13</v>
      </c>
      <c r="G34">
        <v>1</v>
      </c>
      <c r="H34">
        <v>24</v>
      </c>
      <c r="I34" t="s">
        <v>16</v>
      </c>
      <c r="J34" s="1">
        <v>689</v>
      </c>
      <c r="K34" s="1">
        <v>344.5</v>
      </c>
      <c r="L34">
        <v>2</v>
      </c>
      <c r="M34">
        <v>1</v>
      </c>
      <c r="N34">
        <v>0</v>
      </c>
      <c r="O34">
        <v>0</v>
      </c>
      <c r="P34">
        <v>0</v>
      </c>
      <c r="Q34">
        <v>1</v>
      </c>
      <c r="R34">
        <v>54</v>
      </c>
      <c r="S34" s="5">
        <v>2</v>
      </c>
      <c r="T34" s="5">
        <v>1</v>
      </c>
      <c r="U34" s="5">
        <v>1</v>
      </c>
      <c r="V34" s="5">
        <v>4</v>
      </c>
    </row>
    <row r="35" spans="1:22" x14ac:dyDescent="0.35">
      <c r="A35">
        <v>34</v>
      </c>
      <c r="B35">
        <v>33</v>
      </c>
      <c r="C35" t="s">
        <v>75</v>
      </c>
      <c r="D35" t="s">
        <v>5</v>
      </c>
      <c r="E35" t="s">
        <v>9</v>
      </c>
      <c r="F35" t="s">
        <v>13</v>
      </c>
      <c r="G35">
        <v>0</v>
      </c>
      <c r="H35">
        <v>44</v>
      </c>
      <c r="I35" t="s">
        <v>18</v>
      </c>
      <c r="J35" s="1">
        <v>1886.3999999999999</v>
      </c>
      <c r="K35" s="1">
        <v>209.6</v>
      </c>
      <c r="L35">
        <v>9</v>
      </c>
      <c r="M35">
        <v>2</v>
      </c>
      <c r="N35">
        <v>1</v>
      </c>
      <c r="O35">
        <v>0</v>
      </c>
      <c r="P35">
        <v>0</v>
      </c>
      <c r="Q35">
        <v>1</v>
      </c>
      <c r="R35">
        <v>9</v>
      </c>
      <c r="S35" s="5">
        <v>3</v>
      </c>
      <c r="T35" s="5">
        <v>3</v>
      </c>
      <c r="U35" s="5">
        <v>3</v>
      </c>
      <c r="V35" s="5">
        <v>9</v>
      </c>
    </row>
    <row r="36" spans="1:22" x14ac:dyDescent="0.35">
      <c r="A36">
        <v>35</v>
      </c>
      <c r="B36">
        <v>65</v>
      </c>
      <c r="C36" t="s">
        <v>72</v>
      </c>
      <c r="D36" t="s">
        <v>5</v>
      </c>
      <c r="E36" t="s">
        <v>8</v>
      </c>
      <c r="F36" t="s">
        <v>11</v>
      </c>
      <c r="G36">
        <v>0</v>
      </c>
      <c r="H36">
        <v>19</v>
      </c>
      <c r="I36" t="s">
        <v>16</v>
      </c>
      <c r="J36" s="1">
        <v>779.84</v>
      </c>
      <c r="K36" s="1">
        <v>259.94666666666666</v>
      </c>
      <c r="L36">
        <v>3</v>
      </c>
      <c r="M36">
        <v>1</v>
      </c>
      <c r="N36">
        <v>1</v>
      </c>
      <c r="O36">
        <v>1</v>
      </c>
      <c r="P36">
        <v>0</v>
      </c>
      <c r="Q36">
        <v>0</v>
      </c>
      <c r="R36">
        <v>114</v>
      </c>
      <c r="S36" s="5">
        <v>1</v>
      </c>
      <c r="T36" s="5">
        <v>2</v>
      </c>
      <c r="U36" s="5">
        <v>1</v>
      </c>
      <c r="V36" s="5">
        <v>4</v>
      </c>
    </row>
    <row r="37" spans="1:22" x14ac:dyDescent="0.35">
      <c r="A37">
        <v>36</v>
      </c>
      <c r="B37">
        <v>18</v>
      </c>
      <c r="C37" t="s">
        <v>73</v>
      </c>
      <c r="D37" t="s">
        <v>6</v>
      </c>
      <c r="E37" t="s">
        <v>9</v>
      </c>
      <c r="F37" t="s">
        <v>11</v>
      </c>
      <c r="G37">
        <v>0</v>
      </c>
      <c r="H37">
        <v>6</v>
      </c>
      <c r="I37" t="s">
        <v>18</v>
      </c>
      <c r="J37" s="1">
        <v>1321.5500000000002</v>
      </c>
      <c r="K37" s="1">
        <v>220.25833333333335</v>
      </c>
      <c r="L37">
        <v>6</v>
      </c>
      <c r="M37">
        <v>1</v>
      </c>
      <c r="N37">
        <v>0</v>
      </c>
      <c r="O37">
        <v>0</v>
      </c>
      <c r="P37">
        <v>0</v>
      </c>
      <c r="Q37">
        <v>1</v>
      </c>
      <c r="R37">
        <v>65</v>
      </c>
      <c r="S37" s="5">
        <v>2</v>
      </c>
      <c r="T37" s="5">
        <v>2</v>
      </c>
      <c r="U37" s="5">
        <v>2</v>
      </c>
      <c r="V37" s="5">
        <v>6</v>
      </c>
    </row>
    <row r="38" spans="1:22" x14ac:dyDescent="0.35">
      <c r="A38">
        <v>37</v>
      </c>
      <c r="B38">
        <v>36</v>
      </c>
      <c r="C38" t="s">
        <v>75</v>
      </c>
      <c r="D38" t="s">
        <v>6</v>
      </c>
      <c r="E38" t="s">
        <v>8</v>
      </c>
      <c r="F38" t="s">
        <v>12</v>
      </c>
      <c r="G38">
        <v>0</v>
      </c>
      <c r="H38">
        <v>3</v>
      </c>
      <c r="I38" t="s">
        <v>18</v>
      </c>
      <c r="J38" s="1">
        <v>3166.88</v>
      </c>
      <c r="K38" s="1">
        <v>351.87555555555559</v>
      </c>
      <c r="L38">
        <v>9</v>
      </c>
      <c r="M38">
        <v>1</v>
      </c>
      <c r="N38">
        <v>0</v>
      </c>
      <c r="O38">
        <v>1</v>
      </c>
      <c r="P38">
        <v>0</v>
      </c>
      <c r="Q38">
        <v>0</v>
      </c>
      <c r="R38">
        <v>24</v>
      </c>
      <c r="S38" s="5">
        <v>3</v>
      </c>
      <c r="T38" s="5">
        <v>3</v>
      </c>
      <c r="U38" s="5">
        <v>3</v>
      </c>
      <c r="V38" s="5">
        <v>9</v>
      </c>
    </row>
    <row r="39" spans="1:22" x14ac:dyDescent="0.35">
      <c r="A39">
        <v>38</v>
      </c>
      <c r="B39">
        <v>53</v>
      </c>
      <c r="C39" t="s">
        <v>74</v>
      </c>
      <c r="D39" t="s">
        <v>6</v>
      </c>
      <c r="E39" t="s">
        <v>8</v>
      </c>
      <c r="F39" t="s">
        <v>11</v>
      </c>
      <c r="G39">
        <v>0</v>
      </c>
      <c r="H39">
        <v>47</v>
      </c>
      <c r="I39" t="s">
        <v>18</v>
      </c>
      <c r="J39" s="1">
        <v>874.86</v>
      </c>
      <c r="K39" s="1">
        <v>291.62</v>
      </c>
      <c r="L39">
        <v>3</v>
      </c>
      <c r="M39">
        <v>1</v>
      </c>
      <c r="N39">
        <v>0</v>
      </c>
      <c r="O39">
        <v>0</v>
      </c>
      <c r="P39">
        <v>1</v>
      </c>
      <c r="Q39">
        <v>0</v>
      </c>
      <c r="R39">
        <v>26</v>
      </c>
      <c r="S39" s="5">
        <v>3</v>
      </c>
      <c r="T39" s="5">
        <v>2</v>
      </c>
      <c r="U39" s="5">
        <v>2</v>
      </c>
      <c r="V39" s="5">
        <v>7</v>
      </c>
    </row>
    <row r="40" spans="1:22" x14ac:dyDescent="0.35">
      <c r="A40">
        <v>39</v>
      </c>
      <c r="B40">
        <v>42</v>
      </c>
      <c r="C40" t="s">
        <v>75</v>
      </c>
      <c r="D40" t="s">
        <v>5</v>
      </c>
      <c r="E40" t="s">
        <v>8</v>
      </c>
      <c r="F40" t="s">
        <v>12</v>
      </c>
      <c r="G40">
        <v>0</v>
      </c>
      <c r="H40">
        <v>26</v>
      </c>
      <c r="I40" t="s">
        <v>18</v>
      </c>
      <c r="J40" s="1">
        <v>1191.94</v>
      </c>
      <c r="K40" s="1">
        <v>238.38800000000001</v>
      </c>
      <c r="L40">
        <v>5</v>
      </c>
      <c r="M40">
        <v>0</v>
      </c>
      <c r="N40">
        <v>0</v>
      </c>
      <c r="O40">
        <v>0</v>
      </c>
      <c r="P40">
        <v>0</v>
      </c>
      <c r="Q40">
        <v>0</v>
      </c>
      <c r="R40">
        <v>20</v>
      </c>
      <c r="S40" s="5">
        <v>3</v>
      </c>
      <c r="T40" s="5">
        <v>2</v>
      </c>
      <c r="U40" s="5">
        <v>2</v>
      </c>
      <c r="V40" s="5">
        <v>7</v>
      </c>
    </row>
    <row r="41" spans="1:22" x14ac:dyDescent="0.35">
      <c r="A41">
        <v>40</v>
      </c>
      <c r="B41">
        <v>67</v>
      </c>
      <c r="C41" t="s">
        <v>72</v>
      </c>
      <c r="D41" t="s">
        <v>6</v>
      </c>
      <c r="E41" t="s">
        <v>9</v>
      </c>
      <c r="F41" t="s">
        <v>11</v>
      </c>
      <c r="G41">
        <v>0</v>
      </c>
      <c r="H41">
        <v>20</v>
      </c>
      <c r="I41" t="s">
        <v>17</v>
      </c>
      <c r="J41" s="1">
        <v>1578.3500000000001</v>
      </c>
      <c r="K41" s="1">
        <v>225.47857142857146</v>
      </c>
      <c r="L41">
        <v>7</v>
      </c>
      <c r="M41">
        <v>1</v>
      </c>
      <c r="N41">
        <v>0</v>
      </c>
      <c r="O41">
        <v>1</v>
      </c>
      <c r="P41">
        <v>0</v>
      </c>
      <c r="Q41">
        <v>0</v>
      </c>
      <c r="R41">
        <v>151</v>
      </c>
      <c r="S41" s="5">
        <v>1</v>
      </c>
      <c r="T41" s="5">
        <v>2</v>
      </c>
      <c r="U41" s="5">
        <v>3</v>
      </c>
      <c r="V41" s="5">
        <v>6</v>
      </c>
    </row>
    <row r="42" spans="1:22" x14ac:dyDescent="0.35">
      <c r="A42">
        <v>41</v>
      </c>
      <c r="B42">
        <v>69</v>
      </c>
      <c r="C42" t="s">
        <v>72</v>
      </c>
      <c r="D42" t="s">
        <v>6</v>
      </c>
      <c r="E42" t="s">
        <v>8</v>
      </c>
      <c r="F42" t="s">
        <v>13</v>
      </c>
      <c r="G42">
        <v>1</v>
      </c>
      <c r="H42">
        <v>38</v>
      </c>
      <c r="I42" t="s">
        <v>16</v>
      </c>
      <c r="J42" s="1">
        <v>363.22</v>
      </c>
      <c r="K42" s="1">
        <v>181.61</v>
      </c>
      <c r="L42">
        <v>2</v>
      </c>
      <c r="M42">
        <v>1</v>
      </c>
      <c r="N42">
        <v>1</v>
      </c>
      <c r="O42">
        <v>0</v>
      </c>
      <c r="P42">
        <v>1</v>
      </c>
      <c r="Q42">
        <v>0</v>
      </c>
      <c r="R42">
        <v>319</v>
      </c>
      <c r="S42" s="5">
        <v>1</v>
      </c>
      <c r="T42" s="5">
        <v>1</v>
      </c>
      <c r="U42" s="5">
        <v>1</v>
      </c>
      <c r="V42" s="5">
        <v>3</v>
      </c>
    </row>
    <row r="43" spans="1:22" x14ac:dyDescent="0.35">
      <c r="A43">
        <v>42</v>
      </c>
      <c r="B43">
        <v>47</v>
      </c>
      <c r="C43" t="s">
        <v>74</v>
      </c>
      <c r="D43" t="s">
        <v>5</v>
      </c>
      <c r="E43" t="s">
        <v>9</v>
      </c>
      <c r="F43" t="s">
        <v>12</v>
      </c>
      <c r="G43">
        <v>0</v>
      </c>
      <c r="H43">
        <v>10</v>
      </c>
      <c r="I43" t="s">
        <v>16</v>
      </c>
      <c r="J43" s="1">
        <v>530.61</v>
      </c>
      <c r="K43" s="1">
        <v>176.87</v>
      </c>
      <c r="L43">
        <v>3</v>
      </c>
      <c r="M43">
        <v>0</v>
      </c>
      <c r="N43">
        <v>0</v>
      </c>
      <c r="O43">
        <v>0</v>
      </c>
      <c r="P43">
        <v>0</v>
      </c>
      <c r="Q43">
        <v>0</v>
      </c>
      <c r="R43">
        <v>71</v>
      </c>
      <c r="S43" s="5">
        <v>2</v>
      </c>
      <c r="T43" s="5">
        <v>2</v>
      </c>
      <c r="U43" s="5">
        <v>1</v>
      </c>
      <c r="V43" s="5">
        <v>5</v>
      </c>
    </row>
    <row r="44" spans="1:22" x14ac:dyDescent="0.35">
      <c r="A44">
        <v>43</v>
      </c>
      <c r="B44">
        <v>37</v>
      </c>
      <c r="C44" t="s">
        <v>75</v>
      </c>
      <c r="D44" t="s">
        <v>5</v>
      </c>
      <c r="E44" t="s">
        <v>7</v>
      </c>
      <c r="F44" t="s">
        <v>11</v>
      </c>
      <c r="G44">
        <v>0</v>
      </c>
      <c r="H44">
        <v>25</v>
      </c>
      <c r="I44" t="s">
        <v>16</v>
      </c>
      <c r="J44" s="1">
        <v>2213.63</v>
      </c>
      <c r="K44" s="1">
        <v>316.23285714285714</v>
      </c>
      <c r="L44">
        <v>7</v>
      </c>
      <c r="M44">
        <v>2</v>
      </c>
      <c r="N44">
        <v>1</v>
      </c>
      <c r="O44">
        <v>0</v>
      </c>
      <c r="P44">
        <v>1</v>
      </c>
      <c r="Q44">
        <v>0</v>
      </c>
      <c r="R44">
        <v>59</v>
      </c>
      <c r="S44" s="5">
        <v>2</v>
      </c>
      <c r="T44" s="5">
        <v>2</v>
      </c>
      <c r="U44" s="5">
        <v>3</v>
      </c>
      <c r="V44" s="5">
        <v>7</v>
      </c>
    </row>
    <row r="45" spans="1:22" x14ac:dyDescent="0.35">
      <c r="A45">
        <v>44</v>
      </c>
      <c r="B45">
        <v>37</v>
      </c>
      <c r="C45" t="s">
        <v>75</v>
      </c>
      <c r="D45" t="s">
        <v>6</v>
      </c>
      <c r="E45" t="s">
        <v>9</v>
      </c>
      <c r="F45" t="s">
        <v>11</v>
      </c>
      <c r="G45">
        <v>0</v>
      </c>
      <c r="H45">
        <v>35</v>
      </c>
      <c r="I45" t="s">
        <v>16</v>
      </c>
      <c r="J45" s="1">
        <v>687.81999999999994</v>
      </c>
      <c r="K45" s="1">
        <v>229.27333333333331</v>
      </c>
      <c r="L45">
        <v>3</v>
      </c>
      <c r="M45">
        <v>1</v>
      </c>
      <c r="N45">
        <v>1</v>
      </c>
      <c r="O45">
        <v>0</v>
      </c>
      <c r="P45">
        <v>0</v>
      </c>
      <c r="Q45">
        <v>1</v>
      </c>
      <c r="R45">
        <v>38</v>
      </c>
      <c r="S45" s="5">
        <v>2</v>
      </c>
      <c r="T45" s="5">
        <v>2</v>
      </c>
      <c r="U45" s="5">
        <v>1</v>
      </c>
      <c r="V45" s="5">
        <v>5</v>
      </c>
    </row>
    <row r="46" spans="1:22" x14ac:dyDescent="0.35">
      <c r="A46">
        <v>45</v>
      </c>
      <c r="B46">
        <v>32</v>
      </c>
      <c r="C46" t="s">
        <v>75</v>
      </c>
      <c r="D46" t="s">
        <v>6</v>
      </c>
      <c r="E46" t="s">
        <v>9</v>
      </c>
      <c r="F46" t="s">
        <v>11</v>
      </c>
      <c r="G46">
        <v>0</v>
      </c>
      <c r="H46">
        <v>49</v>
      </c>
      <c r="I46" t="s">
        <v>18</v>
      </c>
      <c r="J46" s="1">
        <v>300.42</v>
      </c>
      <c r="K46" s="1">
        <v>300.42</v>
      </c>
      <c r="L46">
        <v>1</v>
      </c>
      <c r="M46">
        <v>1</v>
      </c>
      <c r="N46">
        <v>1</v>
      </c>
      <c r="O46">
        <v>1</v>
      </c>
      <c r="P46">
        <v>0</v>
      </c>
      <c r="Q46">
        <v>0</v>
      </c>
      <c r="R46">
        <v>8</v>
      </c>
      <c r="S46" s="5">
        <v>3</v>
      </c>
      <c r="T46" s="5">
        <v>1</v>
      </c>
      <c r="U46" s="5">
        <v>1</v>
      </c>
      <c r="V46" s="5">
        <v>5</v>
      </c>
    </row>
    <row r="47" spans="1:22" x14ac:dyDescent="0.35">
      <c r="A47">
        <v>46</v>
      </c>
      <c r="B47">
        <v>57</v>
      </c>
      <c r="C47" t="s">
        <v>74</v>
      </c>
      <c r="D47" t="s">
        <v>6</v>
      </c>
      <c r="E47" t="s">
        <v>8</v>
      </c>
      <c r="F47" t="s">
        <v>13</v>
      </c>
      <c r="G47">
        <v>1</v>
      </c>
      <c r="H47">
        <v>24</v>
      </c>
      <c r="I47" t="s">
        <v>18</v>
      </c>
      <c r="J47" s="1">
        <v>134.66999999999999</v>
      </c>
      <c r="K47" s="1">
        <v>134.66999999999999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133</v>
      </c>
      <c r="S47" s="5">
        <v>1</v>
      </c>
      <c r="T47" s="5">
        <v>1</v>
      </c>
      <c r="U47" s="5">
        <v>1</v>
      </c>
      <c r="V47" s="5">
        <v>3</v>
      </c>
    </row>
    <row r="48" spans="1:22" x14ac:dyDescent="0.35">
      <c r="A48">
        <v>47</v>
      </c>
      <c r="B48">
        <v>50</v>
      </c>
      <c r="C48" t="s">
        <v>74</v>
      </c>
      <c r="D48" t="s">
        <v>6</v>
      </c>
      <c r="E48" t="s">
        <v>8</v>
      </c>
      <c r="F48" t="s">
        <v>12</v>
      </c>
      <c r="G48">
        <v>0</v>
      </c>
      <c r="H48">
        <v>21</v>
      </c>
      <c r="I48" t="s">
        <v>17</v>
      </c>
      <c r="J48" s="1">
        <v>1466.3700000000001</v>
      </c>
      <c r="K48" s="1">
        <v>209.48142857142858</v>
      </c>
      <c r="L48">
        <v>7</v>
      </c>
      <c r="M48">
        <v>0</v>
      </c>
      <c r="N48">
        <v>0</v>
      </c>
      <c r="O48">
        <v>0</v>
      </c>
      <c r="P48">
        <v>0</v>
      </c>
      <c r="Q48">
        <v>0</v>
      </c>
      <c r="R48">
        <v>42</v>
      </c>
      <c r="S48" s="5">
        <v>2</v>
      </c>
      <c r="T48" s="5">
        <v>2</v>
      </c>
      <c r="U48" s="5">
        <v>2</v>
      </c>
      <c r="V48" s="5">
        <v>6</v>
      </c>
    </row>
    <row r="49" spans="1:22" x14ac:dyDescent="0.35">
      <c r="A49">
        <v>48</v>
      </c>
      <c r="B49">
        <v>19</v>
      </c>
      <c r="C49" t="s">
        <v>73</v>
      </c>
      <c r="D49" t="s">
        <v>5</v>
      </c>
      <c r="E49" t="s">
        <v>10</v>
      </c>
      <c r="F49" t="s">
        <v>12</v>
      </c>
      <c r="G49">
        <v>0</v>
      </c>
      <c r="H49">
        <v>34</v>
      </c>
      <c r="I49" t="s">
        <v>17</v>
      </c>
      <c r="J49" s="1">
        <v>1597.2899999999997</v>
      </c>
      <c r="K49" s="1">
        <v>228.18428571428566</v>
      </c>
      <c r="L49">
        <v>7</v>
      </c>
      <c r="M49">
        <v>0</v>
      </c>
      <c r="N49">
        <v>0</v>
      </c>
      <c r="O49">
        <v>0</v>
      </c>
      <c r="P49">
        <v>0</v>
      </c>
      <c r="Q49">
        <v>0</v>
      </c>
      <c r="R49">
        <v>22</v>
      </c>
      <c r="S49" s="5">
        <v>3</v>
      </c>
      <c r="T49" s="5">
        <v>2</v>
      </c>
      <c r="U49" s="5">
        <v>3</v>
      </c>
      <c r="V49" s="5">
        <v>8</v>
      </c>
    </row>
    <row r="50" spans="1:22" x14ac:dyDescent="0.35">
      <c r="A50">
        <v>49</v>
      </c>
      <c r="B50">
        <v>27</v>
      </c>
      <c r="C50" t="s">
        <v>73</v>
      </c>
      <c r="D50" t="s">
        <v>6</v>
      </c>
      <c r="E50" t="s">
        <v>7</v>
      </c>
      <c r="F50" t="s">
        <v>12</v>
      </c>
      <c r="G50">
        <v>0</v>
      </c>
      <c r="H50">
        <v>18</v>
      </c>
      <c r="I50" t="s">
        <v>18</v>
      </c>
      <c r="J50" s="1">
        <v>641.48</v>
      </c>
      <c r="K50" s="1">
        <v>213.82666666666668</v>
      </c>
      <c r="L50">
        <v>3</v>
      </c>
      <c r="M50">
        <v>0</v>
      </c>
      <c r="N50">
        <v>0</v>
      </c>
      <c r="O50">
        <v>0</v>
      </c>
      <c r="P50">
        <v>0</v>
      </c>
      <c r="Q50">
        <v>0</v>
      </c>
      <c r="R50">
        <v>207</v>
      </c>
      <c r="S50" s="5">
        <v>1</v>
      </c>
      <c r="T50" s="5">
        <v>2</v>
      </c>
      <c r="U50" s="5">
        <v>1</v>
      </c>
      <c r="V50" s="5">
        <v>4</v>
      </c>
    </row>
    <row r="51" spans="1:22" x14ac:dyDescent="0.35">
      <c r="A51">
        <v>50</v>
      </c>
      <c r="B51">
        <v>50</v>
      </c>
      <c r="C51" t="s">
        <v>74</v>
      </c>
      <c r="D51" t="s">
        <v>6</v>
      </c>
      <c r="E51" t="s">
        <v>7</v>
      </c>
      <c r="F51" t="s">
        <v>11</v>
      </c>
      <c r="G51">
        <v>0</v>
      </c>
      <c r="H51">
        <v>19</v>
      </c>
      <c r="I51" t="s">
        <v>18</v>
      </c>
      <c r="J51" s="1">
        <v>1514.6200000000001</v>
      </c>
      <c r="K51" s="1">
        <v>378.65500000000003</v>
      </c>
      <c r="L51">
        <v>4</v>
      </c>
      <c r="M51">
        <v>2</v>
      </c>
      <c r="N51">
        <v>1</v>
      </c>
      <c r="O51">
        <v>1</v>
      </c>
      <c r="P51">
        <v>0</v>
      </c>
      <c r="Q51">
        <v>1</v>
      </c>
      <c r="R51">
        <v>22</v>
      </c>
      <c r="S51" s="5">
        <v>3</v>
      </c>
      <c r="T51" s="5">
        <v>2</v>
      </c>
      <c r="U51" s="5">
        <v>2</v>
      </c>
      <c r="V51" s="5">
        <v>7</v>
      </c>
    </row>
    <row r="52" spans="1:22" x14ac:dyDescent="0.35">
      <c r="A52">
        <v>51</v>
      </c>
      <c r="B52">
        <v>49</v>
      </c>
      <c r="C52" t="s">
        <v>74</v>
      </c>
      <c r="D52" t="s">
        <v>5</v>
      </c>
      <c r="E52" t="s">
        <v>10</v>
      </c>
      <c r="F52" t="s">
        <v>12</v>
      </c>
      <c r="G52">
        <v>1</v>
      </c>
      <c r="H52">
        <v>3</v>
      </c>
      <c r="I52" t="s">
        <v>16</v>
      </c>
      <c r="J52" s="1">
        <v>549.86</v>
      </c>
      <c r="K52" s="1">
        <v>183.28666666666666</v>
      </c>
      <c r="L52">
        <v>3</v>
      </c>
      <c r="M52">
        <v>0</v>
      </c>
      <c r="N52">
        <v>0</v>
      </c>
      <c r="O52">
        <v>0</v>
      </c>
      <c r="P52">
        <v>0</v>
      </c>
      <c r="Q52">
        <v>0</v>
      </c>
      <c r="R52">
        <v>164</v>
      </c>
      <c r="S52" s="5">
        <v>1</v>
      </c>
      <c r="T52" s="5">
        <v>2</v>
      </c>
      <c r="U52" s="5">
        <v>1</v>
      </c>
      <c r="V52" s="5">
        <v>4</v>
      </c>
    </row>
    <row r="53" spans="1:22" x14ac:dyDescent="0.35">
      <c r="A53">
        <v>52</v>
      </c>
      <c r="B53">
        <v>28</v>
      </c>
      <c r="C53" t="s">
        <v>73</v>
      </c>
      <c r="D53" t="s">
        <v>5</v>
      </c>
      <c r="E53" t="s">
        <v>9</v>
      </c>
      <c r="F53" t="s">
        <v>12</v>
      </c>
      <c r="G53">
        <v>0</v>
      </c>
      <c r="H53">
        <v>6</v>
      </c>
      <c r="I53" t="s">
        <v>16</v>
      </c>
      <c r="J53" s="1">
        <v>401.25</v>
      </c>
      <c r="K53" s="1">
        <v>401.25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317</v>
      </c>
      <c r="S53" s="5">
        <v>1</v>
      </c>
      <c r="T53" s="5">
        <v>1</v>
      </c>
      <c r="U53" s="5">
        <v>1</v>
      </c>
      <c r="V53" s="5">
        <v>3</v>
      </c>
    </row>
    <row r="54" spans="1:22" x14ac:dyDescent="0.35">
      <c r="A54">
        <v>53</v>
      </c>
      <c r="B54">
        <v>41</v>
      </c>
      <c r="C54" t="s">
        <v>75</v>
      </c>
      <c r="D54" t="s">
        <v>6</v>
      </c>
      <c r="E54" t="s">
        <v>9</v>
      </c>
      <c r="F54" t="s">
        <v>11</v>
      </c>
      <c r="G54">
        <v>0</v>
      </c>
      <c r="H54">
        <v>20</v>
      </c>
      <c r="I54" t="s">
        <v>16</v>
      </c>
      <c r="J54" s="1">
        <v>1255.3400000000001</v>
      </c>
      <c r="K54" s="1">
        <v>179.33428571428573</v>
      </c>
      <c r="L54">
        <v>7</v>
      </c>
      <c r="M54">
        <v>0</v>
      </c>
      <c r="N54">
        <v>0</v>
      </c>
      <c r="O54">
        <v>0</v>
      </c>
      <c r="P54">
        <v>0</v>
      </c>
      <c r="Q54">
        <v>0</v>
      </c>
      <c r="R54">
        <v>3</v>
      </c>
      <c r="S54" s="5">
        <v>3</v>
      </c>
      <c r="T54" s="5">
        <v>2</v>
      </c>
      <c r="U54" s="5">
        <v>2</v>
      </c>
      <c r="V54" s="5">
        <v>7</v>
      </c>
    </row>
    <row r="55" spans="1:22" x14ac:dyDescent="0.35">
      <c r="A55">
        <v>54</v>
      </c>
      <c r="B55">
        <v>53</v>
      </c>
      <c r="C55" t="s">
        <v>74</v>
      </c>
      <c r="D55" t="s">
        <v>6</v>
      </c>
      <c r="E55" t="s">
        <v>8</v>
      </c>
      <c r="F55" t="s">
        <v>11</v>
      </c>
      <c r="G55">
        <v>0</v>
      </c>
      <c r="H55">
        <v>22</v>
      </c>
      <c r="I55" t="s">
        <v>18</v>
      </c>
      <c r="J55" s="1">
        <v>461.21000000000004</v>
      </c>
      <c r="K55" s="1">
        <v>230.60500000000002</v>
      </c>
      <c r="L55">
        <v>2</v>
      </c>
      <c r="M55">
        <v>2</v>
      </c>
      <c r="N55">
        <v>0</v>
      </c>
      <c r="O55">
        <v>1</v>
      </c>
      <c r="P55">
        <v>0</v>
      </c>
      <c r="Q55">
        <v>1</v>
      </c>
      <c r="R55">
        <v>180</v>
      </c>
      <c r="S55" s="5">
        <v>1</v>
      </c>
      <c r="T55" s="5">
        <v>1</v>
      </c>
      <c r="U55" s="5">
        <v>1</v>
      </c>
      <c r="V55" s="5">
        <v>3</v>
      </c>
    </row>
    <row r="56" spans="1:22" x14ac:dyDescent="0.35">
      <c r="A56">
        <v>55</v>
      </c>
      <c r="B56">
        <v>29</v>
      </c>
      <c r="C56" t="s">
        <v>73</v>
      </c>
      <c r="D56" t="s">
        <v>6</v>
      </c>
      <c r="E56" t="s">
        <v>7</v>
      </c>
      <c r="F56" t="s">
        <v>11</v>
      </c>
      <c r="G56">
        <v>0</v>
      </c>
      <c r="H56">
        <v>33</v>
      </c>
      <c r="I56" t="s">
        <v>17</v>
      </c>
      <c r="J56" s="1">
        <v>1129.3500000000001</v>
      </c>
      <c r="K56" s="1">
        <v>225.87000000000003</v>
      </c>
      <c r="L56">
        <v>5</v>
      </c>
      <c r="M56">
        <v>0</v>
      </c>
      <c r="N56">
        <v>0</v>
      </c>
      <c r="O56">
        <v>0</v>
      </c>
      <c r="P56">
        <v>0</v>
      </c>
      <c r="Q56">
        <v>0</v>
      </c>
      <c r="R56">
        <v>116</v>
      </c>
      <c r="S56" s="5">
        <v>1</v>
      </c>
      <c r="T56" s="5">
        <v>2</v>
      </c>
      <c r="U56" s="5">
        <v>2</v>
      </c>
      <c r="V56" s="5">
        <v>5</v>
      </c>
    </row>
    <row r="57" spans="1:22" x14ac:dyDescent="0.35">
      <c r="A57">
        <v>56</v>
      </c>
      <c r="B57">
        <v>68</v>
      </c>
      <c r="C57" t="s">
        <v>72</v>
      </c>
      <c r="D57" t="s">
        <v>6</v>
      </c>
      <c r="E57" t="s">
        <v>8</v>
      </c>
      <c r="F57" t="s">
        <v>11</v>
      </c>
      <c r="G57">
        <v>0</v>
      </c>
      <c r="H57">
        <v>14</v>
      </c>
      <c r="I57" t="s">
        <v>16</v>
      </c>
      <c r="J57" s="1">
        <v>1443.46</v>
      </c>
      <c r="K57" s="1">
        <v>288.69200000000001</v>
      </c>
      <c r="L57">
        <v>5</v>
      </c>
      <c r="M57">
        <v>0</v>
      </c>
      <c r="N57">
        <v>0</v>
      </c>
      <c r="O57">
        <v>0</v>
      </c>
      <c r="P57">
        <v>0</v>
      </c>
      <c r="Q57">
        <v>0</v>
      </c>
      <c r="R57">
        <v>16</v>
      </c>
      <c r="S57" s="5">
        <v>3</v>
      </c>
      <c r="T57" s="5">
        <v>2</v>
      </c>
      <c r="U57" s="5">
        <v>2</v>
      </c>
      <c r="V57" s="5">
        <v>7</v>
      </c>
    </row>
    <row r="58" spans="1:22" x14ac:dyDescent="0.35">
      <c r="A58">
        <v>57</v>
      </c>
      <c r="B58">
        <v>46</v>
      </c>
      <c r="C58" t="s">
        <v>74</v>
      </c>
      <c r="D58" t="s">
        <v>6</v>
      </c>
      <c r="E58" t="s">
        <v>10</v>
      </c>
      <c r="F58" t="s">
        <v>13</v>
      </c>
      <c r="G58">
        <v>0</v>
      </c>
      <c r="H58">
        <v>44</v>
      </c>
      <c r="I58" t="s">
        <v>18</v>
      </c>
      <c r="J58" s="1">
        <v>597.75</v>
      </c>
      <c r="K58" s="1">
        <v>199.25</v>
      </c>
      <c r="L58">
        <v>3</v>
      </c>
      <c r="M58">
        <v>1</v>
      </c>
      <c r="N58">
        <v>1</v>
      </c>
      <c r="O58">
        <v>1</v>
      </c>
      <c r="P58">
        <v>0</v>
      </c>
      <c r="Q58">
        <v>0</v>
      </c>
      <c r="R58">
        <v>33</v>
      </c>
      <c r="S58" s="5">
        <v>2</v>
      </c>
      <c r="T58" s="5">
        <v>2</v>
      </c>
      <c r="U58" s="5">
        <v>1</v>
      </c>
      <c r="V58" s="5">
        <v>5</v>
      </c>
    </row>
    <row r="59" spans="1:22" x14ac:dyDescent="0.35">
      <c r="A59">
        <v>58</v>
      </c>
      <c r="B59">
        <v>52</v>
      </c>
      <c r="C59" t="s">
        <v>74</v>
      </c>
      <c r="D59" t="s">
        <v>5</v>
      </c>
      <c r="E59" t="s">
        <v>7</v>
      </c>
      <c r="F59" t="s">
        <v>13</v>
      </c>
      <c r="G59">
        <v>0</v>
      </c>
      <c r="H59">
        <v>9</v>
      </c>
      <c r="I59" t="s">
        <v>18</v>
      </c>
      <c r="J59" s="1">
        <v>2215.8200000000002</v>
      </c>
      <c r="K59" s="1">
        <v>369.30333333333334</v>
      </c>
      <c r="L59">
        <v>6</v>
      </c>
      <c r="M59">
        <v>2</v>
      </c>
      <c r="N59">
        <v>1</v>
      </c>
      <c r="O59">
        <v>1</v>
      </c>
      <c r="P59">
        <v>1</v>
      </c>
      <c r="Q59">
        <v>0</v>
      </c>
      <c r="R59">
        <v>43</v>
      </c>
      <c r="S59" s="5">
        <v>2</v>
      </c>
      <c r="T59" s="5">
        <v>2</v>
      </c>
      <c r="U59" s="5">
        <v>3</v>
      </c>
      <c r="V59" s="5">
        <v>7</v>
      </c>
    </row>
    <row r="60" spans="1:22" x14ac:dyDescent="0.35">
      <c r="A60">
        <v>59</v>
      </c>
      <c r="B60">
        <v>18</v>
      </c>
      <c r="C60" t="s">
        <v>73</v>
      </c>
      <c r="D60" t="s">
        <v>5</v>
      </c>
      <c r="E60" t="s">
        <v>8</v>
      </c>
      <c r="F60" t="s">
        <v>12</v>
      </c>
      <c r="G60">
        <v>0</v>
      </c>
      <c r="H60">
        <v>45</v>
      </c>
      <c r="I60" t="s">
        <v>18</v>
      </c>
      <c r="J60" s="1">
        <v>292.51</v>
      </c>
      <c r="K60" s="1">
        <v>97.50333333333333</v>
      </c>
      <c r="L60">
        <v>3</v>
      </c>
      <c r="M60">
        <v>0</v>
      </c>
      <c r="N60">
        <v>0</v>
      </c>
      <c r="O60">
        <v>0</v>
      </c>
      <c r="P60">
        <v>0</v>
      </c>
      <c r="Q60">
        <v>0</v>
      </c>
      <c r="R60">
        <v>30</v>
      </c>
      <c r="S60" s="5">
        <v>2</v>
      </c>
      <c r="T60" s="5">
        <v>2</v>
      </c>
      <c r="U60" s="5">
        <v>1</v>
      </c>
      <c r="V60" s="5">
        <v>5</v>
      </c>
    </row>
    <row r="61" spans="1:22" x14ac:dyDescent="0.35">
      <c r="A61">
        <v>60</v>
      </c>
      <c r="B61">
        <v>18</v>
      </c>
      <c r="C61" t="s">
        <v>73</v>
      </c>
      <c r="D61" t="s">
        <v>6</v>
      </c>
      <c r="E61" t="s">
        <v>7</v>
      </c>
      <c r="F61" t="s">
        <v>13</v>
      </c>
      <c r="G61">
        <v>0</v>
      </c>
      <c r="H61">
        <v>25</v>
      </c>
      <c r="I61" t="s">
        <v>16</v>
      </c>
      <c r="J61" s="1">
        <v>781.09</v>
      </c>
      <c r="K61" s="1">
        <v>195.27250000000001</v>
      </c>
      <c r="L61">
        <v>4</v>
      </c>
      <c r="M61">
        <v>2</v>
      </c>
      <c r="N61">
        <v>1</v>
      </c>
      <c r="O61">
        <v>0</v>
      </c>
      <c r="P61">
        <v>0</v>
      </c>
      <c r="Q61">
        <v>1</v>
      </c>
      <c r="R61">
        <v>11</v>
      </c>
      <c r="S61" s="5">
        <v>3</v>
      </c>
      <c r="T61" s="5">
        <v>2</v>
      </c>
      <c r="U61" s="5">
        <v>1</v>
      </c>
      <c r="V61" s="5">
        <v>6</v>
      </c>
    </row>
    <row r="62" spans="1:22" x14ac:dyDescent="0.35">
      <c r="A62">
        <v>61</v>
      </c>
      <c r="B62">
        <v>54</v>
      </c>
      <c r="C62" t="s">
        <v>74</v>
      </c>
      <c r="D62" t="s">
        <v>5</v>
      </c>
      <c r="E62" t="s">
        <v>7</v>
      </c>
      <c r="F62" t="s">
        <v>11</v>
      </c>
      <c r="G62">
        <v>1</v>
      </c>
      <c r="H62">
        <v>47</v>
      </c>
      <c r="I62" t="s">
        <v>17</v>
      </c>
      <c r="J62" s="1">
        <v>678.97</v>
      </c>
      <c r="K62" s="1">
        <v>226.32333333333335</v>
      </c>
      <c r="L62">
        <v>3</v>
      </c>
      <c r="M62">
        <v>1</v>
      </c>
      <c r="N62">
        <v>0</v>
      </c>
      <c r="O62">
        <v>1</v>
      </c>
      <c r="P62">
        <v>0</v>
      </c>
      <c r="Q62">
        <v>0</v>
      </c>
      <c r="R62">
        <v>81</v>
      </c>
      <c r="S62" s="5">
        <v>2</v>
      </c>
      <c r="T62" s="5">
        <v>2</v>
      </c>
      <c r="U62" s="5">
        <v>1</v>
      </c>
      <c r="V62" s="5">
        <v>5</v>
      </c>
    </row>
    <row r="63" spans="1:22" x14ac:dyDescent="0.35">
      <c r="A63">
        <v>62</v>
      </c>
      <c r="B63">
        <v>23</v>
      </c>
      <c r="C63" t="s">
        <v>73</v>
      </c>
      <c r="D63" t="s">
        <v>6</v>
      </c>
      <c r="E63" t="s">
        <v>8</v>
      </c>
      <c r="F63" t="s">
        <v>13</v>
      </c>
      <c r="G63">
        <v>0</v>
      </c>
      <c r="H63">
        <v>16</v>
      </c>
      <c r="I63" t="s">
        <v>16</v>
      </c>
      <c r="J63" s="1">
        <v>840</v>
      </c>
      <c r="K63" s="1">
        <v>210</v>
      </c>
      <c r="L63">
        <v>4</v>
      </c>
      <c r="M63">
        <v>2</v>
      </c>
      <c r="N63">
        <v>0</v>
      </c>
      <c r="O63">
        <v>1</v>
      </c>
      <c r="P63">
        <v>1</v>
      </c>
      <c r="Q63">
        <v>0</v>
      </c>
      <c r="R63">
        <v>35</v>
      </c>
      <c r="S63" s="5">
        <v>2</v>
      </c>
      <c r="T63" s="5">
        <v>2</v>
      </c>
      <c r="U63" s="5">
        <v>2</v>
      </c>
      <c r="V63" s="5">
        <v>6</v>
      </c>
    </row>
    <row r="64" spans="1:22" x14ac:dyDescent="0.35">
      <c r="A64">
        <v>63</v>
      </c>
      <c r="B64">
        <v>56</v>
      </c>
      <c r="C64" t="s">
        <v>74</v>
      </c>
      <c r="D64" t="s">
        <v>5</v>
      </c>
      <c r="E64" t="s">
        <v>8</v>
      </c>
      <c r="F64" t="s">
        <v>11</v>
      </c>
      <c r="G64">
        <v>0</v>
      </c>
      <c r="H64">
        <v>7</v>
      </c>
      <c r="I64" t="s">
        <v>16</v>
      </c>
      <c r="J64" s="1">
        <v>2205.11</v>
      </c>
      <c r="K64" s="1">
        <v>245.01222222222225</v>
      </c>
      <c r="L64">
        <v>9</v>
      </c>
      <c r="M64">
        <v>0</v>
      </c>
      <c r="N64">
        <v>0</v>
      </c>
      <c r="O64">
        <v>0</v>
      </c>
      <c r="P64">
        <v>0</v>
      </c>
      <c r="Q64">
        <v>0</v>
      </c>
      <c r="R64">
        <v>18</v>
      </c>
      <c r="S64" s="5">
        <v>3</v>
      </c>
      <c r="T64" s="5">
        <v>3</v>
      </c>
      <c r="U64" s="5">
        <v>3</v>
      </c>
      <c r="V64" s="5">
        <v>9</v>
      </c>
    </row>
    <row r="65" spans="1:22" x14ac:dyDescent="0.35">
      <c r="A65">
        <v>64</v>
      </c>
      <c r="B65">
        <v>58</v>
      </c>
      <c r="C65" t="s">
        <v>74</v>
      </c>
      <c r="D65" t="s">
        <v>6</v>
      </c>
      <c r="E65" t="s">
        <v>7</v>
      </c>
      <c r="F65" t="s">
        <v>13</v>
      </c>
      <c r="G65">
        <v>0</v>
      </c>
      <c r="H65">
        <v>11</v>
      </c>
      <c r="I65" t="s">
        <v>18</v>
      </c>
      <c r="J65" s="1">
        <v>965.21</v>
      </c>
      <c r="K65" s="1">
        <v>321.73666666666668</v>
      </c>
      <c r="L65">
        <v>3</v>
      </c>
      <c r="M65">
        <v>0</v>
      </c>
      <c r="N65">
        <v>0</v>
      </c>
      <c r="O65">
        <v>0</v>
      </c>
      <c r="P65">
        <v>0</v>
      </c>
      <c r="Q65">
        <v>0</v>
      </c>
      <c r="R65">
        <v>13</v>
      </c>
      <c r="S65" s="5">
        <v>3</v>
      </c>
      <c r="T65" s="5">
        <v>2</v>
      </c>
      <c r="U65" s="5">
        <v>2</v>
      </c>
      <c r="V65" s="5">
        <v>7</v>
      </c>
    </row>
    <row r="66" spans="1:22" x14ac:dyDescent="0.35">
      <c r="A66">
        <v>65</v>
      </c>
      <c r="B66">
        <v>35</v>
      </c>
      <c r="C66" t="s">
        <v>75</v>
      </c>
      <c r="D66" t="s">
        <v>6</v>
      </c>
      <c r="E66" t="s">
        <v>10</v>
      </c>
      <c r="F66" t="s">
        <v>11</v>
      </c>
      <c r="G66">
        <v>0</v>
      </c>
      <c r="H66">
        <v>27</v>
      </c>
      <c r="I66" t="s">
        <v>16</v>
      </c>
      <c r="J66" s="1">
        <v>1359.8899999999999</v>
      </c>
      <c r="K66" s="1">
        <v>271.97799999999995</v>
      </c>
      <c r="L66">
        <v>5</v>
      </c>
      <c r="M66">
        <v>0</v>
      </c>
      <c r="N66">
        <v>0</v>
      </c>
      <c r="O66">
        <v>0</v>
      </c>
      <c r="P66">
        <v>0</v>
      </c>
      <c r="Q66">
        <v>0</v>
      </c>
      <c r="R66">
        <v>44</v>
      </c>
      <c r="S66" s="5">
        <v>2</v>
      </c>
      <c r="T66" s="5">
        <v>2</v>
      </c>
      <c r="U66" s="5">
        <v>2</v>
      </c>
      <c r="V66" s="5">
        <v>6</v>
      </c>
    </row>
    <row r="67" spans="1:22" x14ac:dyDescent="0.35">
      <c r="A67">
        <v>66</v>
      </c>
      <c r="B67">
        <v>33</v>
      </c>
      <c r="C67" t="s">
        <v>75</v>
      </c>
      <c r="D67" t="s">
        <v>5</v>
      </c>
      <c r="E67" t="s">
        <v>9</v>
      </c>
      <c r="F67" t="s">
        <v>12</v>
      </c>
      <c r="G67">
        <v>0</v>
      </c>
      <c r="H67">
        <v>40</v>
      </c>
      <c r="I67" t="s">
        <v>18</v>
      </c>
      <c r="J67" s="1">
        <v>1409.11</v>
      </c>
      <c r="K67" s="1">
        <v>176.13874999999999</v>
      </c>
      <c r="L67">
        <v>8</v>
      </c>
      <c r="M67">
        <v>0</v>
      </c>
      <c r="N67">
        <v>0</v>
      </c>
      <c r="O67">
        <v>0</v>
      </c>
      <c r="P67">
        <v>0</v>
      </c>
      <c r="Q67">
        <v>0</v>
      </c>
      <c r="R67">
        <v>10</v>
      </c>
      <c r="S67" s="5">
        <v>3</v>
      </c>
      <c r="T67" s="5">
        <v>3</v>
      </c>
      <c r="U67" s="5">
        <v>2</v>
      </c>
      <c r="V67" s="5">
        <v>8</v>
      </c>
    </row>
    <row r="68" spans="1:22" x14ac:dyDescent="0.35">
      <c r="A68">
        <v>67</v>
      </c>
      <c r="B68">
        <v>22</v>
      </c>
      <c r="C68" t="s">
        <v>73</v>
      </c>
      <c r="D68" t="s">
        <v>6</v>
      </c>
      <c r="E68" t="s">
        <v>7</v>
      </c>
      <c r="F68" t="s">
        <v>12</v>
      </c>
      <c r="G68">
        <v>0</v>
      </c>
      <c r="H68">
        <v>17</v>
      </c>
      <c r="I68" t="s">
        <v>18</v>
      </c>
      <c r="J68" s="1">
        <v>701.76</v>
      </c>
      <c r="K68" s="1">
        <v>175.44</v>
      </c>
      <c r="L68">
        <v>4</v>
      </c>
      <c r="M68">
        <v>2</v>
      </c>
      <c r="N68">
        <v>0</v>
      </c>
      <c r="O68">
        <v>0</v>
      </c>
      <c r="P68">
        <v>1</v>
      </c>
      <c r="Q68">
        <v>0</v>
      </c>
      <c r="R68">
        <v>52</v>
      </c>
      <c r="S68" s="5">
        <v>2</v>
      </c>
      <c r="T68" s="5">
        <v>2</v>
      </c>
      <c r="U68" s="5">
        <v>1</v>
      </c>
      <c r="V68" s="5">
        <v>5</v>
      </c>
    </row>
    <row r="69" spans="1:22" x14ac:dyDescent="0.35">
      <c r="A69">
        <v>68</v>
      </c>
      <c r="B69">
        <v>59</v>
      </c>
      <c r="C69" t="s">
        <v>74</v>
      </c>
      <c r="D69" t="s">
        <v>6</v>
      </c>
      <c r="E69" t="s">
        <v>10</v>
      </c>
      <c r="F69" t="s">
        <v>13</v>
      </c>
      <c r="G69">
        <v>1</v>
      </c>
      <c r="H69">
        <v>5</v>
      </c>
      <c r="I69" t="s">
        <v>17</v>
      </c>
      <c r="J69" s="1">
        <v>886.4799999999999</v>
      </c>
      <c r="K69" s="1">
        <v>221.61999999999998</v>
      </c>
      <c r="L69">
        <v>4</v>
      </c>
      <c r="M69">
        <v>2</v>
      </c>
      <c r="N69">
        <v>1</v>
      </c>
      <c r="O69">
        <v>1</v>
      </c>
      <c r="P69">
        <v>1</v>
      </c>
      <c r="Q69">
        <v>0</v>
      </c>
      <c r="R69">
        <v>55</v>
      </c>
      <c r="S69" s="5">
        <v>2</v>
      </c>
      <c r="T69" s="5">
        <v>2</v>
      </c>
      <c r="U69" s="5">
        <v>2</v>
      </c>
      <c r="V69" s="5">
        <v>6</v>
      </c>
    </row>
    <row r="70" spans="1:22" x14ac:dyDescent="0.35">
      <c r="A70">
        <v>69</v>
      </c>
      <c r="B70">
        <v>60</v>
      </c>
      <c r="C70" t="s">
        <v>74</v>
      </c>
      <c r="D70" t="s">
        <v>6</v>
      </c>
      <c r="E70" t="s">
        <v>7</v>
      </c>
      <c r="F70" t="s">
        <v>11</v>
      </c>
      <c r="G70">
        <v>0</v>
      </c>
      <c r="H70">
        <v>29</v>
      </c>
      <c r="I70" t="s">
        <v>16</v>
      </c>
      <c r="J70" s="1">
        <v>1038.5300000000002</v>
      </c>
      <c r="K70" s="1">
        <v>259.63250000000005</v>
      </c>
      <c r="L70">
        <v>4</v>
      </c>
      <c r="M70">
        <v>1</v>
      </c>
      <c r="N70">
        <v>0</v>
      </c>
      <c r="O70">
        <v>0</v>
      </c>
      <c r="P70">
        <v>0</v>
      </c>
      <c r="Q70">
        <v>1</v>
      </c>
      <c r="R70">
        <v>27</v>
      </c>
      <c r="S70" s="5">
        <v>3</v>
      </c>
      <c r="T70" s="5">
        <v>2</v>
      </c>
      <c r="U70" s="5">
        <v>2</v>
      </c>
      <c r="V70" s="5">
        <v>7</v>
      </c>
    </row>
    <row r="71" spans="1:22" x14ac:dyDescent="0.35">
      <c r="A71">
        <v>70</v>
      </c>
      <c r="B71">
        <v>49</v>
      </c>
      <c r="C71" t="s">
        <v>74</v>
      </c>
      <c r="D71" t="s">
        <v>6</v>
      </c>
      <c r="E71" t="s">
        <v>8</v>
      </c>
      <c r="F71" t="s">
        <v>12</v>
      </c>
      <c r="G71">
        <v>0</v>
      </c>
      <c r="H71">
        <v>10</v>
      </c>
      <c r="I71" t="s">
        <v>16</v>
      </c>
      <c r="J71" s="1">
        <v>2453.98</v>
      </c>
      <c r="K71" s="1">
        <v>350.56857142857143</v>
      </c>
      <c r="L71">
        <v>7</v>
      </c>
      <c r="M71">
        <v>0</v>
      </c>
      <c r="N71">
        <v>0</v>
      </c>
      <c r="O71">
        <v>0</v>
      </c>
      <c r="P71">
        <v>0</v>
      </c>
      <c r="Q71">
        <v>0</v>
      </c>
      <c r="R71">
        <v>18</v>
      </c>
      <c r="S71" s="5">
        <v>3</v>
      </c>
      <c r="T71" s="5">
        <v>2</v>
      </c>
      <c r="U71" s="5">
        <v>3</v>
      </c>
      <c r="V71" s="5">
        <v>8</v>
      </c>
    </row>
    <row r="72" spans="1:22" x14ac:dyDescent="0.35">
      <c r="A72">
        <v>71</v>
      </c>
      <c r="B72">
        <v>19</v>
      </c>
      <c r="C72" t="s">
        <v>73</v>
      </c>
      <c r="D72" t="s">
        <v>6</v>
      </c>
      <c r="E72" t="s">
        <v>10</v>
      </c>
      <c r="F72" t="s">
        <v>11</v>
      </c>
      <c r="G72">
        <v>1</v>
      </c>
      <c r="H72">
        <v>47</v>
      </c>
      <c r="I72" t="s">
        <v>18</v>
      </c>
      <c r="J72" s="1">
        <v>474.59000000000003</v>
      </c>
      <c r="K72" s="1">
        <v>158.19666666666669</v>
      </c>
      <c r="L72">
        <v>3</v>
      </c>
      <c r="M72">
        <v>2</v>
      </c>
      <c r="N72">
        <v>1</v>
      </c>
      <c r="O72">
        <v>0</v>
      </c>
      <c r="P72">
        <v>1</v>
      </c>
      <c r="Q72">
        <v>1</v>
      </c>
      <c r="R72">
        <v>58</v>
      </c>
      <c r="S72" s="5">
        <v>2</v>
      </c>
      <c r="T72" s="5">
        <v>2</v>
      </c>
      <c r="U72" s="5">
        <v>1</v>
      </c>
      <c r="V72" s="5">
        <v>5</v>
      </c>
    </row>
    <row r="73" spans="1:22" x14ac:dyDescent="0.35">
      <c r="A73">
        <v>72</v>
      </c>
      <c r="B73">
        <v>19</v>
      </c>
      <c r="C73" t="s">
        <v>73</v>
      </c>
      <c r="D73" t="s">
        <v>6</v>
      </c>
      <c r="E73" t="s">
        <v>10</v>
      </c>
      <c r="F73" t="s">
        <v>13</v>
      </c>
      <c r="G73">
        <v>1</v>
      </c>
      <c r="H73">
        <v>25</v>
      </c>
      <c r="I73" t="s">
        <v>18</v>
      </c>
      <c r="J73" s="1">
        <v>1080.4000000000001</v>
      </c>
      <c r="K73" s="1">
        <v>180.06666666666669</v>
      </c>
      <c r="L73">
        <v>6</v>
      </c>
      <c r="M73">
        <v>2</v>
      </c>
      <c r="N73">
        <v>1</v>
      </c>
      <c r="O73">
        <v>1</v>
      </c>
      <c r="P73">
        <v>0</v>
      </c>
      <c r="Q73">
        <v>0</v>
      </c>
      <c r="R73">
        <v>39</v>
      </c>
      <c r="S73" s="5">
        <v>2</v>
      </c>
      <c r="T73" s="5">
        <v>2</v>
      </c>
      <c r="U73" s="5">
        <v>2</v>
      </c>
      <c r="V73" s="5">
        <v>6</v>
      </c>
    </row>
    <row r="74" spans="1:22" x14ac:dyDescent="0.35">
      <c r="A74">
        <v>73</v>
      </c>
      <c r="B74">
        <v>57</v>
      </c>
      <c r="C74" t="s">
        <v>74</v>
      </c>
      <c r="D74" t="s">
        <v>5</v>
      </c>
      <c r="E74" t="s">
        <v>7</v>
      </c>
      <c r="F74" t="s">
        <v>11</v>
      </c>
      <c r="G74">
        <v>1</v>
      </c>
      <c r="H74">
        <v>24</v>
      </c>
      <c r="I74" t="s">
        <v>18</v>
      </c>
      <c r="J74" s="1">
        <v>2254.2200000000003</v>
      </c>
      <c r="K74" s="1">
        <v>250.46888888888893</v>
      </c>
      <c r="L74">
        <v>9</v>
      </c>
      <c r="M74">
        <v>1</v>
      </c>
      <c r="N74">
        <v>0</v>
      </c>
      <c r="O74">
        <v>0</v>
      </c>
      <c r="P74">
        <v>1</v>
      </c>
      <c r="Q74">
        <v>0</v>
      </c>
      <c r="R74">
        <v>45</v>
      </c>
      <c r="S74" s="5">
        <v>2</v>
      </c>
      <c r="T74" s="5">
        <v>3</v>
      </c>
      <c r="U74" s="5">
        <v>3</v>
      </c>
      <c r="V74" s="5">
        <v>8</v>
      </c>
    </row>
    <row r="75" spans="1:22" x14ac:dyDescent="0.35">
      <c r="A75">
        <v>74</v>
      </c>
      <c r="B75">
        <v>59</v>
      </c>
      <c r="C75" t="s">
        <v>74</v>
      </c>
      <c r="D75" t="s">
        <v>5</v>
      </c>
      <c r="E75" t="s">
        <v>9</v>
      </c>
      <c r="F75" t="s">
        <v>11</v>
      </c>
      <c r="G75">
        <v>0</v>
      </c>
      <c r="H75">
        <v>44</v>
      </c>
      <c r="I75" t="s">
        <v>16</v>
      </c>
      <c r="J75" s="1">
        <v>2083.79</v>
      </c>
      <c r="K75" s="1">
        <v>260.47375</v>
      </c>
      <c r="L75">
        <v>8</v>
      </c>
      <c r="M75">
        <v>1</v>
      </c>
      <c r="N75">
        <v>0</v>
      </c>
      <c r="O75">
        <v>1</v>
      </c>
      <c r="P75">
        <v>0</v>
      </c>
      <c r="Q75">
        <v>0</v>
      </c>
      <c r="R75">
        <v>126</v>
      </c>
      <c r="S75" s="5">
        <v>1</v>
      </c>
      <c r="T75" s="5">
        <v>3</v>
      </c>
      <c r="U75" s="5">
        <v>3</v>
      </c>
      <c r="V75" s="5">
        <v>7</v>
      </c>
    </row>
    <row r="76" spans="1:22" x14ac:dyDescent="0.35">
      <c r="A76">
        <v>75</v>
      </c>
      <c r="B76">
        <v>53</v>
      </c>
      <c r="C76" t="s">
        <v>74</v>
      </c>
      <c r="D76" t="s">
        <v>6</v>
      </c>
      <c r="E76" t="s">
        <v>7</v>
      </c>
      <c r="F76" t="s">
        <v>13</v>
      </c>
      <c r="G76">
        <v>1</v>
      </c>
      <c r="H76">
        <v>12</v>
      </c>
      <c r="I76" t="s">
        <v>16</v>
      </c>
      <c r="J76" s="1">
        <v>769.97</v>
      </c>
      <c r="K76" s="1">
        <v>192.49250000000001</v>
      </c>
      <c r="L76">
        <v>4</v>
      </c>
      <c r="M76">
        <v>1</v>
      </c>
      <c r="N76">
        <v>0</v>
      </c>
      <c r="O76">
        <v>0</v>
      </c>
      <c r="P76">
        <v>1</v>
      </c>
      <c r="Q76">
        <v>0</v>
      </c>
      <c r="R76">
        <v>0</v>
      </c>
      <c r="S76" s="5">
        <v>3</v>
      </c>
      <c r="T76" s="5">
        <v>2</v>
      </c>
      <c r="U76" s="5">
        <v>1</v>
      </c>
      <c r="V76" s="5">
        <v>6</v>
      </c>
    </row>
    <row r="77" spans="1:22" x14ac:dyDescent="0.35">
      <c r="A77">
        <v>76</v>
      </c>
      <c r="B77">
        <v>56</v>
      </c>
      <c r="C77" t="s">
        <v>74</v>
      </c>
      <c r="D77" t="s">
        <v>6</v>
      </c>
      <c r="E77" t="s">
        <v>9</v>
      </c>
      <c r="F77" t="s">
        <v>12</v>
      </c>
      <c r="G77">
        <v>1</v>
      </c>
      <c r="H77">
        <v>5</v>
      </c>
      <c r="I77" t="s">
        <v>17</v>
      </c>
      <c r="J77" s="1">
        <v>883.92</v>
      </c>
      <c r="K77" s="1">
        <v>220.98</v>
      </c>
      <c r="L77">
        <v>4</v>
      </c>
      <c r="M77">
        <v>2</v>
      </c>
      <c r="N77">
        <v>1</v>
      </c>
      <c r="O77">
        <v>1</v>
      </c>
      <c r="P77">
        <v>1</v>
      </c>
      <c r="Q77">
        <v>0</v>
      </c>
      <c r="R77">
        <v>24</v>
      </c>
      <c r="S77" s="5">
        <v>3</v>
      </c>
      <c r="T77" s="5">
        <v>2</v>
      </c>
      <c r="U77" s="5">
        <v>2</v>
      </c>
      <c r="V77" s="5">
        <v>7</v>
      </c>
    </row>
    <row r="78" spans="1:22" x14ac:dyDescent="0.35">
      <c r="A78">
        <v>77</v>
      </c>
      <c r="B78">
        <v>29</v>
      </c>
      <c r="C78" t="s">
        <v>73</v>
      </c>
      <c r="D78" t="s">
        <v>5</v>
      </c>
      <c r="E78" t="s">
        <v>10</v>
      </c>
      <c r="F78" t="s">
        <v>13</v>
      </c>
      <c r="G78">
        <v>0</v>
      </c>
      <c r="H78">
        <v>29</v>
      </c>
      <c r="I78" t="s">
        <v>18</v>
      </c>
      <c r="J78" s="1">
        <v>1797.06</v>
      </c>
      <c r="K78" s="1">
        <v>224.63249999999999</v>
      </c>
      <c r="L78">
        <v>8</v>
      </c>
      <c r="M78">
        <v>0</v>
      </c>
      <c r="N78">
        <v>0</v>
      </c>
      <c r="O78">
        <v>0</v>
      </c>
      <c r="P78">
        <v>0</v>
      </c>
      <c r="Q78">
        <v>0</v>
      </c>
      <c r="R78">
        <v>27</v>
      </c>
      <c r="S78" s="5">
        <v>3</v>
      </c>
      <c r="T78" s="5">
        <v>3</v>
      </c>
      <c r="U78" s="5">
        <v>3</v>
      </c>
      <c r="V78" s="5">
        <v>9</v>
      </c>
    </row>
    <row r="79" spans="1:22" x14ac:dyDescent="0.35">
      <c r="A79">
        <v>78</v>
      </c>
      <c r="B79">
        <v>64</v>
      </c>
      <c r="C79" t="s">
        <v>72</v>
      </c>
      <c r="D79" t="s">
        <v>5</v>
      </c>
      <c r="E79" t="s">
        <v>9</v>
      </c>
      <c r="F79" t="s">
        <v>11</v>
      </c>
      <c r="G79">
        <v>0</v>
      </c>
      <c r="H79">
        <v>35</v>
      </c>
      <c r="I79" t="s">
        <v>16</v>
      </c>
      <c r="J79" s="1">
        <v>816.89</v>
      </c>
      <c r="K79" s="1">
        <v>272.29666666666668</v>
      </c>
      <c r="L79">
        <v>3</v>
      </c>
      <c r="M79">
        <v>1</v>
      </c>
      <c r="N79">
        <v>1</v>
      </c>
      <c r="O79">
        <v>0</v>
      </c>
      <c r="P79">
        <v>1</v>
      </c>
      <c r="Q79">
        <v>0</v>
      </c>
      <c r="R79">
        <v>259</v>
      </c>
      <c r="S79" s="5">
        <v>1</v>
      </c>
      <c r="T79" s="5">
        <v>2</v>
      </c>
      <c r="U79" s="5">
        <v>1</v>
      </c>
      <c r="V79" s="5">
        <v>4</v>
      </c>
    </row>
    <row r="80" spans="1:22" x14ac:dyDescent="0.35">
      <c r="A80">
        <v>79</v>
      </c>
      <c r="B80">
        <v>36</v>
      </c>
      <c r="C80" t="s">
        <v>75</v>
      </c>
      <c r="D80" t="s">
        <v>5</v>
      </c>
      <c r="E80" t="s">
        <v>8</v>
      </c>
      <c r="F80" t="s">
        <v>13</v>
      </c>
      <c r="G80">
        <v>1</v>
      </c>
      <c r="H80">
        <v>23</v>
      </c>
      <c r="I80" t="s">
        <v>18</v>
      </c>
      <c r="J80" s="1">
        <v>931.31999999999994</v>
      </c>
      <c r="K80" s="1">
        <v>310.44</v>
      </c>
      <c r="L80">
        <v>3</v>
      </c>
      <c r="M80">
        <v>1</v>
      </c>
      <c r="N80">
        <v>0</v>
      </c>
      <c r="O80">
        <v>1</v>
      </c>
      <c r="P80">
        <v>0</v>
      </c>
      <c r="Q80">
        <v>0</v>
      </c>
      <c r="R80">
        <v>17</v>
      </c>
      <c r="S80" s="5">
        <v>3</v>
      </c>
      <c r="T80" s="5">
        <v>2</v>
      </c>
      <c r="U80" s="5">
        <v>2</v>
      </c>
      <c r="V80" s="5">
        <v>7</v>
      </c>
    </row>
    <row r="81" spans="1:22" x14ac:dyDescent="0.35">
      <c r="A81">
        <v>80</v>
      </c>
      <c r="B81">
        <v>45</v>
      </c>
      <c r="C81" t="s">
        <v>75</v>
      </c>
      <c r="D81" t="s">
        <v>5</v>
      </c>
      <c r="E81" t="s">
        <v>9</v>
      </c>
      <c r="F81" t="s">
        <v>13</v>
      </c>
      <c r="G81">
        <v>0</v>
      </c>
      <c r="H81">
        <v>32</v>
      </c>
      <c r="I81" t="s">
        <v>16</v>
      </c>
      <c r="J81" s="1">
        <v>110.82</v>
      </c>
      <c r="K81" s="1">
        <v>110.82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270</v>
      </c>
      <c r="S81" s="5">
        <v>1</v>
      </c>
      <c r="T81" s="5">
        <v>1</v>
      </c>
      <c r="U81" s="5">
        <v>1</v>
      </c>
      <c r="V81" s="5">
        <v>3</v>
      </c>
    </row>
    <row r="82" spans="1:22" x14ac:dyDescent="0.35">
      <c r="A82">
        <v>81</v>
      </c>
      <c r="B82">
        <v>18</v>
      </c>
      <c r="C82" t="s">
        <v>73</v>
      </c>
      <c r="D82" t="s">
        <v>6</v>
      </c>
      <c r="E82" t="s">
        <v>9</v>
      </c>
      <c r="F82" t="s">
        <v>11</v>
      </c>
      <c r="G82">
        <v>1</v>
      </c>
      <c r="H82">
        <v>40</v>
      </c>
      <c r="I82" t="s">
        <v>17</v>
      </c>
      <c r="J82" s="1">
        <v>2181.77</v>
      </c>
      <c r="K82" s="1">
        <v>272.72125</v>
      </c>
      <c r="L82">
        <v>8</v>
      </c>
      <c r="M82">
        <v>0</v>
      </c>
      <c r="N82">
        <v>0</v>
      </c>
      <c r="O82">
        <v>0</v>
      </c>
      <c r="P82">
        <v>0</v>
      </c>
      <c r="Q82">
        <v>0</v>
      </c>
      <c r="R82">
        <v>122</v>
      </c>
      <c r="S82" s="5">
        <v>1</v>
      </c>
      <c r="T82" s="5">
        <v>3</v>
      </c>
      <c r="U82" s="5">
        <v>3</v>
      </c>
      <c r="V82" s="5">
        <v>7</v>
      </c>
    </row>
    <row r="83" spans="1:22" x14ac:dyDescent="0.35">
      <c r="A83">
        <v>82</v>
      </c>
      <c r="B83">
        <v>32</v>
      </c>
      <c r="C83" t="s">
        <v>75</v>
      </c>
      <c r="D83" t="s">
        <v>6</v>
      </c>
      <c r="E83" t="s">
        <v>10</v>
      </c>
      <c r="F83" t="s">
        <v>13</v>
      </c>
      <c r="G83">
        <v>0</v>
      </c>
      <c r="H83">
        <v>19</v>
      </c>
      <c r="I83" t="s">
        <v>16</v>
      </c>
      <c r="J83" s="1">
        <v>232.38</v>
      </c>
      <c r="K83" s="1">
        <v>232.38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333</v>
      </c>
      <c r="S83" s="5">
        <v>1</v>
      </c>
      <c r="T83" s="5">
        <v>1</v>
      </c>
      <c r="U83" s="5">
        <v>1</v>
      </c>
      <c r="V83" s="5">
        <v>3</v>
      </c>
    </row>
    <row r="84" spans="1:22" x14ac:dyDescent="0.35">
      <c r="A84">
        <v>83</v>
      </c>
      <c r="B84">
        <v>53</v>
      </c>
      <c r="C84" t="s">
        <v>74</v>
      </c>
      <c r="D84" t="s">
        <v>5</v>
      </c>
      <c r="E84" t="s">
        <v>9</v>
      </c>
      <c r="F84" t="s">
        <v>12</v>
      </c>
      <c r="G84">
        <v>0</v>
      </c>
      <c r="H84">
        <v>25</v>
      </c>
      <c r="I84" t="s">
        <v>16</v>
      </c>
      <c r="J84" s="1">
        <v>1419.92</v>
      </c>
      <c r="K84" s="1">
        <v>236.65333333333334</v>
      </c>
      <c r="L84">
        <v>6</v>
      </c>
      <c r="M84">
        <v>2</v>
      </c>
      <c r="N84">
        <v>1</v>
      </c>
      <c r="O84">
        <v>0</v>
      </c>
      <c r="P84">
        <v>0</v>
      </c>
      <c r="Q84">
        <v>1</v>
      </c>
      <c r="R84">
        <v>77</v>
      </c>
      <c r="S84" s="5">
        <v>2</v>
      </c>
      <c r="T84" s="5">
        <v>2</v>
      </c>
      <c r="U84" s="5">
        <v>2</v>
      </c>
      <c r="V84" s="5">
        <v>6</v>
      </c>
    </row>
    <row r="85" spans="1:22" x14ac:dyDescent="0.35">
      <c r="A85">
        <v>84</v>
      </c>
      <c r="B85">
        <v>30</v>
      </c>
      <c r="C85" t="s">
        <v>73</v>
      </c>
      <c r="D85" t="s">
        <v>5</v>
      </c>
      <c r="E85" t="s">
        <v>10</v>
      </c>
      <c r="F85" t="s">
        <v>12</v>
      </c>
      <c r="G85">
        <v>0</v>
      </c>
      <c r="H85">
        <v>45</v>
      </c>
      <c r="I85" t="s">
        <v>18</v>
      </c>
      <c r="J85" s="1">
        <v>1545.9099999999999</v>
      </c>
      <c r="K85" s="1">
        <v>309.18199999999996</v>
      </c>
      <c r="L85">
        <v>5</v>
      </c>
      <c r="M85">
        <v>0</v>
      </c>
      <c r="N85">
        <v>0</v>
      </c>
      <c r="O85">
        <v>0</v>
      </c>
      <c r="P85">
        <v>0</v>
      </c>
      <c r="Q85">
        <v>0</v>
      </c>
      <c r="R85">
        <v>16</v>
      </c>
      <c r="S85" s="5">
        <v>3</v>
      </c>
      <c r="T85" s="5">
        <v>2</v>
      </c>
      <c r="U85" s="5">
        <v>2</v>
      </c>
      <c r="V85" s="5">
        <v>7</v>
      </c>
    </row>
    <row r="86" spans="1:22" x14ac:dyDescent="0.35">
      <c r="A86">
        <v>85</v>
      </c>
      <c r="B86">
        <v>60</v>
      </c>
      <c r="C86" t="s">
        <v>74</v>
      </c>
      <c r="D86" t="s">
        <v>5</v>
      </c>
      <c r="E86" t="s">
        <v>8</v>
      </c>
      <c r="F86" t="s">
        <v>13</v>
      </c>
      <c r="G86">
        <v>0</v>
      </c>
      <c r="H86">
        <v>37</v>
      </c>
      <c r="I86" t="s">
        <v>16</v>
      </c>
      <c r="J86" s="1">
        <v>1690.08</v>
      </c>
      <c r="K86" s="1">
        <v>187.78666666666666</v>
      </c>
      <c r="L86">
        <v>9</v>
      </c>
      <c r="M86">
        <v>0</v>
      </c>
      <c r="N86">
        <v>0</v>
      </c>
      <c r="O86">
        <v>0</v>
      </c>
      <c r="P86">
        <v>0</v>
      </c>
      <c r="Q86">
        <v>0</v>
      </c>
      <c r="R86">
        <v>25</v>
      </c>
      <c r="S86" s="5">
        <v>3</v>
      </c>
      <c r="T86" s="5">
        <v>3</v>
      </c>
      <c r="U86" s="5">
        <v>3</v>
      </c>
      <c r="V86" s="5">
        <v>9</v>
      </c>
    </row>
    <row r="87" spans="1:22" x14ac:dyDescent="0.35">
      <c r="A87">
        <v>86</v>
      </c>
      <c r="B87">
        <v>38</v>
      </c>
      <c r="C87" t="s">
        <v>75</v>
      </c>
      <c r="D87" t="s">
        <v>5</v>
      </c>
      <c r="E87" t="s">
        <v>8</v>
      </c>
      <c r="F87" t="s">
        <v>11</v>
      </c>
      <c r="G87">
        <v>0</v>
      </c>
      <c r="H87">
        <v>1</v>
      </c>
      <c r="I87" t="s">
        <v>17</v>
      </c>
      <c r="J87" s="1">
        <v>1674.6599999999999</v>
      </c>
      <c r="K87" s="1">
        <v>239.23714285714283</v>
      </c>
      <c r="L87">
        <v>7</v>
      </c>
      <c r="M87">
        <v>0</v>
      </c>
      <c r="N87">
        <v>0</v>
      </c>
      <c r="O87">
        <v>0</v>
      </c>
      <c r="P87">
        <v>0</v>
      </c>
      <c r="Q87">
        <v>0</v>
      </c>
      <c r="R87">
        <v>29</v>
      </c>
      <c r="S87" s="5">
        <v>2</v>
      </c>
      <c r="T87" s="5">
        <v>2</v>
      </c>
      <c r="U87" s="5">
        <v>3</v>
      </c>
      <c r="V87" s="5">
        <v>7</v>
      </c>
    </row>
    <row r="88" spans="1:22" x14ac:dyDescent="0.35">
      <c r="A88">
        <v>87</v>
      </c>
      <c r="B88">
        <v>29</v>
      </c>
      <c r="C88" t="s">
        <v>73</v>
      </c>
      <c r="D88" t="s">
        <v>6</v>
      </c>
      <c r="E88" t="s">
        <v>7</v>
      </c>
      <c r="F88" t="s">
        <v>13</v>
      </c>
      <c r="G88">
        <v>0</v>
      </c>
      <c r="H88">
        <v>43</v>
      </c>
      <c r="I88" t="s">
        <v>17</v>
      </c>
      <c r="J88" s="1">
        <v>1411.8399999999997</v>
      </c>
      <c r="K88" s="1">
        <v>282.36799999999994</v>
      </c>
      <c r="L88">
        <v>5</v>
      </c>
      <c r="M88">
        <v>2</v>
      </c>
      <c r="N88">
        <v>1</v>
      </c>
      <c r="O88">
        <v>1</v>
      </c>
      <c r="P88">
        <v>1</v>
      </c>
      <c r="Q88">
        <v>0</v>
      </c>
      <c r="R88">
        <v>5</v>
      </c>
      <c r="S88" s="5">
        <v>3</v>
      </c>
      <c r="T88" s="5">
        <v>2</v>
      </c>
      <c r="U88" s="5">
        <v>2</v>
      </c>
      <c r="V88" s="5">
        <v>7</v>
      </c>
    </row>
    <row r="89" spans="1:22" x14ac:dyDescent="0.35">
      <c r="A89">
        <v>88</v>
      </c>
      <c r="B89">
        <v>22</v>
      </c>
      <c r="C89" t="s">
        <v>73</v>
      </c>
      <c r="D89" t="s">
        <v>5</v>
      </c>
      <c r="E89" t="s">
        <v>7</v>
      </c>
      <c r="F89" t="s">
        <v>13</v>
      </c>
      <c r="G89">
        <v>0</v>
      </c>
      <c r="H89">
        <v>13</v>
      </c>
      <c r="I89" t="s">
        <v>18</v>
      </c>
      <c r="J89" s="1">
        <v>447.34000000000003</v>
      </c>
      <c r="K89" s="1">
        <v>223.67000000000002</v>
      </c>
      <c r="L89">
        <v>2</v>
      </c>
      <c r="M89">
        <v>0</v>
      </c>
      <c r="N89">
        <v>0</v>
      </c>
      <c r="O89">
        <v>0</v>
      </c>
      <c r="P89">
        <v>0</v>
      </c>
      <c r="Q89">
        <v>0</v>
      </c>
      <c r="R89">
        <v>140</v>
      </c>
      <c r="S89" s="5">
        <v>1</v>
      </c>
      <c r="T89" s="5">
        <v>1</v>
      </c>
      <c r="U89" s="5">
        <v>1</v>
      </c>
      <c r="V89" s="5">
        <v>3</v>
      </c>
    </row>
    <row r="90" spans="1:22" x14ac:dyDescent="0.35">
      <c r="A90">
        <v>89</v>
      </c>
      <c r="B90">
        <v>24</v>
      </c>
      <c r="C90" t="s">
        <v>73</v>
      </c>
      <c r="D90" t="s">
        <v>5</v>
      </c>
      <c r="E90" t="s">
        <v>7</v>
      </c>
      <c r="F90" t="s">
        <v>12</v>
      </c>
      <c r="G90">
        <v>0</v>
      </c>
      <c r="H90">
        <v>12</v>
      </c>
      <c r="I90" t="s">
        <v>16</v>
      </c>
      <c r="J90" s="1">
        <v>1951.9899999999998</v>
      </c>
      <c r="K90" s="1">
        <v>278.85571428571427</v>
      </c>
      <c r="L90">
        <v>7</v>
      </c>
      <c r="M90">
        <v>0</v>
      </c>
      <c r="N90">
        <v>0</v>
      </c>
      <c r="O90">
        <v>0</v>
      </c>
      <c r="P90">
        <v>0</v>
      </c>
      <c r="Q90">
        <v>0</v>
      </c>
      <c r="R90">
        <v>80</v>
      </c>
      <c r="S90" s="5">
        <v>2</v>
      </c>
      <c r="T90" s="5">
        <v>2</v>
      </c>
      <c r="U90" s="5">
        <v>3</v>
      </c>
      <c r="V90" s="5">
        <v>7</v>
      </c>
    </row>
    <row r="91" spans="1:22" x14ac:dyDescent="0.35">
      <c r="A91">
        <v>90</v>
      </c>
      <c r="B91">
        <v>22</v>
      </c>
      <c r="C91" t="s">
        <v>73</v>
      </c>
      <c r="D91" t="s">
        <v>5</v>
      </c>
      <c r="E91" t="s">
        <v>8</v>
      </c>
      <c r="F91" t="s">
        <v>12</v>
      </c>
      <c r="G91">
        <v>0</v>
      </c>
      <c r="H91">
        <v>47</v>
      </c>
      <c r="I91" t="s">
        <v>18</v>
      </c>
      <c r="J91" s="1">
        <v>1229.96</v>
      </c>
      <c r="K91" s="1">
        <v>204.99333333333334</v>
      </c>
      <c r="L91">
        <v>6</v>
      </c>
      <c r="M91">
        <v>1</v>
      </c>
      <c r="N91">
        <v>0</v>
      </c>
      <c r="O91">
        <v>0</v>
      </c>
      <c r="P91">
        <v>1</v>
      </c>
      <c r="Q91">
        <v>0</v>
      </c>
      <c r="R91">
        <v>1</v>
      </c>
      <c r="S91" s="5">
        <v>3</v>
      </c>
      <c r="T91" s="5">
        <v>2</v>
      </c>
      <c r="U91" s="5">
        <v>2</v>
      </c>
      <c r="V91" s="5">
        <v>7</v>
      </c>
    </row>
    <row r="92" spans="1:22" x14ac:dyDescent="0.35">
      <c r="A92">
        <v>91</v>
      </c>
      <c r="B92">
        <v>65</v>
      </c>
      <c r="C92" t="s">
        <v>72</v>
      </c>
      <c r="D92" t="s">
        <v>6</v>
      </c>
      <c r="E92" t="s">
        <v>9</v>
      </c>
      <c r="F92" t="s">
        <v>11</v>
      </c>
      <c r="G92">
        <v>0</v>
      </c>
      <c r="H92">
        <v>43</v>
      </c>
      <c r="I92" t="s">
        <v>16</v>
      </c>
      <c r="J92" s="1">
        <v>1804.7400000000002</v>
      </c>
      <c r="K92" s="1">
        <v>200.5266666666667</v>
      </c>
      <c r="L92">
        <v>9</v>
      </c>
      <c r="M92">
        <v>2</v>
      </c>
      <c r="N92">
        <v>1</v>
      </c>
      <c r="O92">
        <v>0</v>
      </c>
      <c r="P92">
        <v>1</v>
      </c>
      <c r="Q92">
        <v>1</v>
      </c>
      <c r="R92">
        <v>64</v>
      </c>
      <c r="S92" s="5">
        <v>2</v>
      </c>
      <c r="T92" s="5">
        <v>3</v>
      </c>
      <c r="U92" s="5">
        <v>3</v>
      </c>
      <c r="V92" s="5">
        <v>8</v>
      </c>
    </row>
    <row r="93" spans="1:22" x14ac:dyDescent="0.35">
      <c r="A93">
        <v>92</v>
      </c>
      <c r="B93">
        <v>21</v>
      </c>
      <c r="C93" t="s">
        <v>73</v>
      </c>
      <c r="D93" t="s">
        <v>6</v>
      </c>
      <c r="E93" t="s">
        <v>10</v>
      </c>
      <c r="F93" t="s">
        <v>11</v>
      </c>
      <c r="G93">
        <v>0</v>
      </c>
      <c r="H93">
        <v>37</v>
      </c>
      <c r="I93" t="s">
        <v>16</v>
      </c>
      <c r="J93" s="1">
        <v>2265.2800000000002</v>
      </c>
      <c r="K93" s="1">
        <v>283.16000000000003</v>
      </c>
      <c r="L93">
        <v>8</v>
      </c>
      <c r="M93">
        <v>2</v>
      </c>
      <c r="N93">
        <v>1</v>
      </c>
      <c r="O93">
        <v>0</v>
      </c>
      <c r="P93">
        <v>1</v>
      </c>
      <c r="Q93">
        <v>1</v>
      </c>
      <c r="R93">
        <v>22</v>
      </c>
      <c r="S93" s="5">
        <v>3</v>
      </c>
      <c r="T93" s="5">
        <v>3</v>
      </c>
      <c r="U93" s="5">
        <v>3</v>
      </c>
      <c r="V93" s="5">
        <v>9</v>
      </c>
    </row>
    <row r="94" spans="1:22" x14ac:dyDescent="0.35">
      <c r="A94">
        <v>93</v>
      </c>
      <c r="B94">
        <v>30</v>
      </c>
      <c r="C94" t="s">
        <v>73</v>
      </c>
      <c r="D94" t="s">
        <v>6</v>
      </c>
      <c r="E94" t="s">
        <v>8</v>
      </c>
      <c r="F94" t="s">
        <v>11</v>
      </c>
      <c r="G94">
        <v>0</v>
      </c>
      <c r="H94">
        <v>42</v>
      </c>
      <c r="I94" t="s">
        <v>16</v>
      </c>
      <c r="J94" s="1">
        <v>848.07</v>
      </c>
      <c r="K94" s="1">
        <v>169.614</v>
      </c>
      <c r="L94">
        <v>5</v>
      </c>
      <c r="M94">
        <v>2</v>
      </c>
      <c r="N94">
        <v>0</v>
      </c>
      <c r="O94">
        <v>1</v>
      </c>
      <c r="P94">
        <v>0</v>
      </c>
      <c r="Q94">
        <v>0</v>
      </c>
      <c r="R94">
        <v>21</v>
      </c>
      <c r="S94" s="5">
        <v>3</v>
      </c>
      <c r="T94" s="5">
        <v>2</v>
      </c>
      <c r="U94" s="5">
        <v>2</v>
      </c>
      <c r="V94" s="5">
        <v>7</v>
      </c>
    </row>
    <row r="95" spans="1:22" x14ac:dyDescent="0.35">
      <c r="A95">
        <v>94</v>
      </c>
      <c r="B95">
        <v>54</v>
      </c>
      <c r="C95" t="s">
        <v>74</v>
      </c>
      <c r="D95" t="s">
        <v>5</v>
      </c>
      <c r="E95" t="s">
        <v>9</v>
      </c>
      <c r="F95" t="s">
        <v>13</v>
      </c>
      <c r="G95">
        <v>0</v>
      </c>
      <c r="H95">
        <v>41</v>
      </c>
      <c r="I95" t="s">
        <v>17</v>
      </c>
      <c r="J95" s="1">
        <v>1113.6100000000001</v>
      </c>
      <c r="K95" s="1">
        <v>371.20333333333338</v>
      </c>
      <c r="L95">
        <v>3</v>
      </c>
      <c r="M95">
        <v>0</v>
      </c>
      <c r="N95">
        <v>0</v>
      </c>
      <c r="O95">
        <v>0</v>
      </c>
      <c r="P95">
        <v>0</v>
      </c>
      <c r="Q95">
        <v>0</v>
      </c>
      <c r="R95">
        <v>2</v>
      </c>
      <c r="S95" s="5">
        <v>3</v>
      </c>
      <c r="T95" s="5">
        <v>2</v>
      </c>
      <c r="U95" s="5">
        <v>2</v>
      </c>
      <c r="V95" s="5">
        <v>7</v>
      </c>
    </row>
    <row r="96" spans="1:22" x14ac:dyDescent="0.35">
      <c r="A96">
        <v>95</v>
      </c>
      <c r="B96">
        <v>58</v>
      </c>
      <c r="C96" t="s">
        <v>74</v>
      </c>
      <c r="D96" t="s">
        <v>6</v>
      </c>
      <c r="E96" t="s">
        <v>7</v>
      </c>
      <c r="F96" t="s">
        <v>13</v>
      </c>
      <c r="G96">
        <v>0</v>
      </c>
      <c r="H96">
        <v>12</v>
      </c>
      <c r="I96" t="s">
        <v>18</v>
      </c>
      <c r="J96" s="1">
        <v>677.27</v>
      </c>
      <c r="K96" s="1">
        <v>225.75666666666666</v>
      </c>
      <c r="L96">
        <v>3</v>
      </c>
      <c r="M96">
        <v>1</v>
      </c>
      <c r="N96">
        <v>0</v>
      </c>
      <c r="O96">
        <v>1</v>
      </c>
      <c r="P96">
        <v>0</v>
      </c>
      <c r="Q96">
        <v>0</v>
      </c>
      <c r="R96">
        <v>54</v>
      </c>
      <c r="S96" s="5">
        <v>2</v>
      </c>
      <c r="T96" s="5">
        <v>2</v>
      </c>
      <c r="U96" s="5">
        <v>1</v>
      </c>
      <c r="V96" s="5">
        <v>5</v>
      </c>
    </row>
    <row r="97" spans="1:22" x14ac:dyDescent="0.35">
      <c r="A97">
        <v>96</v>
      </c>
      <c r="B97">
        <v>32</v>
      </c>
      <c r="C97" t="s">
        <v>75</v>
      </c>
      <c r="D97" t="s">
        <v>6</v>
      </c>
      <c r="E97" t="s">
        <v>10</v>
      </c>
      <c r="F97" t="s">
        <v>13</v>
      </c>
      <c r="G97">
        <v>0</v>
      </c>
      <c r="H97">
        <v>36</v>
      </c>
      <c r="I97" t="s">
        <v>16</v>
      </c>
      <c r="J97" s="1">
        <v>161.84</v>
      </c>
      <c r="K97" s="1">
        <v>161.84</v>
      </c>
      <c r="L97">
        <v>1</v>
      </c>
      <c r="M97">
        <v>2</v>
      </c>
      <c r="N97">
        <v>1</v>
      </c>
      <c r="O97">
        <v>1</v>
      </c>
      <c r="P97">
        <v>0</v>
      </c>
      <c r="Q97">
        <v>0</v>
      </c>
      <c r="R97">
        <v>129</v>
      </c>
      <c r="S97" s="5">
        <v>1</v>
      </c>
      <c r="T97" s="5">
        <v>1</v>
      </c>
      <c r="U97" s="5">
        <v>1</v>
      </c>
      <c r="V97" s="5">
        <v>3</v>
      </c>
    </row>
    <row r="98" spans="1:22" x14ac:dyDescent="0.35">
      <c r="A98">
        <v>97</v>
      </c>
      <c r="B98">
        <v>33</v>
      </c>
      <c r="C98" t="s">
        <v>75</v>
      </c>
      <c r="D98" t="s">
        <v>5</v>
      </c>
      <c r="E98" t="s">
        <v>7</v>
      </c>
      <c r="F98" t="s">
        <v>13</v>
      </c>
      <c r="G98">
        <v>0</v>
      </c>
      <c r="H98">
        <v>38</v>
      </c>
      <c r="I98" t="s">
        <v>17</v>
      </c>
      <c r="J98" s="1">
        <v>553.65</v>
      </c>
      <c r="K98" s="1">
        <v>276.82499999999999</v>
      </c>
      <c r="L98">
        <v>2</v>
      </c>
      <c r="M98">
        <v>2</v>
      </c>
      <c r="N98">
        <v>0</v>
      </c>
      <c r="O98">
        <v>1</v>
      </c>
      <c r="P98">
        <v>1</v>
      </c>
      <c r="Q98">
        <v>0</v>
      </c>
      <c r="R98">
        <v>111</v>
      </c>
      <c r="S98" s="5">
        <v>1</v>
      </c>
      <c r="T98" s="5">
        <v>1</v>
      </c>
      <c r="U98" s="5">
        <v>1</v>
      </c>
      <c r="V98" s="5">
        <v>3</v>
      </c>
    </row>
    <row r="99" spans="1:22" x14ac:dyDescent="0.35">
      <c r="A99">
        <v>98</v>
      </c>
      <c r="B99">
        <v>38</v>
      </c>
      <c r="C99" t="s">
        <v>75</v>
      </c>
      <c r="D99" t="s">
        <v>6</v>
      </c>
      <c r="E99" t="s">
        <v>10</v>
      </c>
      <c r="F99" t="s">
        <v>11</v>
      </c>
      <c r="G99">
        <v>0</v>
      </c>
      <c r="H99">
        <v>9</v>
      </c>
      <c r="I99" t="s">
        <v>16</v>
      </c>
      <c r="J99" s="1">
        <v>893.7600000000001</v>
      </c>
      <c r="K99" s="1">
        <v>178.75200000000001</v>
      </c>
      <c r="L99">
        <v>5</v>
      </c>
      <c r="M99">
        <v>1</v>
      </c>
      <c r="N99">
        <v>0</v>
      </c>
      <c r="O99">
        <v>0</v>
      </c>
      <c r="P99">
        <v>0</v>
      </c>
      <c r="Q99">
        <v>1</v>
      </c>
      <c r="R99">
        <v>50</v>
      </c>
      <c r="S99" s="5">
        <v>2</v>
      </c>
      <c r="T99" s="5">
        <v>2</v>
      </c>
      <c r="U99" s="5">
        <v>2</v>
      </c>
      <c r="V99" s="5">
        <v>6</v>
      </c>
    </row>
    <row r="100" spans="1:22" x14ac:dyDescent="0.35">
      <c r="A100">
        <v>99</v>
      </c>
      <c r="B100">
        <v>53</v>
      </c>
      <c r="C100" t="s">
        <v>74</v>
      </c>
      <c r="D100" t="s">
        <v>5</v>
      </c>
      <c r="E100" t="s">
        <v>9</v>
      </c>
      <c r="F100" t="s">
        <v>11</v>
      </c>
      <c r="G100">
        <v>0</v>
      </c>
      <c r="H100">
        <v>14</v>
      </c>
      <c r="I100" t="s">
        <v>18</v>
      </c>
      <c r="J100" s="1">
        <v>889.75</v>
      </c>
      <c r="K100" s="1">
        <v>177.95</v>
      </c>
      <c r="L100">
        <v>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52</v>
      </c>
      <c r="S100" s="5">
        <v>2</v>
      </c>
      <c r="T100" s="5">
        <v>2</v>
      </c>
      <c r="U100" s="5">
        <v>2</v>
      </c>
      <c r="V100" s="5">
        <v>6</v>
      </c>
    </row>
    <row r="101" spans="1:22" x14ac:dyDescent="0.35">
      <c r="A101">
        <v>100</v>
      </c>
      <c r="B101">
        <v>41</v>
      </c>
      <c r="C101" t="s">
        <v>75</v>
      </c>
      <c r="D101" t="s">
        <v>6</v>
      </c>
      <c r="E101" t="s">
        <v>8</v>
      </c>
      <c r="F101" t="s">
        <v>11</v>
      </c>
      <c r="G101">
        <v>1</v>
      </c>
      <c r="H101">
        <v>45</v>
      </c>
      <c r="I101" t="s">
        <v>18</v>
      </c>
      <c r="J101" s="1">
        <v>1108.56</v>
      </c>
      <c r="K101" s="1">
        <v>277.14</v>
      </c>
      <c r="L101">
        <v>4</v>
      </c>
      <c r="M101">
        <v>2</v>
      </c>
      <c r="N101">
        <v>0</v>
      </c>
      <c r="O101">
        <v>1</v>
      </c>
      <c r="P101">
        <v>0</v>
      </c>
      <c r="Q101">
        <v>1</v>
      </c>
      <c r="R101">
        <v>4</v>
      </c>
      <c r="S101" s="5">
        <v>3</v>
      </c>
      <c r="T101" s="5">
        <v>2</v>
      </c>
      <c r="U101" s="5">
        <v>2</v>
      </c>
      <c r="V101" s="5">
        <v>7</v>
      </c>
    </row>
    <row r="102" spans="1:22" x14ac:dyDescent="0.35">
      <c r="A102">
        <v>101</v>
      </c>
      <c r="B102">
        <v>33</v>
      </c>
      <c r="C102" t="s">
        <v>75</v>
      </c>
      <c r="D102" t="s">
        <v>6</v>
      </c>
      <c r="E102" t="s">
        <v>7</v>
      </c>
      <c r="F102" t="s">
        <v>13</v>
      </c>
      <c r="G102">
        <v>0</v>
      </c>
      <c r="H102">
        <v>35</v>
      </c>
      <c r="I102" t="s">
        <v>18</v>
      </c>
      <c r="J102" s="1">
        <v>492.35</v>
      </c>
      <c r="K102" s="1">
        <v>492.35</v>
      </c>
      <c r="L102">
        <v>1</v>
      </c>
      <c r="M102">
        <v>2</v>
      </c>
      <c r="N102">
        <v>1</v>
      </c>
      <c r="O102">
        <v>0</v>
      </c>
      <c r="P102">
        <v>1</v>
      </c>
      <c r="Q102">
        <v>1</v>
      </c>
      <c r="R102">
        <v>206</v>
      </c>
      <c r="S102" s="5">
        <v>1</v>
      </c>
      <c r="T102" s="5">
        <v>1</v>
      </c>
      <c r="U102" s="5">
        <v>1</v>
      </c>
      <c r="V102" s="5">
        <v>3</v>
      </c>
    </row>
    <row r="103" spans="1:22" x14ac:dyDescent="0.35">
      <c r="A103">
        <v>102</v>
      </c>
      <c r="B103">
        <v>31</v>
      </c>
      <c r="C103" t="s">
        <v>75</v>
      </c>
      <c r="D103" t="s">
        <v>5</v>
      </c>
      <c r="E103" t="s">
        <v>8</v>
      </c>
      <c r="F103" t="s">
        <v>13</v>
      </c>
      <c r="G103">
        <v>0</v>
      </c>
      <c r="H103">
        <v>32</v>
      </c>
      <c r="I103" t="s">
        <v>18</v>
      </c>
      <c r="J103" s="1">
        <v>2029.9599999999998</v>
      </c>
      <c r="K103" s="1">
        <v>338.32666666666665</v>
      </c>
      <c r="L103">
        <v>6</v>
      </c>
      <c r="M103">
        <v>2</v>
      </c>
      <c r="N103">
        <v>1</v>
      </c>
      <c r="O103">
        <v>1</v>
      </c>
      <c r="P103">
        <v>0</v>
      </c>
      <c r="Q103">
        <v>1</v>
      </c>
      <c r="R103">
        <v>1</v>
      </c>
      <c r="S103" s="5">
        <v>3</v>
      </c>
      <c r="T103" s="5">
        <v>2</v>
      </c>
      <c r="U103" s="5">
        <v>3</v>
      </c>
      <c r="V103" s="5">
        <v>8</v>
      </c>
    </row>
    <row r="104" spans="1:22" x14ac:dyDescent="0.35">
      <c r="A104">
        <v>103</v>
      </c>
      <c r="B104">
        <v>39</v>
      </c>
      <c r="C104" t="s">
        <v>75</v>
      </c>
      <c r="D104" t="s">
        <v>5</v>
      </c>
      <c r="E104" t="s">
        <v>9</v>
      </c>
      <c r="F104" t="s">
        <v>11</v>
      </c>
      <c r="G104">
        <v>0</v>
      </c>
      <c r="H104">
        <v>46</v>
      </c>
      <c r="I104" t="s">
        <v>16</v>
      </c>
      <c r="J104" s="1">
        <v>2297.73</v>
      </c>
      <c r="K104" s="1">
        <v>255.30333333333334</v>
      </c>
      <c r="L104">
        <v>9</v>
      </c>
      <c r="M104">
        <v>2</v>
      </c>
      <c r="N104">
        <v>0</v>
      </c>
      <c r="O104">
        <v>0</v>
      </c>
      <c r="P104">
        <v>0</v>
      </c>
      <c r="Q104">
        <v>1</v>
      </c>
      <c r="R104">
        <v>11</v>
      </c>
      <c r="S104" s="5">
        <v>3</v>
      </c>
      <c r="T104" s="5">
        <v>3</v>
      </c>
      <c r="U104" s="5">
        <v>3</v>
      </c>
      <c r="V104" s="5">
        <v>9</v>
      </c>
    </row>
    <row r="105" spans="1:22" x14ac:dyDescent="0.35">
      <c r="A105">
        <v>104</v>
      </c>
      <c r="B105">
        <v>66</v>
      </c>
      <c r="C105" t="s">
        <v>72</v>
      </c>
      <c r="D105" t="s">
        <v>6</v>
      </c>
      <c r="E105" t="s">
        <v>9</v>
      </c>
      <c r="F105" t="s">
        <v>12</v>
      </c>
      <c r="G105">
        <v>1</v>
      </c>
      <c r="H105">
        <v>3</v>
      </c>
      <c r="I105" t="s">
        <v>18</v>
      </c>
      <c r="J105" s="1">
        <v>2666.8399999999997</v>
      </c>
      <c r="K105" s="1">
        <v>296.31555555555553</v>
      </c>
      <c r="L105">
        <v>9</v>
      </c>
      <c r="M105">
        <v>2</v>
      </c>
      <c r="N105">
        <v>1</v>
      </c>
      <c r="O105">
        <v>0</v>
      </c>
      <c r="P105">
        <v>1</v>
      </c>
      <c r="Q105">
        <v>0</v>
      </c>
      <c r="R105">
        <v>12</v>
      </c>
      <c r="S105" s="5">
        <v>3</v>
      </c>
      <c r="T105" s="5">
        <v>3</v>
      </c>
      <c r="U105" s="5">
        <v>3</v>
      </c>
      <c r="V105" s="5">
        <v>9</v>
      </c>
    </row>
    <row r="106" spans="1:22" x14ac:dyDescent="0.35">
      <c r="A106">
        <v>105</v>
      </c>
      <c r="B106">
        <v>67</v>
      </c>
      <c r="C106" t="s">
        <v>72</v>
      </c>
      <c r="D106" t="s">
        <v>6</v>
      </c>
      <c r="E106" t="s">
        <v>9</v>
      </c>
      <c r="F106" t="s">
        <v>11</v>
      </c>
      <c r="G106">
        <v>0</v>
      </c>
      <c r="H106">
        <v>30</v>
      </c>
      <c r="I106" t="s">
        <v>17</v>
      </c>
      <c r="J106" s="1">
        <v>1863.6</v>
      </c>
      <c r="K106" s="1">
        <v>232.95</v>
      </c>
      <c r="L106">
        <v>8</v>
      </c>
      <c r="M106">
        <v>2</v>
      </c>
      <c r="N106">
        <v>1</v>
      </c>
      <c r="O106">
        <v>0</v>
      </c>
      <c r="P106">
        <v>1</v>
      </c>
      <c r="Q106">
        <v>0</v>
      </c>
      <c r="R106">
        <v>11</v>
      </c>
      <c r="S106" s="5">
        <v>3</v>
      </c>
      <c r="T106" s="5">
        <v>3</v>
      </c>
      <c r="U106" s="5">
        <v>3</v>
      </c>
      <c r="V106" s="5">
        <v>9</v>
      </c>
    </row>
    <row r="107" spans="1:22" x14ac:dyDescent="0.35">
      <c r="A107">
        <v>106</v>
      </c>
      <c r="B107">
        <v>23</v>
      </c>
      <c r="C107" t="s">
        <v>73</v>
      </c>
      <c r="D107" t="s">
        <v>5</v>
      </c>
      <c r="E107" t="s">
        <v>8</v>
      </c>
      <c r="F107" t="s">
        <v>13</v>
      </c>
      <c r="G107">
        <v>0</v>
      </c>
      <c r="H107">
        <v>49</v>
      </c>
      <c r="I107" t="s">
        <v>16</v>
      </c>
      <c r="J107" s="1">
        <v>875.07999999999993</v>
      </c>
      <c r="K107" s="1">
        <v>291.69333333333333</v>
      </c>
      <c r="L107">
        <v>3</v>
      </c>
      <c r="M107">
        <v>2</v>
      </c>
      <c r="N107">
        <v>1</v>
      </c>
      <c r="O107">
        <v>1</v>
      </c>
      <c r="P107">
        <v>1</v>
      </c>
      <c r="Q107">
        <v>0</v>
      </c>
      <c r="R107">
        <v>32</v>
      </c>
      <c r="S107" s="5">
        <v>2</v>
      </c>
      <c r="T107" s="5">
        <v>2</v>
      </c>
      <c r="U107" s="5">
        <v>2</v>
      </c>
      <c r="V107" s="5">
        <v>6</v>
      </c>
    </row>
    <row r="108" spans="1:22" x14ac:dyDescent="0.35">
      <c r="A108">
        <v>107</v>
      </c>
      <c r="B108">
        <v>59</v>
      </c>
      <c r="C108" t="s">
        <v>74</v>
      </c>
      <c r="D108" t="s">
        <v>6</v>
      </c>
      <c r="E108" t="s">
        <v>8</v>
      </c>
      <c r="F108" t="s">
        <v>13</v>
      </c>
      <c r="G108">
        <v>1</v>
      </c>
      <c r="H108">
        <v>7</v>
      </c>
      <c r="I108" t="s">
        <v>18</v>
      </c>
      <c r="J108" s="1">
        <v>1542.76</v>
      </c>
      <c r="K108" s="1">
        <v>257.12666666666667</v>
      </c>
      <c r="L108">
        <v>6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35</v>
      </c>
      <c r="S108" s="5">
        <v>2</v>
      </c>
      <c r="T108" s="5">
        <v>2</v>
      </c>
      <c r="U108" s="5">
        <v>2</v>
      </c>
      <c r="V108" s="5">
        <v>6</v>
      </c>
    </row>
    <row r="109" spans="1:22" x14ac:dyDescent="0.35">
      <c r="A109">
        <v>108</v>
      </c>
      <c r="B109">
        <v>53</v>
      </c>
      <c r="C109" t="s">
        <v>74</v>
      </c>
      <c r="D109" t="s">
        <v>5</v>
      </c>
      <c r="E109" t="s">
        <v>10</v>
      </c>
      <c r="F109" t="s">
        <v>11</v>
      </c>
      <c r="G109">
        <v>1</v>
      </c>
      <c r="H109">
        <v>1</v>
      </c>
      <c r="I109" t="s">
        <v>16</v>
      </c>
      <c r="J109" s="1">
        <v>494.30999999999995</v>
      </c>
      <c r="K109" s="1">
        <v>247.15499999999997</v>
      </c>
      <c r="L109">
        <v>2</v>
      </c>
      <c r="M109">
        <v>2</v>
      </c>
      <c r="N109">
        <v>1</v>
      </c>
      <c r="O109">
        <v>0</v>
      </c>
      <c r="P109">
        <v>1</v>
      </c>
      <c r="Q109">
        <v>1</v>
      </c>
      <c r="R109">
        <v>74</v>
      </c>
      <c r="S109" s="5">
        <v>2</v>
      </c>
      <c r="T109" s="5">
        <v>1</v>
      </c>
      <c r="U109" s="5">
        <v>1</v>
      </c>
      <c r="V109" s="5">
        <v>4</v>
      </c>
    </row>
    <row r="110" spans="1:22" x14ac:dyDescent="0.35">
      <c r="A110">
        <v>109</v>
      </c>
      <c r="B110">
        <v>18</v>
      </c>
      <c r="C110" t="s">
        <v>73</v>
      </c>
      <c r="D110" t="s">
        <v>5</v>
      </c>
      <c r="E110" t="s">
        <v>8</v>
      </c>
      <c r="F110" t="s">
        <v>12</v>
      </c>
      <c r="G110">
        <v>0</v>
      </c>
      <c r="H110">
        <v>20</v>
      </c>
      <c r="I110" t="s">
        <v>16</v>
      </c>
      <c r="J110" s="1">
        <v>1274.7</v>
      </c>
      <c r="K110" s="1">
        <v>212.45000000000002</v>
      </c>
      <c r="L110">
        <v>6</v>
      </c>
      <c r="M110">
        <v>2</v>
      </c>
      <c r="N110">
        <v>1</v>
      </c>
      <c r="O110">
        <v>1</v>
      </c>
      <c r="P110">
        <v>1</v>
      </c>
      <c r="Q110">
        <v>0</v>
      </c>
      <c r="R110">
        <v>7</v>
      </c>
      <c r="S110" s="5">
        <v>3</v>
      </c>
      <c r="T110" s="5">
        <v>2</v>
      </c>
      <c r="U110" s="5">
        <v>2</v>
      </c>
      <c r="V110" s="5">
        <v>7</v>
      </c>
    </row>
    <row r="111" spans="1:22" x14ac:dyDescent="0.35">
      <c r="A111">
        <v>110</v>
      </c>
      <c r="B111">
        <v>49</v>
      </c>
      <c r="C111" t="s">
        <v>74</v>
      </c>
      <c r="D111" t="s">
        <v>5</v>
      </c>
      <c r="E111" t="s">
        <v>8</v>
      </c>
      <c r="F111" t="s">
        <v>12</v>
      </c>
      <c r="G111">
        <v>1</v>
      </c>
      <c r="H111">
        <v>25</v>
      </c>
      <c r="I111" t="s">
        <v>17</v>
      </c>
      <c r="J111" s="1">
        <v>723</v>
      </c>
      <c r="K111" s="1">
        <v>241</v>
      </c>
      <c r="L111">
        <v>3</v>
      </c>
      <c r="M111">
        <v>2</v>
      </c>
      <c r="N111">
        <v>0</v>
      </c>
      <c r="O111">
        <v>0</v>
      </c>
      <c r="P111">
        <v>1</v>
      </c>
      <c r="Q111">
        <v>1</v>
      </c>
      <c r="R111">
        <v>48</v>
      </c>
      <c r="S111" s="5">
        <v>2</v>
      </c>
      <c r="T111" s="5">
        <v>2</v>
      </c>
      <c r="U111" s="5">
        <v>1</v>
      </c>
      <c r="V111" s="5">
        <v>5</v>
      </c>
    </row>
    <row r="112" spans="1:22" x14ac:dyDescent="0.35">
      <c r="A112">
        <v>111</v>
      </c>
      <c r="B112">
        <v>23</v>
      </c>
      <c r="C112" t="s">
        <v>73</v>
      </c>
      <c r="D112" t="s">
        <v>6</v>
      </c>
      <c r="E112" t="s">
        <v>9</v>
      </c>
      <c r="F112" t="s">
        <v>13</v>
      </c>
      <c r="G112">
        <v>1</v>
      </c>
      <c r="H112">
        <v>33</v>
      </c>
      <c r="I112" t="s">
        <v>17</v>
      </c>
      <c r="J112" s="1">
        <v>613.18000000000006</v>
      </c>
      <c r="K112" s="1">
        <v>306.59000000000003</v>
      </c>
      <c r="L112">
        <v>2</v>
      </c>
      <c r="M112">
        <v>1</v>
      </c>
      <c r="N112">
        <v>1</v>
      </c>
      <c r="O112">
        <v>0</v>
      </c>
      <c r="P112">
        <v>1</v>
      </c>
      <c r="Q112">
        <v>0</v>
      </c>
      <c r="R112">
        <v>83</v>
      </c>
      <c r="S112" s="5">
        <v>1</v>
      </c>
      <c r="T112" s="5">
        <v>1</v>
      </c>
      <c r="U112" s="5">
        <v>1</v>
      </c>
      <c r="V112" s="5">
        <v>3</v>
      </c>
    </row>
    <row r="113" spans="1:22" x14ac:dyDescent="0.35">
      <c r="A113">
        <v>112</v>
      </c>
      <c r="B113">
        <v>48</v>
      </c>
      <c r="C113" t="s">
        <v>74</v>
      </c>
      <c r="D113" t="s">
        <v>6</v>
      </c>
      <c r="E113" t="s">
        <v>10</v>
      </c>
      <c r="F113" t="s">
        <v>13</v>
      </c>
      <c r="G113">
        <v>0</v>
      </c>
      <c r="H113">
        <v>35</v>
      </c>
      <c r="I113" t="s">
        <v>17</v>
      </c>
      <c r="J113" s="1">
        <v>750.17</v>
      </c>
      <c r="K113" s="1">
        <v>250.05666666666664</v>
      </c>
      <c r="L113">
        <v>3</v>
      </c>
      <c r="M113">
        <v>1</v>
      </c>
      <c r="N113">
        <v>0</v>
      </c>
      <c r="O113">
        <v>0</v>
      </c>
      <c r="P113">
        <v>1</v>
      </c>
      <c r="Q113">
        <v>0</v>
      </c>
      <c r="R113">
        <v>2</v>
      </c>
      <c r="S113" s="5">
        <v>3</v>
      </c>
      <c r="T113" s="5">
        <v>2</v>
      </c>
      <c r="U113" s="5">
        <v>1</v>
      </c>
      <c r="V113" s="5">
        <v>6</v>
      </c>
    </row>
    <row r="114" spans="1:22" x14ac:dyDescent="0.35">
      <c r="A114">
        <v>113</v>
      </c>
      <c r="B114">
        <v>18</v>
      </c>
      <c r="C114" t="s">
        <v>73</v>
      </c>
      <c r="D114" t="s">
        <v>6</v>
      </c>
      <c r="E114" t="s">
        <v>8</v>
      </c>
      <c r="F114" t="s">
        <v>13</v>
      </c>
      <c r="G114">
        <v>0</v>
      </c>
      <c r="H114">
        <v>44</v>
      </c>
      <c r="I114" t="s">
        <v>18</v>
      </c>
      <c r="J114" s="1">
        <v>1834.01</v>
      </c>
      <c r="K114" s="1">
        <v>262.00142857142856</v>
      </c>
      <c r="L114">
        <v>7</v>
      </c>
      <c r="M114">
        <v>1</v>
      </c>
      <c r="N114">
        <v>1</v>
      </c>
      <c r="O114">
        <v>1</v>
      </c>
      <c r="P114">
        <v>0</v>
      </c>
      <c r="Q114">
        <v>0</v>
      </c>
      <c r="R114">
        <v>73</v>
      </c>
      <c r="S114" s="5">
        <v>2</v>
      </c>
      <c r="T114" s="5">
        <v>2</v>
      </c>
      <c r="U114" s="5">
        <v>3</v>
      </c>
      <c r="V114" s="5">
        <v>7</v>
      </c>
    </row>
    <row r="115" spans="1:22" x14ac:dyDescent="0.35">
      <c r="A115">
        <v>114</v>
      </c>
      <c r="B115">
        <v>67</v>
      </c>
      <c r="C115" t="s">
        <v>72</v>
      </c>
      <c r="D115" t="s">
        <v>6</v>
      </c>
      <c r="E115" t="s">
        <v>8</v>
      </c>
      <c r="F115" t="s">
        <v>11</v>
      </c>
      <c r="G115">
        <v>0</v>
      </c>
      <c r="H115">
        <v>24</v>
      </c>
      <c r="I115" t="s">
        <v>17</v>
      </c>
      <c r="J115" s="1">
        <v>2133.2800000000002</v>
      </c>
      <c r="K115" s="1">
        <v>266.66000000000003</v>
      </c>
      <c r="L115">
        <v>8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27</v>
      </c>
      <c r="S115" s="5">
        <v>3</v>
      </c>
      <c r="T115" s="5">
        <v>3</v>
      </c>
      <c r="U115" s="5">
        <v>3</v>
      </c>
      <c r="V115" s="5">
        <v>9</v>
      </c>
    </row>
    <row r="116" spans="1:22" x14ac:dyDescent="0.35">
      <c r="A116">
        <v>115</v>
      </c>
      <c r="B116">
        <v>68</v>
      </c>
      <c r="C116" t="s">
        <v>72</v>
      </c>
      <c r="D116" t="s">
        <v>6</v>
      </c>
      <c r="E116" t="s">
        <v>9</v>
      </c>
      <c r="F116" t="s">
        <v>13</v>
      </c>
      <c r="G116">
        <v>0</v>
      </c>
      <c r="H116">
        <v>14</v>
      </c>
      <c r="I116" t="s">
        <v>16</v>
      </c>
      <c r="J116" s="1">
        <v>653.62000000000012</v>
      </c>
      <c r="K116" s="1">
        <v>130.72400000000002</v>
      </c>
      <c r="L116">
        <v>5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100</v>
      </c>
      <c r="S116" s="5">
        <v>1</v>
      </c>
      <c r="T116" s="5">
        <v>2</v>
      </c>
      <c r="U116" s="5">
        <v>1</v>
      </c>
      <c r="V116" s="5">
        <v>4</v>
      </c>
    </row>
    <row r="117" spans="1:22" x14ac:dyDescent="0.35">
      <c r="A117">
        <v>116</v>
      </c>
      <c r="B117">
        <v>54</v>
      </c>
      <c r="C117" t="s">
        <v>74</v>
      </c>
      <c r="D117" t="s">
        <v>5</v>
      </c>
      <c r="E117" t="s">
        <v>8</v>
      </c>
      <c r="F117" t="s">
        <v>13</v>
      </c>
      <c r="G117">
        <v>0</v>
      </c>
      <c r="H117">
        <v>39</v>
      </c>
      <c r="I117" t="s">
        <v>16</v>
      </c>
      <c r="J117" s="1">
        <v>1504.28</v>
      </c>
      <c r="K117" s="1">
        <v>214.89714285714285</v>
      </c>
      <c r="L117">
        <v>7</v>
      </c>
      <c r="M117">
        <v>1</v>
      </c>
      <c r="N117">
        <v>0</v>
      </c>
      <c r="O117">
        <v>1</v>
      </c>
      <c r="P117">
        <v>0</v>
      </c>
      <c r="Q117">
        <v>0</v>
      </c>
      <c r="R117">
        <v>11</v>
      </c>
      <c r="S117" s="5">
        <v>3</v>
      </c>
      <c r="T117" s="5">
        <v>2</v>
      </c>
      <c r="U117" s="5">
        <v>2</v>
      </c>
      <c r="V117" s="5">
        <v>7</v>
      </c>
    </row>
    <row r="118" spans="1:22" x14ac:dyDescent="0.35">
      <c r="A118">
        <v>117</v>
      </c>
      <c r="B118">
        <v>52</v>
      </c>
      <c r="C118" t="s">
        <v>74</v>
      </c>
      <c r="D118" t="s">
        <v>6</v>
      </c>
      <c r="E118" t="s">
        <v>9</v>
      </c>
      <c r="F118" t="s">
        <v>13</v>
      </c>
      <c r="G118">
        <v>0</v>
      </c>
      <c r="H118">
        <v>44</v>
      </c>
      <c r="I118" t="s">
        <v>18</v>
      </c>
      <c r="J118" s="1">
        <v>448.48</v>
      </c>
      <c r="K118" s="1">
        <v>224.24</v>
      </c>
      <c r="L118">
        <v>2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</v>
      </c>
      <c r="S118" s="5">
        <v>3</v>
      </c>
      <c r="T118" s="5">
        <v>1</v>
      </c>
      <c r="U118" s="5">
        <v>1</v>
      </c>
      <c r="V118" s="5">
        <v>5</v>
      </c>
    </row>
    <row r="119" spans="1:22" x14ac:dyDescent="0.35">
      <c r="A119">
        <v>118</v>
      </c>
      <c r="B119">
        <v>66</v>
      </c>
      <c r="C119" t="s">
        <v>72</v>
      </c>
      <c r="D119" t="s">
        <v>5</v>
      </c>
      <c r="E119" t="s">
        <v>10</v>
      </c>
      <c r="F119" t="s">
        <v>12</v>
      </c>
      <c r="G119">
        <v>0</v>
      </c>
      <c r="H119">
        <v>34</v>
      </c>
      <c r="I119" t="s">
        <v>18</v>
      </c>
      <c r="J119" s="1">
        <v>1625.39</v>
      </c>
      <c r="K119" s="1">
        <v>270.89833333333337</v>
      </c>
      <c r="L119">
        <v>6</v>
      </c>
      <c r="M119">
        <v>1</v>
      </c>
      <c r="N119">
        <v>1</v>
      </c>
      <c r="O119">
        <v>0</v>
      </c>
      <c r="P119">
        <v>1</v>
      </c>
      <c r="Q119">
        <v>0</v>
      </c>
      <c r="R119">
        <v>13</v>
      </c>
      <c r="S119" s="5">
        <v>3</v>
      </c>
      <c r="T119" s="5">
        <v>2</v>
      </c>
      <c r="U119" s="5">
        <v>3</v>
      </c>
      <c r="V119" s="5">
        <v>8</v>
      </c>
    </row>
    <row r="120" spans="1:22" x14ac:dyDescent="0.35">
      <c r="A120">
        <v>119</v>
      </c>
      <c r="B120">
        <v>47</v>
      </c>
      <c r="C120" t="s">
        <v>74</v>
      </c>
      <c r="D120" t="s">
        <v>5</v>
      </c>
      <c r="E120" t="s">
        <v>9</v>
      </c>
      <c r="F120" t="s">
        <v>12</v>
      </c>
      <c r="G120">
        <v>1</v>
      </c>
      <c r="H120">
        <v>18</v>
      </c>
      <c r="I120" t="s">
        <v>16</v>
      </c>
      <c r="J120" s="1">
        <v>2012.3300000000002</v>
      </c>
      <c r="K120" s="1">
        <v>251.54125000000002</v>
      </c>
      <c r="L120">
        <v>8</v>
      </c>
      <c r="M120">
        <v>2</v>
      </c>
      <c r="N120">
        <v>0</v>
      </c>
      <c r="O120">
        <v>1</v>
      </c>
      <c r="P120">
        <v>0</v>
      </c>
      <c r="Q120">
        <v>1</v>
      </c>
      <c r="R120">
        <v>57</v>
      </c>
      <c r="S120" s="5">
        <v>2</v>
      </c>
      <c r="T120" s="5">
        <v>3</v>
      </c>
      <c r="U120" s="5">
        <v>3</v>
      </c>
      <c r="V120" s="5">
        <v>8</v>
      </c>
    </row>
    <row r="121" spans="1:22" x14ac:dyDescent="0.35">
      <c r="A121">
        <v>120</v>
      </c>
      <c r="B121">
        <v>21</v>
      </c>
      <c r="C121" t="s">
        <v>73</v>
      </c>
      <c r="D121" t="s">
        <v>6</v>
      </c>
      <c r="E121" t="s">
        <v>9</v>
      </c>
      <c r="F121" t="s">
        <v>13</v>
      </c>
      <c r="G121">
        <v>0</v>
      </c>
      <c r="H121">
        <v>2</v>
      </c>
      <c r="I121" t="s">
        <v>18</v>
      </c>
      <c r="J121" s="1">
        <v>1168.79</v>
      </c>
      <c r="K121" s="1">
        <v>194.79833333333332</v>
      </c>
      <c r="L121">
        <v>6</v>
      </c>
      <c r="M121">
        <v>2</v>
      </c>
      <c r="N121">
        <v>1</v>
      </c>
      <c r="O121">
        <v>1</v>
      </c>
      <c r="P121">
        <v>0</v>
      </c>
      <c r="Q121">
        <v>1</v>
      </c>
      <c r="R121">
        <v>2</v>
      </c>
      <c r="S121" s="5">
        <v>3</v>
      </c>
      <c r="T121" s="5">
        <v>2</v>
      </c>
      <c r="U121" s="5">
        <v>2</v>
      </c>
      <c r="V121" s="5">
        <v>7</v>
      </c>
    </row>
    <row r="122" spans="1:22" x14ac:dyDescent="0.35">
      <c r="A122">
        <v>121</v>
      </c>
      <c r="B122">
        <v>52</v>
      </c>
      <c r="C122" t="s">
        <v>74</v>
      </c>
      <c r="D122" t="s">
        <v>5</v>
      </c>
      <c r="E122" t="s">
        <v>10</v>
      </c>
      <c r="F122" t="s">
        <v>12</v>
      </c>
      <c r="G122">
        <v>0</v>
      </c>
      <c r="H122">
        <v>38</v>
      </c>
      <c r="I122" t="s">
        <v>16</v>
      </c>
      <c r="J122" s="1">
        <v>1073.01</v>
      </c>
      <c r="K122" s="1">
        <v>214.602</v>
      </c>
      <c r="L122">
        <v>5</v>
      </c>
      <c r="M122">
        <v>2</v>
      </c>
      <c r="N122">
        <v>1</v>
      </c>
      <c r="O122">
        <v>1</v>
      </c>
      <c r="P122">
        <v>0</v>
      </c>
      <c r="Q122">
        <v>0</v>
      </c>
      <c r="R122">
        <v>39</v>
      </c>
      <c r="S122" s="5">
        <v>2</v>
      </c>
      <c r="T122" s="5">
        <v>2</v>
      </c>
      <c r="U122" s="5">
        <v>2</v>
      </c>
      <c r="V122" s="5">
        <v>6</v>
      </c>
    </row>
    <row r="123" spans="1:22" x14ac:dyDescent="0.35">
      <c r="A123">
        <v>122</v>
      </c>
      <c r="B123">
        <v>60</v>
      </c>
      <c r="C123" t="s">
        <v>74</v>
      </c>
      <c r="D123" t="s">
        <v>6</v>
      </c>
      <c r="E123" t="s">
        <v>7</v>
      </c>
      <c r="F123" t="s">
        <v>12</v>
      </c>
      <c r="G123">
        <v>1</v>
      </c>
      <c r="H123">
        <v>17</v>
      </c>
      <c r="I123" t="s">
        <v>16</v>
      </c>
      <c r="J123" s="1">
        <v>2825.5200000000004</v>
      </c>
      <c r="K123" s="1">
        <v>313.94666666666672</v>
      </c>
      <c r="L123">
        <v>9</v>
      </c>
      <c r="M123">
        <v>1</v>
      </c>
      <c r="N123">
        <v>0</v>
      </c>
      <c r="O123">
        <v>0</v>
      </c>
      <c r="P123">
        <v>0</v>
      </c>
      <c r="Q123">
        <v>1</v>
      </c>
      <c r="R123">
        <v>15</v>
      </c>
      <c r="S123" s="5">
        <v>3</v>
      </c>
      <c r="T123" s="5">
        <v>3</v>
      </c>
      <c r="U123" s="5">
        <v>3</v>
      </c>
      <c r="V123" s="5">
        <v>9</v>
      </c>
    </row>
    <row r="124" spans="1:22" x14ac:dyDescent="0.35">
      <c r="A124">
        <v>123</v>
      </c>
      <c r="B124">
        <v>31</v>
      </c>
      <c r="C124" t="s">
        <v>75</v>
      </c>
      <c r="D124" t="s">
        <v>5</v>
      </c>
      <c r="E124" t="s">
        <v>9</v>
      </c>
      <c r="F124" t="s">
        <v>12</v>
      </c>
      <c r="G124">
        <v>1</v>
      </c>
      <c r="H124">
        <v>23</v>
      </c>
      <c r="I124" t="s">
        <v>16</v>
      </c>
      <c r="J124" s="1">
        <v>938.58</v>
      </c>
      <c r="K124" s="1">
        <v>312.86</v>
      </c>
      <c r="L124">
        <v>3</v>
      </c>
      <c r="M124">
        <v>2</v>
      </c>
      <c r="N124">
        <v>0</v>
      </c>
      <c r="O124">
        <v>0</v>
      </c>
      <c r="P124">
        <v>1</v>
      </c>
      <c r="Q124">
        <v>0</v>
      </c>
      <c r="R124">
        <v>15</v>
      </c>
      <c r="S124" s="5">
        <v>3</v>
      </c>
      <c r="T124" s="5">
        <v>2</v>
      </c>
      <c r="U124" s="5">
        <v>2</v>
      </c>
      <c r="V124" s="5">
        <v>7</v>
      </c>
    </row>
    <row r="125" spans="1:22" x14ac:dyDescent="0.35">
      <c r="A125">
        <v>124</v>
      </c>
      <c r="B125">
        <v>66</v>
      </c>
      <c r="C125" t="s">
        <v>72</v>
      </c>
      <c r="D125" t="s">
        <v>5</v>
      </c>
      <c r="E125" t="s">
        <v>8</v>
      </c>
      <c r="F125" t="s">
        <v>12</v>
      </c>
      <c r="G125">
        <v>0</v>
      </c>
      <c r="H125">
        <v>33</v>
      </c>
      <c r="I125" t="s">
        <v>17</v>
      </c>
      <c r="J125" s="1">
        <v>2283.88</v>
      </c>
      <c r="K125" s="1">
        <v>326.26857142857142</v>
      </c>
      <c r="L125">
        <v>7</v>
      </c>
      <c r="M125">
        <v>2</v>
      </c>
      <c r="N125">
        <v>0</v>
      </c>
      <c r="O125">
        <v>0</v>
      </c>
      <c r="P125">
        <v>1</v>
      </c>
      <c r="Q125">
        <v>1</v>
      </c>
      <c r="R125">
        <v>34</v>
      </c>
      <c r="S125" s="5">
        <v>2</v>
      </c>
      <c r="T125" s="5">
        <v>2</v>
      </c>
      <c r="U125" s="5">
        <v>3</v>
      </c>
      <c r="V125" s="5">
        <v>7</v>
      </c>
    </row>
    <row r="126" spans="1:22" x14ac:dyDescent="0.35">
      <c r="A126">
        <v>125</v>
      </c>
      <c r="B126">
        <v>57</v>
      </c>
      <c r="C126" t="s">
        <v>74</v>
      </c>
      <c r="D126" t="s">
        <v>5</v>
      </c>
      <c r="E126" t="s">
        <v>9</v>
      </c>
      <c r="F126" t="s">
        <v>11</v>
      </c>
      <c r="G126">
        <v>0</v>
      </c>
      <c r="H126">
        <v>28</v>
      </c>
      <c r="I126" t="s">
        <v>18</v>
      </c>
      <c r="J126" s="1">
        <v>744.89</v>
      </c>
      <c r="K126" s="1">
        <v>372.44499999999999</v>
      </c>
      <c r="L126">
        <v>2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123</v>
      </c>
      <c r="S126" s="5">
        <v>1</v>
      </c>
      <c r="T126" s="5">
        <v>1</v>
      </c>
      <c r="U126" s="5">
        <v>1</v>
      </c>
      <c r="V126" s="5">
        <v>3</v>
      </c>
    </row>
    <row r="127" spans="1:22" x14ac:dyDescent="0.35">
      <c r="A127">
        <v>126</v>
      </c>
      <c r="B127">
        <v>39</v>
      </c>
      <c r="C127" t="s">
        <v>75</v>
      </c>
      <c r="D127" t="s">
        <v>6</v>
      </c>
      <c r="E127" t="s">
        <v>10</v>
      </c>
      <c r="F127" t="s">
        <v>12</v>
      </c>
      <c r="G127">
        <v>0</v>
      </c>
      <c r="H127">
        <v>15</v>
      </c>
      <c r="I127" t="s">
        <v>17</v>
      </c>
      <c r="J127" s="1">
        <v>2323.02</v>
      </c>
      <c r="K127" s="1">
        <v>258.11333333333334</v>
      </c>
      <c r="L127">
        <v>9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49</v>
      </c>
      <c r="S127" s="5">
        <v>2</v>
      </c>
      <c r="T127" s="5">
        <v>3</v>
      </c>
      <c r="U127" s="5">
        <v>3</v>
      </c>
      <c r="V127" s="5">
        <v>8</v>
      </c>
    </row>
    <row r="128" spans="1:22" x14ac:dyDescent="0.35">
      <c r="A128">
        <v>127</v>
      </c>
      <c r="B128">
        <v>27</v>
      </c>
      <c r="C128" t="s">
        <v>73</v>
      </c>
      <c r="D128" t="s">
        <v>6</v>
      </c>
      <c r="E128" t="s">
        <v>8</v>
      </c>
      <c r="F128" t="s">
        <v>12</v>
      </c>
      <c r="G128">
        <v>0</v>
      </c>
      <c r="H128">
        <v>11</v>
      </c>
      <c r="I128" t="s">
        <v>17</v>
      </c>
      <c r="J128" s="1">
        <v>1976.17</v>
      </c>
      <c r="K128" s="1">
        <v>247.02125000000001</v>
      </c>
      <c r="L128">
        <v>8</v>
      </c>
      <c r="M128">
        <v>1</v>
      </c>
      <c r="N128">
        <v>0</v>
      </c>
      <c r="O128">
        <v>0</v>
      </c>
      <c r="P128">
        <v>0</v>
      </c>
      <c r="Q128">
        <v>1</v>
      </c>
      <c r="R128">
        <v>0</v>
      </c>
      <c r="S128" s="5">
        <v>3</v>
      </c>
      <c r="T128" s="5">
        <v>3</v>
      </c>
      <c r="U128" s="5">
        <v>3</v>
      </c>
      <c r="V128" s="5">
        <v>9</v>
      </c>
    </row>
    <row r="129" spans="1:22" x14ac:dyDescent="0.35">
      <c r="A129">
        <v>128</v>
      </c>
      <c r="B129">
        <v>18</v>
      </c>
      <c r="C129" t="s">
        <v>73</v>
      </c>
      <c r="D129" t="s">
        <v>6</v>
      </c>
      <c r="E129" t="s">
        <v>10</v>
      </c>
      <c r="F129" t="s">
        <v>12</v>
      </c>
      <c r="G129">
        <v>1</v>
      </c>
      <c r="H129">
        <v>23</v>
      </c>
      <c r="I129" t="s">
        <v>17</v>
      </c>
      <c r="J129" s="1">
        <v>630.20000000000005</v>
      </c>
      <c r="K129" s="1">
        <v>315.10000000000002</v>
      </c>
      <c r="L129">
        <v>2</v>
      </c>
      <c r="M129">
        <v>2</v>
      </c>
      <c r="N129">
        <v>1</v>
      </c>
      <c r="O129">
        <v>1</v>
      </c>
      <c r="P129">
        <v>0</v>
      </c>
      <c r="Q129">
        <v>0</v>
      </c>
      <c r="R129">
        <v>239</v>
      </c>
      <c r="S129" s="5">
        <v>1</v>
      </c>
      <c r="T129" s="5">
        <v>1</v>
      </c>
      <c r="U129" s="5">
        <v>1</v>
      </c>
      <c r="V129" s="5">
        <v>3</v>
      </c>
    </row>
    <row r="130" spans="1:22" x14ac:dyDescent="0.35">
      <c r="A130">
        <v>129</v>
      </c>
      <c r="B130">
        <v>28</v>
      </c>
      <c r="C130" t="s">
        <v>73</v>
      </c>
      <c r="D130" t="s">
        <v>6</v>
      </c>
      <c r="E130" t="s">
        <v>9</v>
      </c>
      <c r="F130" t="s">
        <v>12</v>
      </c>
      <c r="G130">
        <v>0</v>
      </c>
      <c r="H130">
        <v>13</v>
      </c>
      <c r="I130" t="s">
        <v>17</v>
      </c>
      <c r="J130" s="1">
        <v>243.55</v>
      </c>
      <c r="K130" s="1">
        <v>121.77500000000001</v>
      </c>
      <c r="L130">
        <v>2</v>
      </c>
      <c r="M130">
        <v>1</v>
      </c>
      <c r="N130">
        <v>0</v>
      </c>
      <c r="O130">
        <v>0</v>
      </c>
      <c r="P130">
        <v>1</v>
      </c>
      <c r="Q130">
        <v>0</v>
      </c>
      <c r="R130">
        <v>32</v>
      </c>
      <c r="S130" s="5">
        <v>2</v>
      </c>
      <c r="T130" s="5">
        <v>1</v>
      </c>
      <c r="U130" s="5">
        <v>1</v>
      </c>
      <c r="V130" s="5">
        <v>4</v>
      </c>
    </row>
    <row r="131" spans="1:22" x14ac:dyDescent="0.35">
      <c r="A131">
        <v>130</v>
      </c>
      <c r="B131">
        <v>68</v>
      </c>
      <c r="C131" t="s">
        <v>72</v>
      </c>
      <c r="D131" t="s">
        <v>5</v>
      </c>
      <c r="E131" t="s">
        <v>10</v>
      </c>
      <c r="F131" t="s">
        <v>11</v>
      </c>
      <c r="G131">
        <v>0</v>
      </c>
      <c r="H131">
        <v>47</v>
      </c>
      <c r="I131" t="s">
        <v>16</v>
      </c>
      <c r="J131" s="1">
        <v>552.23</v>
      </c>
      <c r="K131" s="1">
        <v>276.11500000000001</v>
      </c>
      <c r="L131">
        <v>2</v>
      </c>
      <c r="M131">
        <v>1</v>
      </c>
      <c r="N131">
        <v>1</v>
      </c>
      <c r="O131">
        <v>0</v>
      </c>
      <c r="P131">
        <v>0</v>
      </c>
      <c r="Q131">
        <v>1</v>
      </c>
      <c r="R131">
        <v>54</v>
      </c>
      <c r="S131" s="5">
        <v>2</v>
      </c>
      <c r="T131" s="5">
        <v>1</v>
      </c>
      <c r="U131" s="5">
        <v>1</v>
      </c>
      <c r="V131" s="5">
        <v>4</v>
      </c>
    </row>
    <row r="132" spans="1:22" x14ac:dyDescent="0.35">
      <c r="A132">
        <v>131</v>
      </c>
      <c r="B132">
        <v>61</v>
      </c>
      <c r="C132" t="s">
        <v>72</v>
      </c>
      <c r="D132" t="s">
        <v>6</v>
      </c>
      <c r="E132" t="s">
        <v>10</v>
      </c>
      <c r="F132" t="s">
        <v>11</v>
      </c>
      <c r="G132">
        <v>0</v>
      </c>
      <c r="H132">
        <v>11</v>
      </c>
      <c r="I132" t="s">
        <v>17</v>
      </c>
      <c r="J132" s="1">
        <v>2726.7</v>
      </c>
      <c r="K132" s="1">
        <v>340.83749999999998</v>
      </c>
      <c r="L132">
        <v>8</v>
      </c>
      <c r="M132">
        <v>1</v>
      </c>
      <c r="N132">
        <v>0</v>
      </c>
      <c r="O132">
        <v>0</v>
      </c>
      <c r="P132">
        <v>1</v>
      </c>
      <c r="Q132">
        <v>0</v>
      </c>
      <c r="R132">
        <v>87</v>
      </c>
      <c r="S132" s="5">
        <v>1</v>
      </c>
      <c r="T132" s="5">
        <v>3</v>
      </c>
      <c r="U132" s="5">
        <v>3</v>
      </c>
      <c r="V132" s="5">
        <v>7</v>
      </c>
    </row>
    <row r="133" spans="1:22" x14ac:dyDescent="0.35">
      <c r="A133">
        <v>132</v>
      </c>
      <c r="B133">
        <v>41</v>
      </c>
      <c r="C133" t="s">
        <v>75</v>
      </c>
      <c r="D133" t="s">
        <v>6</v>
      </c>
      <c r="E133" t="s">
        <v>7</v>
      </c>
      <c r="F133" t="s">
        <v>13</v>
      </c>
      <c r="G133">
        <v>0</v>
      </c>
      <c r="H133">
        <v>36</v>
      </c>
      <c r="I133" t="s">
        <v>17</v>
      </c>
      <c r="J133" s="1">
        <v>1879.94</v>
      </c>
      <c r="K133" s="1">
        <v>208.88222222222223</v>
      </c>
      <c r="L133">
        <v>9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73</v>
      </c>
      <c r="S133" s="5">
        <v>2</v>
      </c>
      <c r="T133" s="5">
        <v>3</v>
      </c>
      <c r="U133" s="5">
        <v>3</v>
      </c>
      <c r="V133" s="5">
        <v>8</v>
      </c>
    </row>
    <row r="134" spans="1:22" x14ac:dyDescent="0.35">
      <c r="A134">
        <v>133</v>
      </c>
      <c r="B134">
        <v>20</v>
      </c>
      <c r="C134" t="s">
        <v>73</v>
      </c>
      <c r="D134" t="s">
        <v>5</v>
      </c>
      <c r="E134" t="s">
        <v>9</v>
      </c>
      <c r="F134" t="s">
        <v>12</v>
      </c>
      <c r="G134">
        <v>0</v>
      </c>
      <c r="H134">
        <v>38</v>
      </c>
      <c r="I134" t="s">
        <v>16</v>
      </c>
      <c r="J134" s="1">
        <v>896.27</v>
      </c>
      <c r="K134" s="1">
        <v>224.0675</v>
      </c>
      <c r="L134">
        <v>4</v>
      </c>
      <c r="M134">
        <v>1</v>
      </c>
      <c r="N134">
        <v>0</v>
      </c>
      <c r="O134">
        <v>0</v>
      </c>
      <c r="P134">
        <v>1</v>
      </c>
      <c r="Q134">
        <v>0</v>
      </c>
      <c r="R134">
        <v>124</v>
      </c>
      <c r="S134" s="5">
        <v>1</v>
      </c>
      <c r="T134" s="5">
        <v>2</v>
      </c>
      <c r="U134" s="5">
        <v>2</v>
      </c>
      <c r="V134" s="5">
        <v>5</v>
      </c>
    </row>
    <row r="135" spans="1:22" x14ac:dyDescent="0.35">
      <c r="A135">
        <v>134</v>
      </c>
      <c r="B135">
        <v>52</v>
      </c>
      <c r="C135" t="s">
        <v>74</v>
      </c>
      <c r="D135" t="s">
        <v>5</v>
      </c>
      <c r="E135" t="s">
        <v>9</v>
      </c>
      <c r="F135" t="s">
        <v>12</v>
      </c>
      <c r="G135">
        <v>0</v>
      </c>
      <c r="H135">
        <v>27</v>
      </c>
      <c r="I135" t="s">
        <v>16</v>
      </c>
      <c r="J135" s="1">
        <v>1570.08</v>
      </c>
      <c r="K135" s="1">
        <v>261.68</v>
      </c>
      <c r="L135">
        <v>6</v>
      </c>
      <c r="M135">
        <v>1</v>
      </c>
      <c r="N135">
        <v>1</v>
      </c>
      <c r="O135">
        <v>0</v>
      </c>
      <c r="P135">
        <v>1</v>
      </c>
      <c r="Q135">
        <v>0</v>
      </c>
      <c r="R135">
        <v>2</v>
      </c>
      <c r="S135" s="5">
        <v>3</v>
      </c>
      <c r="T135" s="5">
        <v>2</v>
      </c>
      <c r="U135" s="5">
        <v>2</v>
      </c>
      <c r="V135" s="5">
        <v>7</v>
      </c>
    </row>
    <row r="136" spans="1:22" x14ac:dyDescent="0.35">
      <c r="A136">
        <v>135</v>
      </c>
      <c r="B136">
        <v>53</v>
      </c>
      <c r="C136" t="s">
        <v>74</v>
      </c>
      <c r="D136" t="s">
        <v>6</v>
      </c>
      <c r="E136" t="s">
        <v>9</v>
      </c>
      <c r="F136" t="s">
        <v>13</v>
      </c>
      <c r="G136">
        <v>0</v>
      </c>
      <c r="H136">
        <v>18</v>
      </c>
      <c r="I136" t="s">
        <v>16</v>
      </c>
      <c r="J136" s="1">
        <v>441.75</v>
      </c>
      <c r="K136" s="1">
        <v>220.875</v>
      </c>
      <c r="L136">
        <v>2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221</v>
      </c>
      <c r="S136" s="5">
        <v>1</v>
      </c>
      <c r="T136" s="5">
        <v>1</v>
      </c>
      <c r="U136" s="5">
        <v>1</v>
      </c>
      <c r="V136" s="5">
        <v>3</v>
      </c>
    </row>
    <row r="137" spans="1:22" x14ac:dyDescent="0.35">
      <c r="A137">
        <v>136</v>
      </c>
      <c r="B137">
        <v>48</v>
      </c>
      <c r="C137" t="s">
        <v>74</v>
      </c>
      <c r="D137" t="s">
        <v>5</v>
      </c>
      <c r="E137" t="s">
        <v>9</v>
      </c>
      <c r="F137" t="s">
        <v>11</v>
      </c>
      <c r="G137">
        <v>0</v>
      </c>
      <c r="H137">
        <v>40</v>
      </c>
      <c r="I137" t="s">
        <v>16</v>
      </c>
      <c r="J137" s="1">
        <v>419.86</v>
      </c>
      <c r="K137" s="1">
        <v>209.93</v>
      </c>
      <c r="L137">
        <v>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 s="5">
        <v>3</v>
      </c>
      <c r="T137" s="5">
        <v>1</v>
      </c>
      <c r="U137" s="5">
        <v>1</v>
      </c>
      <c r="V137" s="5">
        <v>5</v>
      </c>
    </row>
    <row r="138" spans="1:22" x14ac:dyDescent="0.35">
      <c r="A138">
        <v>137</v>
      </c>
      <c r="B138">
        <v>21</v>
      </c>
      <c r="C138" t="s">
        <v>73</v>
      </c>
      <c r="D138" t="s">
        <v>6</v>
      </c>
      <c r="E138" t="s">
        <v>8</v>
      </c>
      <c r="F138" t="s">
        <v>13</v>
      </c>
      <c r="G138">
        <v>1</v>
      </c>
      <c r="H138">
        <v>38</v>
      </c>
      <c r="I138" t="s">
        <v>18</v>
      </c>
      <c r="J138" s="1">
        <v>431.47</v>
      </c>
      <c r="K138" s="1">
        <v>431.47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195</v>
      </c>
      <c r="S138" s="5">
        <v>1</v>
      </c>
      <c r="T138" s="5">
        <v>1</v>
      </c>
      <c r="U138" s="5">
        <v>1</v>
      </c>
      <c r="V138" s="5">
        <v>3</v>
      </c>
    </row>
    <row r="139" spans="1:22" x14ac:dyDescent="0.35">
      <c r="A139">
        <v>138</v>
      </c>
      <c r="B139">
        <v>36</v>
      </c>
      <c r="C139" t="s">
        <v>75</v>
      </c>
      <c r="D139" t="s">
        <v>5</v>
      </c>
      <c r="E139" t="s">
        <v>10</v>
      </c>
      <c r="F139" t="s">
        <v>11</v>
      </c>
      <c r="G139">
        <v>0</v>
      </c>
      <c r="H139">
        <v>34</v>
      </c>
      <c r="I139" t="s">
        <v>18</v>
      </c>
      <c r="J139" s="1">
        <v>2804.65</v>
      </c>
      <c r="K139" s="1">
        <v>350.58125000000001</v>
      </c>
      <c r="L139">
        <v>8</v>
      </c>
      <c r="M139">
        <v>1</v>
      </c>
      <c r="N139">
        <v>1</v>
      </c>
      <c r="O139">
        <v>0</v>
      </c>
      <c r="P139">
        <v>1</v>
      </c>
      <c r="Q139">
        <v>0</v>
      </c>
      <c r="R139">
        <v>82</v>
      </c>
      <c r="S139" s="5">
        <v>2</v>
      </c>
      <c r="T139" s="5">
        <v>3</v>
      </c>
      <c r="U139" s="5">
        <v>3</v>
      </c>
      <c r="V139" s="5">
        <v>8</v>
      </c>
    </row>
    <row r="140" spans="1:22" x14ac:dyDescent="0.35">
      <c r="A140">
        <v>139</v>
      </c>
      <c r="B140">
        <v>64</v>
      </c>
      <c r="C140" t="s">
        <v>72</v>
      </c>
      <c r="D140" t="s">
        <v>6</v>
      </c>
      <c r="E140" t="s">
        <v>9</v>
      </c>
      <c r="F140" t="s">
        <v>13</v>
      </c>
      <c r="G140">
        <v>0</v>
      </c>
      <c r="H140">
        <v>22</v>
      </c>
      <c r="I140" t="s">
        <v>17</v>
      </c>
      <c r="J140" s="1">
        <v>2045.49</v>
      </c>
      <c r="K140" s="1">
        <v>292.21285714285716</v>
      </c>
      <c r="L140">
        <v>7</v>
      </c>
      <c r="M140">
        <v>2</v>
      </c>
      <c r="N140">
        <v>1</v>
      </c>
      <c r="O140">
        <v>0</v>
      </c>
      <c r="P140">
        <v>1</v>
      </c>
      <c r="Q140">
        <v>1</v>
      </c>
      <c r="R140">
        <v>162</v>
      </c>
      <c r="S140" s="5">
        <v>1</v>
      </c>
      <c r="T140" s="5">
        <v>2</v>
      </c>
      <c r="U140" s="5">
        <v>3</v>
      </c>
      <c r="V140" s="5">
        <v>6</v>
      </c>
    </row>
    <row r="141" spans="1:22" x14ac:dyDescent="0.35">
      <c r="A141">
        <v>140</v>
      </c>
      <c r="B141">
        <v>53</v>
      </c>
      <c r="C141" t="s">
        <v>74</v>
      </c>
      <c r="D141" t="s">
        <v>5</v>
      </c>
      <c r="E141" t="s">
        <v>8</v>
      </c>
      <c r="F141" t="s">
        <v>13</v>
      </c>
      <c r="G141">
        <v>0</v>
      </c>
      <c r="H141">
        <v>18</v>
      </c>
      <c r="I141" t="s">
        <v>16</v>
      </c>
      <c r="J141" s="1">
        <v>1024.23</v>
      </c>
      <c r="K141" s="1">
        <v>341.41</v>
      </c>
      <c r="L141">
        <v>3</v>
      </c>
      <c r="M141">
        <v>1</v>
      </c>
      <c r="N141">
        <v>0</v>
      </c>
      <c r="O141">
        <v>0</v>
      </c>
      <c r="P141">
        <v>0</v>
      </c>
      <c r="Q141">
        <v>1</v>
      </c>
      <c r="R141">
        <v>110</v>
      </c>
      <c r="S141" s="5">
        <v>1</v>
      </c>
      <c r="T141" s="5">
        <v>2</v>
      </c>
      <c r="U141" s="5">
        <v>2</v>
      </c>
      <c r="V141" s="5">
        <v>5</v>
      </c>
    </row>
    <row r="142" spans="1:22" x14ac:dyDescent="0.35">
      <c r="A142">
        <v>141</v>
      </c>
      <c r="B142">
        <v>38</v>
      </c>
      <c r="C142" t="s">
        <v>75</v>
      </c>
      <c r="D142" t="s">
        <v>6</v>
      </c>
      <c r="E142" t="s">
        <v>9</v>
      </c>
      <c r="F142" t="s">
        <v>12</v>
      </c>
      <c r="G142">
        <v>0</v>
      </c>
      <c r="H142">
        <v>41</v>
      </c>
      <c r="I142" t="s">
        <v>18</v>
      </c>
      <c r="J142" s="1">
        <v>2483.7500000000005</v>
      </c>
      <c r="K142" s="1">
        <v>354.82142857142861</v>
      </c>
      <c r="L142">
        <v>7</v>
      </c>
      <c r="M142">
        <v>2</v>
      </c>
      <c r="N142">
        <v>0</v>
      </c>
      <c r="O142">
        <v>1</v>
      </c>
      <c r="P142">
        <v>0</v>
      </c>
      <c r="Q142">
        <v>0</v>
      </c>
      <c r="R142">
        <v>27</v>
      </c>
      <c r="S142" s="5">
        <v>3</v>
      </c>
      <c r="T142" s="5">
        <v>2</v>
      </c>
      <c r="U142" s="5">
        <v>3</v>
      </c>
      <c r="V142" s="5">
        <v>8</v>
      </c>
    </row>
    <row r="143" spans="1:22" x14ac:dyDescent="0.35">
      <c r="A143">
        <v>142</v>
      </c>
      <c r="B143">
        <v>35</v>
      </c>
      <c r="C143" t="s">
        <v>75</v>
      </c>
      <c r="D143" t="s">
        <v>5</v>
      </c>
      <c r="E143" t="s">
        <v>10</v>
      </c>
      <c r="F143" t="s">
        <v>13</v>
      </c>
      <c r="G143">
        <v>0</v>
      </c>
      <c r="H143">
        <v>18</v>
      </c>
      <c r="I143" t="s">
        <v>16</v>
      </c>
      <c r="J143" s="1">
        <v>1391.9899999999998</v>
      </c>
      <c r="K143" s="1">
        <v>278.39799999999997</v>
      </c>
      <c r="L143">
        <v>5</v>
      </c>
      <c r="M143">
        <v>1</v>
      </c>
      <c r="N143">
        <v>1</v>
      </c>
      <c r="O143">
        <v>0</v>
      </c>
      <c r="P143">
        <v>0</v>
      </c>
      <c r="Q143">
        <v>1</v>
      </c>
      <c r="R143">
        <v>31</v>
      </c>
      <c r="S143" s="5">
        <v>2</v>
      </c>
      <c r="T143" s="5">
        <v>2</v>
      </c>
      <c r="U143" s="5">
        <v>2</v>
      </c>
      <c r="V143" s="5">
        <v>6</v>
      </c>
    </row>
    <row r="144" spans="1:22" x14ac:dyDescent="0.35">
      <c r="A144">
        <v>143</v>
      </c>
      <c r="B144">
        <v>68</v>
      </c>
      <c r="C144" t="s">
        <v>72</v>
      </c>
      <c r="D144" t="s">
        <v>6</v>
      </c>
      <c r="E144" t="s">
        <v>9</v>
      </c>
      <c r="F144" t="s">
        <v>11</v>
      </c>
      <c r="G144">
        <v>0</v>
      </c>
      <c r="H144">
        <v>13</v>
      </c>
      <c r="I144" t="s">
        <v>17</v>
      </c>
      <c r="J144" s="1">
        <v>343.27</v>
      </c>
      <c r="K144" s="1">
        <v>171.63499999999999</v>
      </c>
      <c r="L144">
        <v>2</v>
      </c>
      <c r="M144">
        <v>1</v>
      </c>
      <c r="N144">
        <v>0</v>
      </c>
      <c r="O144">
        <v>0</v>
      </c>
      <c r="P144">
        <v>1</v>
      </c>
      <c r="Q144">
        <v>0</v>
      </c>
      <c r="R144">
        <v>298</v>
      </c>
      <c r="S144" s="5">
        <v>1</v>
      </c>
      <c r="T144" s="5">
        <v>1</v>
      </c>
      <c r="U144" s="5">
        <v>1</v>
      </c>
      <c r="V144" s="5">
        <v>3</v>
      </c>
    </row>
    <row r="145" spans="1:22" x14ac:dyDescent="0.35">
      <c r="A145">
        <v>144</v>
      </c>
      <c r="B145">
        <v>45</v>
      </c>
      <c r="C145" t="s">
        <v>75</v>
      </c>
      <c r="D145" t="s">
        <v>6</v>
      </c>
      <c r="E145" t="s">
        <v>8</v>
      </c>
      <c r="F145" t="s">
        <v>11</v>
      </c>
      <c r="G145">
        <v>1</v>
      </c>
      <c r="H145">
        <v>39</v>
      </c>
      <c r="I145" t="s">
        <v>18</v>
      </c>
      <c r="J145" s="1">
        <v>419.85</v>
      </c>
      <c r="K145" s="1">
        <v>419.85</v>
      </c>
      <c r="L145">
        <v>1</v>
      </c>
      <c r="M145">
        <v>1</v>
      </c>
      <c r="N145">
        <v>0</v>
      </c>
      <c r="O145">
        <v>0</v>
      </c>
      <c r="P145">
        <v>1</v>
      </c>
      <c r="Q145">
        <v>0</v>
      </c>
      <c r="R145">
        <v>65</v>
      </c>
      <c r="S145" s="5">
        <v>2</v>
      </c>
      <c r="T145" s="5">
        <v>1</v>
      </c>
      <c r="U145" s="5">
        <v>1</v>
      </c>
      <c r="V145" s="5">
        <v>4</v>
      </c>
    </row>
    <row r="146" spans="1:22" x14ac:dyDescent="0.35">
      <c r="A146">
        <v>145</v>
      </c>
      <c r="B146">
        <v>32</v>
      </c>
      <c r="C146" t="s">
        <v>75</v>
      </c>
      <c r="D146" t="s">
        <v>6</v>
      </c>
      <c r="E146" t="s">
        <v>8</v>
      </c>
      <c r="F146" t="s">
        <v>13</v>
      </c>
      <c r="G146">
        <v>0</v>
      </c>
      <c r="H146">
        <v>16</v>
      </c>
      <c r="I146" t="s">
        <v>18</v>
      </c>
      <c r="J146" s="1">
        <v>1768.7</v>
      </c>
      <c r="K146" s="1">
        <v>353.74</v>
      </c>
      <c r="L146">
        <v>5</v>
      </c>
      <c r="M146">
        <v>2</v>
      </c>
      <c r="N146">
        <v>1</v>
      </c>
      <c r="O146">
        <v>1</v>
      </c>
      <c r="P146">
        <v>0</v>
      </c>
      <c r="Q146">
        <v>1</v>
      </c>
      <c r="R146">
        <v>13</v>
      </c>
      <c r="S146" s="5">
        <v>3</v>
      </c>
      <c r="T146" s="5">
        <v>2</v>
      </c>
      <c r="U146" s="5">
        <v>3</v>
      </c>
      <c r="V146" s="5">
        <v>8</v>
      </c>
    </row>
    <row r="147" spans="1:22" x14ac:dyDescent="0.35">
      <c r="A147">
        <v>146</v>
      </c>
      <c r="B147">
        <v>59</v>
      </c>
      <c r="C147" t="s">
        <v>74</v>
      </c>
      <c r="D147" t="s">
        <v>6</v>
      </c>
      <c r="E147" t="s">
        <v>10</v>
      </c>
      <c r="F147" t="s">
        <v>11</v>
      </c>
      <c r="G147">
        <v>0</v>
      </c>
      <c r="H147">
        <v>8</v>
      </c>
      <c r="I147" t="s">
        <v>16</v>
      </c>
      <c r="J147" s="1">
        <v>1373.73</v>
      </c>
      <c r="K147" s="1">
        <v>274.74599999999998</v>
      </c>
      <c r="L147">
        <v>5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7</v>
      </c>
      <c r="S147" s="5">
        <v>3</v>
      </c>
      <c r="T147" s="5">
        <v>2</v>
      </c>
      <c r="U147" s="5">
        <v>2</v>
      </c>
      <c r="V147" s="5">
        <v>7</v>
      </c>
    </row>
    <row r="148" spans="1:22" x14ac:dyDescent="0.35">
      <c r="A148">
        <v>147</v>
      </c>
      <c r="B148">
        <v>19</v>
      </c>
      <c r="C148" t="s">
        <v>73</v>
      </c>
      <c r="D148" t="s">
        <v>6</v>
      </c>
      <c r="E148" t="s">
        <v>9</v>
      </c>
      <c r="F148" t="s">
        <v>13</v>
      </c>
      <c r="G148">
        <v>0</v>
      </c>
      <c r="H148">
        <v>34</v>
      </c>
      <c r="I148" t="s">
        <v>16</v>
      </c>
      <c r="J148" s="1">
        <v>2260.34</v>
      </c>
      <c r="K148" s="1">
        <v>282.54250000000002</v>
      </c>
      <c r="L148">
        <v>8</v>
      </c>
      <c r="M148">
        <v>2</v>
      </c>
      <c r="N148">
        <v>1</v>
      </c>
      <c r="O148">
        <v>1</v>
      </c>
      <c r="P148">
        <v>0</v>
      </c>
      <c r="Q148">
        <v>1</v>
      </c>
      <c r="R148">
        <v>34</v>
      </c>
      <c r="S148" s="5">
        <v>2</v>
      </c>
      <c r="T148" s="5">
        <v>3</v>
      </c>
      <c r="U148" s="5">
        <v>3</v>
      </c>
      <c r="V148" s="5">
        <v>8</v>
      </c>
    </row>
    <row r="149" spans="1:22" x14ac:dyDescent="0.35">
      <c r="A149">
        <v>148</v>
      </c>
      <c r="B149">
        <v>54</v>
      </c>
      <c r="C149" t="s">
        <v>74</v>
      </c>
      <c r="D149" t="s">
        <v>6</v>
      </c>
      <c r="E149" t="s">
        <v>8</v>
      </c>
      <c r="F149" t="s">
        <v>12</v>
      </c>
      <c r="G149">
        <v>0</v>
      </c>
      <c r="H149">
        <v>29</v>
      </c>
      <c r="I149" t="s">
        <v>17</v>
      </c>
      <c r="J149" s="1">
        <v>13.04</v>
      </c>
      <c r="K149" s="1">
        <v>13.04</v>
      </c>
      <c r="L149">
        <v>1</v>
      </c>
      <c r="M149">
        <v>2</v>
      </c>
      <c r="N149">
        <v>1</v>
      </c>
      <c r="O149">
        <v>1</v>
      </c>
      <c r="P149">
        <v>1</v>
      </c>
      <c r="Q149">
        <v>0</v>
      </c>
      <c r="R149">
        <v>28</v>
      </c>
      <c r="S149" s="5">
        <v>3</v>
      </c>
      <c r="T149" s="5">
        <v>1</v>
      </c>
      <c r="U149" s="5">
        <v>1</v>
      </c>
      <c r="V149" s="5">
        <v>5</v>
      </c>
    </row>
    <row r="150" spans="1:22" x14ac:dyDescent="0.35">
      <c r="A150">
        <v>149</v>
      </c>
      <c r="B150">
        <v>28</v>
      </c>
      <c r="C150" t="s">
        <v>73</v>
      </c>
      <c r="D150" t="s">
        <v>5</v>
      </c>
      <c r="E150" t="s">
        <v>7</v>
      </c>
      <c r="F150" t="s">
        <v>12</v>
      </c>
      <c r="G150">
        <v>0</v>
      </c>
      <c r="H150">
        <v>6</v>
      </c>
      <c r="I150" t="s">
        <v>18</v>
      </c>
      <c r="J150" s="1">
        <v>444.84</v>
      </c>
      <c r="K150" s="1">
        <v>444.84</v>
      </c>
      <c r="L150">
        <v>1</v>
      </c>
      <c r="M150">
        <v>1</v>
      </c>
      <c r="N150">
        <v>0</v>
      </c>
      <c r="O150">
        <v>1</v>
      </c>
      <c r="P150">
        <v>0</v>
      </c>
      <c r="Q150">
        <v>0</v>
      </c>
      <c r="R150">
        <v>247</v>
      </c>
      <c r="S150" s="5">
        <v>1</v>
      </c>
      <c r="T150" s="5">
        <v>1</v>
      </c>
      <c r="U150" s="5">
        <v>1</v>
      </c>
      <c r="V150" s="5">
        <v>3</v>
      </c>
    </row>
    <row r="151" spans="1:22" x14ac:dyDescent="0.35">
      <c r="A151">
        <v>150</v>
      </c>
      <c r="B151">
        <v>40</v>
      </c>
      <c r="C151" t="s">
        <v>75</v>
      </c>
      <c r="D151" t="s">
        <v>6</v>
      </c>
      <c r="E151" t="s">
        <v>9</v>
      </c>
      <c r="F151" t="s">
        <v>12</v>
      </c>
      <c r="G151">
        <v>0</v>
      </c>
      <c r="H151">
        <v>38</v>
      </c>
      <c r="I151" t="s">
        <v>16</v>
      </c>
      <c r="J151" s="1">
        <v>1193.26</v>
      </c>
      <c r="K151" s="1">
        <v>149.1575</v>
      </c>
      <c r="L151">
        <v>8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18</v>
      </c>
      <c r="S151" s="5">
        <v>3</v>
      </c>
      <c r="T151" s="5">
        <v>3</v>
      </c>
      <c r="U151" s="5">
        <v>2</v>
      </c>
      <c r="V151" s="5">
        <v>8</v>
      </c>
    </row>
    <row r="152" spans="1:22" x14ac:dyDescent="0.35">
      <c r="A152">
        <v>151</v>
      </c>
      <c r="B152">
        <v>61</v>
      </c>
      <c r="C152" t="s">
        <v>72</v>
      </c>
      <c r="D152" t="s">
        <v>5</v>
      </c>
      <c r="E152" t="s">
        <v>7</v>
      </c>
      <c r="F152" t="s">
        <v>12</v>
      </c>
      <c r="G152">
        <v>0</v>
      </c>
      <c r="H152">
        <v>36</v>
      </c>
      <c r="I152" t="s">
        <v>16</v>
      </c>
      <c r="J152" s="1">
        <v>334.2</v>
      </c>
      <c r="K152" s="1">
        <v>334.2</v>
      </c>
      <c r="L152">
        <v>1</v>
      </c>
      <c r="M152">
        <v>2</v>
      </c>
      <c r="N152">
        <v>1</v>
      </c>
      <c r="O152">
        <v>0</v>
      </c>
      <c r="P152">
        <v>1</v>
      </c>
      <c r="Q152">
        <v>1</v>
      </c>
      <c r="R152">
        <v>11</v>
      </c>
      <c r="S152" s="5">
        <v>3</v>
      </c>
      <c r="T152" s="5">
        <v>1</v>
      </c>
      <c r="U152" s="5">
        <v>1</v>
      </c>
      <c r="V152" s="5">
        <v>5</v>
      </c>
    </row>
    <row r="153" spans="1:22" x14ac:dyDescent="0.35">
      <c r="A153">
        <v>152</v>
      </c>
      <c r="B153">
        <v>58</v>
      </c>
      <c r="C153" t="s">
        <v>74</v>
      </c>
      <c r="D153" t="s">
        <v>6</v>
      </c>
      <c r="E153" t="s">
        <v>8</v>
      </c>
      <c r="F153" t="s">
        <v>13</v>
      </c>
      <c r="G153">
        <v>0</v>
      </c>
      <c r="H153">
        <v>48</v>
      </c>
      <c r="I153" t="s">
        <v>16</v>
      </c>
      <c r="J153" s="1">
        <v>1448.8000000000002</v>
      </c>
      <c r="K153" s="1">
        <v>206.97142857142859</v>
      </c>
      <c r="L153">
        <v>7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18</v>
      </c>
      <c r="S153" s="5">
        <v>3</v>
      </c>
      <c r="T153" s="5">
        <v>2</v>
      </c>
      <c r="U153" s="5">
        <v>2</v>
      </c>
      <c r="V153" s="5">
        <v>7</v>
      </c>
    </row>
    <row r="154" spans="1:22" x14ac:dyDescent="0.35">
      <c r="A154">
        <v>153</v>
      </c>
      <c r="B154">
        <v>29</v>
      </c>
      <c r="C154" t="s">
        <v>73</v>
      </c>
      <c r="D154" t="s">
        <v>5</v>
      </c>
      <c r="E154" t="s">
        <v>8</v>
      </c>
      <c r="F154" t="s">
        <v>11</v>
      </c>
      <c r="G154">
        <v>0</v>
      </c>
      <c r="H154">
        <v>42</v>
      </c>
      <c r="I154" t="s">
        <v>18</v>
      </c>
      <c r="J154" s="1">
        <v>1735.1599999999999</v>
      </c>
      <c r="K154" s="1">
        <v>347.03199999999998</v>
      </c>
      <c r="L154">
        <v>5</v>
      </c>
      <c r="M154">
        <v>1</v>
      </c>
      <c r="N154">
        <v>1</v>
      </c>
      <c r="O154">
        <v>1</v>
      </c>
      <c r="P154">
        <v>0</v>
      </c>
      <c r="Q154">
        <v>0</v>
      </c>
      <c r="R154">
        <v>82</v>
      </c>
      <c r="S154" s="5">
        <v>2</v>
      </c>
      <c r="T154" s="5">
        <v>2</v>
      </c>
      <c r="U154" s="5">
        <v>3</v>
      </c>
      <c r="V154" s="5">
        <v>7</v>
      </c>
    </row>
    <row r="155" spans="1:22" x14ac:dyDescent="0.35">
      <c r="A155">
        <v>154</v>
      </c>
      <c r="B155">
        <v>20</v>
      </c>
      <c r="C155" t="s">
        <v>73</v>
      </c>
      <c r="D155" t="s">
        <v>6</v>
      </c>
      <c r="E155" t="s">
        <v>10</v>
      </c>
      <c r="F155" t="s">
        <v>13</v>
      </c>
      <c r="G155">
        <v>0</v>
      </c>
      <c r="H155">
        <v>26</v>
      </c>
      <c r="I155" t="s">
        <v>16</v>
      </c>
      <c r="J155" s="1">
        <v>1753.55</v>
      </c>
      <c r="K155" s="1">
        <v>250.50714285714284</v>
      </c>
      <c r="L155">
        <v>7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139</v>
      </c>
      <c r="S155" s="5">
        <v>1</v>
      </c>
      <c r="T155" s="5">
        <v>2</v>
      </c>
      <c r="U155" s="5">
        <v>3</v>
      </c>
      <c r="V155" s="5">
        <v>6</v>
      </c>
    </row>
    <row r="156" spans="1:22" x14ac:dyDescent="0.35">
      <c r="A156">
        <v>155</v>
      </c>
      <c r="B156">
        <v>69</v>
      </c>
      <c r="C156" t="s">
        <v>72</v>
      </c>
      <c r="D156" t="s">
        <v>5</v>
      </c>
      <c r="E156" t="s">
        <v>10</v>
      </c>
      <c r="F156" t="s">
        <v>11</v>
      </c>
      <c r="G156">
        <v>0</v>
      </c>
      <c r="H156">
        <v>18</v>
      </c>
      <c r="I156" t="s">
        <v>17</v>
      </c>
      <c r="J156" s="1">
        <v>1883.08</v>
      </c>
      <c r="K156" s="1">
        <v>235.38499999999999</v>
      </c>
      <c r="L156">
        <v>8</v>
      </c>
      <c r="M156">
        <v>2</v>
      </c>
      <c r="N156">
        <v>0</v>
      </c>
      <c r="O156">
        <v>1</v>
      </c>
      <c r="P156">
        <v>0</v>
      </c>
      <c r="Q156">
        <v>0</v>
      </c>
      <c r="R156">
        <v>73</v>
      </c>
      <c r="S156" s="5">
        <v>2</v>
      </c>
      <c r="T156" s="5">
        <v>3</v>
      </c>
      <c r="U156" s="5">
        <v>3</v>
      </c>
      <c r="V156" s="5">
        <v>8</v>
      </c>
    </row>
    <row r="157" spans="1:22" x14ac:dyDescent="0.35">
      <c r="A157">
        <v>156</v>
      </c>
      <c r="B157">
        <v>34</v>
      </c>
      <c r="C157" t="s">
        <v>75</v>
      </c>
      <c r="D157" t="s">
        <v>6</v>
      </c>
      <c r="E157" t="s">
        <v>9</v>
      </c>
      <c r="F157" t="s">
        <v>13</v>
      </c>
      <c r="G157">
        <v>0</v>
      </c>
      <c r="H157">
        <v>11</v>
      </c>
      <c r="I157" t="s">
        <v>16</v>
      </c>
      <c r="J157" s="1">
        <v>702.92</v>
      </c>
      <c r="K157" s="1">
        <v>100.41714285714285</v>
      </c>
      <c r="L157">
        <v>7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189</v>
      </c>
      <c r="S157" s="5">
        <v>1</v>
      </c>
      <c r="T157" s="5">
        <v>2</v>
      </c>
      <c r="U157" s="5">
        <v>1</v>
      </c>
      <c r="V157" s="5">
        <v>4</v>
      </c>
    </row>
    <row r="158" spans="1:22" x14ac:dyDescent="0.35">
      <c r="A158">
        <v>157</v>
      </c>
      <c r="B158">
        <v>50</v>
      </c>
      <c r="C158" t="s">
        <v>74</v>
      </c>
      <c r="D158" t="s">
        <v>5</v>
      </c>
      <c r="E158" t="s">
        <v>8</v>
      </c>
      <c r="F158" t="s">
        <v>11</v>
      </c>
      <c r="G158">
        <v>0</v>
      </c>
      <c r="H158">
        <v>27</v>
      </c>
      <c r="I158" t="s">
        <v>16</v>
      </c>
      <c r="J158" s="1">
        <v>2412.6800000000003</v>
      </c>
      <c r="K158" s="1">
        <v>344.66857142857145</v>
      </c>
      <c r="L158">
        <v>7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52</v>
      </c>
      <c r="S158" s="5">
        <v>2</v>
      </c>
      <c r="T158" s="5">
        <v>2</v>
      </c>
      <c r="U158" s="5">
        <v>3</v>
      </c>
      <c r="V158" s="5">
        <v>7</v>
      </c>
    </row>
    <row r="159" spans="1:22" x14ac:dyDescent="0.35">
      <c r="A159">
        <v>158</v>
      </c>
      <c r="B159">
        <v>18</v>
      </c>
      <c r="C159" t="s">
        <v>73</v>
      </c>
      <c r="D159" t="s">
        <v>6</v>
      </c>
      <c r="E159" t="s">
        <v>8</v>
      </c>
      <c r="F159" t="s">
        <v>11</v>
      </c>
      <c r="G159">
        <v>0</v>
      </c>
      <c r="H159">
        <v>30</v>
      </c>
      <c r="I159" t="s">
        <v>18</v>
      </c>
      <c r="J159" s="1">
        <v>1471.29</v>
      </c>
      <c r="K159" s="1">
        <v>210.18428571428572</v>
      </c>
      <c r="L159">
        <v>7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71</v>
      </c>
      <c r="S159" s="5">
        <v>2</v>
      </c>
      <c r="T159" s="5">
        <v>2</v>
      </c>
      <c r="U159" s="5">
        <v>2</v>
      </c>
      <c r="V159" s="5">
        <v>6</v>
      </c>
    </row>
    <row r="160" spans="1:22" x14ac:dyDescent="0.35">
      <c r="A160">
        <v>159</v>
      </c>
      <c r="B160">
        <v>56</v>
      </c>
      <c r="C160" t="s">
        <v>74</v>
      </c>
      <c r="D160" t="s">
        <v>5</v>
      </c>
      <c r="E160" t="s">
        <v>8</v>
      </c>
      <c r="F160" t="s">
        <v>13</v>
      </c>
      <c r="G160">
        <v>0</v>
      </c>
      <c r="H160">
        <v>18</v>
      </c>
      <c r="I160" t="s">
        <v>17</v>
      </c>
      <c r="J160" s="1">
        <v>25.75</v>
      </c>
      <c r="K160" s="1">
        <v>25.75</v>
      </c>
      <c r="L160">
        <v>1</v>
      </c>
      <c r="M160">
        <v>2</v>
      </c>
      <c r="N160">
        <v>1</v>
      </c>
      <c r="O160">
        <v>1</v>
      </c>
      <c r="P160">
        <v>1</v>
      </c>
      <c r="Q160">
        <v>0</v>
      </c>
      <c r="R160">
        <v>276</v>
      </c>
      <c r="S160" s="5">
        <v>1</v>
      </c>
      <c r="T160" s="5">
        <v>1</v>
      </c>
      <c r="U160" s="5">
        <v>1</v>
      </c>
      <c r="V160" s="5">
        <v>3</v>
      </c>
    </row>
    <row r="161" spans="1:22" x14ac:dyDescent="0.35">
      <c r="A161">
        <v>160</v>
      </c>
      <c r="B161">
        <v>37</v>
      </c>
      <c r="C161" t="s">
        <v>75</v>
      </c>
      <c r="D161" t="s">
        <v>5</v>
      </c>
      <c r="E161" t="s">
        <v>8</v>
      </c>
      <c r="F161" t="s">
        <v>12</v>
      </c>
      <c r="G161">
        <v>1</v>
      </c>
      <c r="H161">
        <v>43</v>
      </c>
      <c r="I161" t="s">
        <v>18</v>
      </c>
      <c r="J161" s="1">
        <v>2053.13</v>
      </c>
      <c r="K161" s="1">
        <v>256.64125000000001</v>
      </c>
      <c r="L161">
        <v>8</v>
      </c>
      <c r="M161">
        <v>2</v>
      </c>
      <c r="N161">
        <v>1</v>
      </c>
      <c r="O161">
        <v>1</v>
      </c>
      <c r="P161">
        <v>1</v>
      </c>
      <c r="Q161">
        <v>0</v>
      </c>
      <c r="R161">
        <v>18</v>
      </c>
      <c r="S161" s="5">
        <v>3</v>
      </c>
      <c r="T161" s="5">
        <v>3</v>
      </c>
      <c r="U161" s="5">
        <v>3</v>
      </c>
      <c r="V161" s="5">
        <v>9</v>
      </c>
    </row>
    <row r="162" spans="1:22" x14ac:dyDescent="0.35">
      <c r="A162">
        <v>161</v>
      </c>
      <c r="B162">
        <v>64</v>
      </c>
      <c r="C162" t="s">
        <v>72</v>
      </c>
      <c r="D162" t="s">
        <v>5</v>
      </c>
      <c r="E162" t="s">
        <v>7</v>
      </c>
      <c r="F162" t="s">
        <v>13</v>
      </c>
      <c r="G162">
        <v>0</v>
      </c>
      <c r="H162">
        <v>4</v>
      </c>
      <c r="I162" t="s">
        <v>16</v>
      </c>
      <c r="J162" s="1">
        <v>1983.84</v>
      </c>
      <c r="K162" s="1">
        <v>330.64</v>
      </c>
      <c r="L162">
        <v>6</v>
      </c>
      <c r="M162">
        <v>1</v>
      </c>
      <c r="N162">
        <v>1</v>
      </c>
      <c r="O162">
        <v>1</v>
      </c>
      <c r="P162">
        <v>0</v>
      </c>
      <c r="Q162">
        <v>0</v>
      </c>
      <c r="R162">
        <v>121</v>
      </c>
      <c r="S162" s="5">
        <v>1</v>
      </c>
      <c r="T162" s="5">
        <v>2</v>
      </c>
      <c r="U162" s="5">
        <v>3</v>
      </c>
      <c r="V162" s="5">
        <v>6</v>
      </c>
    </row>
    <row r="163" spans="1:22" x14ac:dyDescent="0.35">
      <c r="A163">
        <v>162</v>
      </c>
      <c r="B163">
        <v>60</v>
      </c>
      <c r="C163" t="s">
        <v>74</v>
      </c>
      <c r="D163" t="s">
        <v>6</v>
      </c>
      <c r="E163" t="s">
        <v>8</v>
      </c>
      <c r="F163" t="s">
        <v>12</v>
      </c>
      <c r="G163">
        <v>0</v>
      </c>
      <c r="H163">
        <v>6</v>
      </c>
      <c r="I163" t="s">
        <v>16</v>
      </c>
      <c r="J163" s="1">
        <v>425.88000000000005</v>
      </c>
      <c r="K163" s="1">
        <v>141.96</v>
      </c>
      <c r="L163">
        <v>3</v>
      </c>
      <c r="M163">
        <v>2</v>
      </c>
      <c r="N163">
        <v>1</v>
      </c>
      <c r="O163">
        <v>1</v>
      </c>
      <c r="P163">
        <v>0</v>
      </c>
      <c r="Q163">
        <v>1</v>
      </c>
      <c r="R163">
        <v>137</v>
      </c>
      <c r="S163" s="5">
        <v>1</v>
      </c>
      <c r="T163" s="5">
        <v>2</v>
      </c>
      <c r="U163" s="5">
        <v>1</v>
      </c>
      <c r="V163" s="5">
        <v>4</v>
      </c>
    </row>
    <row r="164" spans="1:22" x14ac:dyDescent="0.35">
      <c r="A164">
        <v>163</v>
      </c>
      <c r="B164">
        <v>69</v>
      </c>
      <c r="C164" t="s">
        <v>72</v>
      </c>
      <c r="D164" t="s">
        <v>5</v>
      </c>
      <c r="E164" t="s">
        <v>10</v>
      </c>
      <c r="F164" t="s">
        <v>13</v>
      </c>
      <c r="G164">
        <v>0</v>
      </c>
      <c r="H164">
        <v>22</v>
      </c>
      <c r="I164" t="s">
        <v>16</v>
      </c>
      <c r="J164" s="1">
        <v>1064.8799999999999</v>
      </c>
      <c r="K164" s="1">
        <v>354.96</v>
      </c>
      <c r="L164">
        <v>3</v>
      </c>
      <c r="M164">
        <v>2</v>
      </c>
      <c r="N164">
        <v>1</v>
      </c>
      <c r="O164">
        <v>0</v>
      </c>
      <c r="P164">
        <v>1</v>
      </c>
      <c r="Q164">
        <v>1</v>
      </c>
      <c r="R164">
        <v>24</v>
      </c>
      <c r="S164" s="5">
        <v>3</v>
      </c>
      <c r="T164" s="5">
        <v>2</v>
      </c>
      <c r="U164" s="5">
        <v>2</v>
      </c>
      <c r="V164" s="5">
        <v>7</v>
      </c>
    </row>
    <row r="165" spans="1:22" x14ac:dyDescent="0.35">
      <c r="A165">
        <v>164</v>
      </c>
      <c r="B165">
        <v>58</v>
      </c>
      <c r="C165" t="s">
        <v>74</v>
      </c>
      <c r="D165" t="s">
        <v>6</v>
      </c>
      <c r="E165" t="s">
        <v>9</v>
      </c>
      <c r="F165" t="s">
        <v>11</v>
      </c>
      <c r="G165">
        <v>1</v>
      </c>
      <c r="H165">
        <v>2</v>
      </c>
      <c r="I165" t="s">
        <v>17</v>
      </c>
      <c r="J165" s="1">
        <v>955.49</v>
      </c>
      <c r="K165" s="1">
        <v>191.09800000000001</v>
      </c>
      <c r="L165">
        <v>5</v>
      </c>
      <c r="M165">
        <v>1</v>
      </c>
      <c r="N165">
        <v>0</v>
      </c>
      <c r="O165">
        <v>0</v>
      </c>
      <c r="P165">
        <v>0</v>
      </c>
      <c r="Q165">
        <v>1</v>
      </c>
      <c r="R165">
        <v>73</v>
      </c>
      <c r="S165" s="5">
        <v>2</v>
      </c>
      <c r="T165" s="5">
        <v>2</v>
      </c>
      <c r="U165" s="5">
        <v>2</v>
      </c>
      <c r="V165" s="5">
        <v>6</v>
      </c>
    </row>
    <row r="166" spans="1:22" x14ac:dyDescent="0.35">
      <c r="A166">
        <v>165</v>
      </c>
      <c r="B166">
        <v>31</v>
      </c>
      <c r="C166" t="s">
        <v>75</v>
      </c>
      <c r="D166" t="s">
        <v>6</v>
      </c>
      <c r="E166" t="s">
        <v>9</v>
      </c>
      <c r="F166" t="s">
        <v>12</v>
      </c>
      <c r="G166">
        <v>0</v>
      </c>
      <c r="H166">
        <v>47</v>
      </c>
      <c r="I166" t="s">
        <v>16</v>
      </c>
      <c r="J166" s="1">
        <v>181.34</v>
      </c>
      <c r="K166" s="1">
        <v>181.34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85</v>
      </c>
      <c r="S166" s="5">
        <v>1</v>
      </c>
      <c r="T166" s="5">
        <v>1</v>
      </c>
      <c r="U166" s="5">
        <v>1</v>
      </c>
      <c r="V166" s="5">
        <v>3</v>
      </c>
    </row>
    <row r="167" spans="1:22" x14ac:dyDescent="0.35">
      <c r="A167">
        <v>166</v>
      </c>
      <c r="B167">
        <v>48</v>
      </c>
      <c r="C167" t="s">
        <v>74</v>
      </c>
      <c r="D167" t="s">
        <v>6</v>
      </c>
      <c r="E167" t="s">
        <v>9</v>
      </c>
      <c r="F167" t="s">
        <v>11</v>
      </c>
      <c r="G167">
        <v>0</v>
      </c>
      <c r="H167">
        <v>48</v>
      </c>
      <c r="I167" t="s">
        <v>18</v>
      </c>
      <c r="J167" s="1">
        <v>1241.5</v>
      </c>
      <c r="K167" s="1">
        <v>248.3</v>
      </c>
      <c r="L167">
        <v>5</v>
      </c>
      <c r="M167">
        <v>1</v>
      </c>
      <c r="N167">
        <v>0</v>
      </c>
      <c r="O167">
        <v>0</v>
      </c>
      <c r="P167">
        <v>0</v>
      </c>
      <c r="Q167">
        <v>1</v>
      </c>
      <c r="R167">
        <v>23</v>
      </c>
      <c r="S167" s="5">
        <v>3</v>
      </c>
      <c r="T167" s="5">
        <v>2</v>
      </c>
      <c r="U167" s="5">
        <v>2</v>
      </c>
      <c r="V167" s="5">
        <v>7</v>
      </c>
    </row>
    <row r="168" spans="1:22" x14ac:dyDescent="0.35">
      <c r="A168">
        <v>167</v>
      </c>
      <c r="B168">
        <v>42</v>
      </c>
      <c r="C168" t="s">
        <v>75</v>
      </c>
      <c r="D168" t="s">
        <v>6</v>
      </c>
      <c r="E168" t="s">
        <v>7</v>
      </c>
      <c r="F168" t="s">
        <v>11</v>
      </c>
      <c r="G168">
        <v>0</v>
      </c>
      <c r="H168">
        <v>40</v>
      </c>
      <c r="I168" t="s">
        <v>17</v>
      </c>
      <c r="J168" s="1">
        <v>2356.3500000000004</v>
      </c>
      <c r="K168" s="1">
        <v>294.54375000000005</v>
      </c>
      <c r="L168">
        <v>8</v>
      </c>
      <c r="M168">
        <v>1</v>
      </c>
      <c r="N168">
        <v>0</v>
      </c>
      <c r="O168">
        <v>0</v>
      </c>
      <c r="P168">
        <v>0</v>
      </c>
      <c r="Q168">
        <v>1</v>
      </c>
      <c r="R168">
        <v>4</v>
      </c>
      <c r="S168" s="5">
        <v>3</v>
      </c>
      <c r="T168" s="5">
        <v>3</v>
      </c>
      <c r="U168" s="5">
        <v>3</v>
      </c>
      <c r="V168" s="5">
        <v>9</v>
      </c>
    </row>
    <row r="169" spans="1:22" x14ac:dyDescent="0.35">
      <c r="A169">
        <v>168</v>
      </c>
      <c r="B169">
        <v>20</v>
      </c>
      <c r="C169" t="s">
        <v>73</v>
      </c>
      <c r="D169" t="s">
        <v>5</v>
      </c>
      <c r="E169" t="s">
        <v>8</v>
      </c>
      <c r="F169" t="s">
        <v>11</v>
      </c>
      <c r="G169">
        <v>1</v>
      </c>
      <c r="H169">
        <v>32</v>
      </c>
      <c r="I169" t="s">
        <v>17</v>
      </c>
      <c r="J169" s="1">
        <v>1126.93</v>
      </c>
      <c r="K169" s="1">
        <v>281.73250000000002</v>
      </c>
      <c r="L169">
        <v>4</v>
      </c>
      <c r="M169">
        <v>2</v>
      </c>
      <c r="N169">
        <v>1</v>
      </c>
      <c r="O169">
        <v>1</v>
      </c>
      <c r="P169">
        <v>0</v>
      </c>
      <c r="Q169">
        <v>0</v>
      </c>
      <c r="R169">
        <v>224</v>
      </c>
      <c r="S169" s="5">
        <v>1</v>
      </c>
      <c r="T169" s="5">
        <v>2</v>
      </c>
      <c r="U169" s="5">
        <v>2</v>
      </c>
      <c r="V169" s="5">
        <v>5</v>
      </c>
    </row>
    <row r="170" spans="1:22" x14ac:dyDescent="0.35">
      <c r="A170">
        <v>169</v>
      </c>
      <c r="B170">
        <v>21</v>
      </c>
      <c r="C170" t="s">
        <v>73</v>
      </c>
      <c r="D170" t="s">
        <v>6</v>
      </c>
      <c r="E170" t="s">
        <v>9</v>
      </c>
      <c r="F170" t="s">
        <v>13</v>
      </c>
      <c r="G170">
        <v>0</v>
      </c>
      <c r="H170">
        <v>39</v>
      </c>
      <c r="I170" t="s">
        <v>16</v>
      </c>
      <c r="J170" s="1">
        <v>2164.75</v>
      </c>
      <c r="K170" s="1">
        <v>240.52777777777777</v>
      </c>
      <c r="L170">
        <v>9</v>
      </c>
      <c r="M170">
        <v>1</v>
      </c>
      <c r="N170">
        <v>1</v>
      </c>
      <c r="O170">
        <v>0</v>
      </c>
      <c r="P170">
        <v>1</v>
      </c>
      <c r="Q170">
        <v>0</v>
      </c>
      <c r="R170">
        <v>16</v>
      </c>
      <c r="S170" s="5">
        <v>3</v>
      </c>
      <c r="T170" s="5">
        <v>3</v>
      </c>
      <c r="U170" s="5">
        <v>3</v>
      </c>
      <c r="V170" s="5">
        <v>9</v>
      </c>
    </row>
    <row r="171" spans="1:22" x14ac:dyDescent="0.35">
      <c r="A171">
        <v>170</v>
      </c>
      <c r="B171">
        <v>48</v>
      </c>
      <c r="C171" t="s">
        <v>74</v>
      </c>
      <c r="D171" t="s">
        <v>5</v>
      </c>
      <c r="E171" t="s">
        <v>10</v>
      </c>
      <c r="F171" t="s">
        <v>11</v>
      </c>
      <c r="G171">
        <v>1</v>
      </c>
      <c r="H171">
        <v>21</v>
      </c>
      <c r="I171" t="s">
        <v>17</v>
      </c>
      <c r="J171" s="1">
        <v>1448.33</v>
      </c>
      <c r="K171" s="1">
        <v>206.90428571428569</v>
      </c>
      <c r="L171">
        <v>7</v>
      </c>
      <c r="M171">
        <v>1</v>
      </c>
      <c r="N171">
        <v>1</v>
      </c>
      <c r="O171">
        <v>0</v>
      </c>
      <c r="P171">
        <v>1</v>
      </c>
      <c r="Q171">
        <v>0</v>
      </c>
      <c r="R171">
        <v>9</v>
      </c>
      <c r="S171" s="5">
        <v>3</v>
      </c>
      <c r="T171" s="5">
        <v>2</v>
      </c>
      <c r="U171" s="5">
        <v>2</v>
      </c>
      <c r="V171" s="5">
        <v>7</v>
      </c>
    </row>
    <row r="172" spans="1:22" x14ac:dyDescent="0.35">
      <c r="A172">
        <v>171</v>
      </c>
      <c r="B172">
        <v>52</v>
      </c>
      <c r="C172" t="s">
        <v>74</v>
      </c>
      <c r="D172" t="s">
        <v>6</v>
      </c>
      <c r="E172" t="s">
        <v>7</v>
      </c>
      <c r="F172" t="s">
        <v>13</v>
      </c>
      <c r="G172">
        <v>0</v>
      </c>
      <c r="H172">
        <v>8</v>
      </c>
      <c r="I172" t="s">
        <v>16</v>
      </c>
      <c r="J172" s="1">
        <v>2532.71</v>
      </c>
      <c r="K172" s="1">
        <v>361.81571428571431</v>
      </c>
      <c r="L172">
        <v>7</v>
      </c>
      <c r="M172">
        <v>1</v>
      </c>
      <c r="N172">
        <v>0</v>
      </c>
      <c r="O172">
        <v>0</v>
      </c>
      <c r="P172">
        <v>0</v>
      </c>
      <c r="Q172">
        <v>1</v>
      </c>
      <c r="R172">
        <v>101</v>
      </c>
      <c r="S172" s="5">
        <v>1</v>
      </c>
      <c r="T172" s="5">
        <v>2</v>
      </c>
      <c r="U172" s="5">
        <v>3</v>
      </c>
      <c r="V172" s="5">
        <v>6</v>
      </c>
    </row>
    <row r="173" spans="1:22" x14ac:dyDescent="0.35">
      <c r="A173">
        <v>172</v>
      </c>
      <c r="B173">
        <v>61</v>
      </c>
      <c r="C173" t="s">
        <v>72</v>
      </c>
      <c r="D173" t="s">
        <v>5</v>
      </c>
      <c r="E173" t="s">
        <v>8</v>
      </c>
      <c r="F173" t="s">
        <v>12</v>
      </c>
      <c r="G173">
        <v>0</v>
      </c>
      <c r="H173">
        <v>25</v>
      </c>
      <c r="I173" t="s">
        <v>17</v>
      </c>
      <c r="J173" s="1">
        <v>1972.76</v>
      </c>
      <c r="K173" s="1">
        <v>328.79333333333335</v>
      </c>
      <c r="L173">
        <v>6</v>
      </c>
      <c r="M173">
        <v>2</v>
      </c>
      <c r="N173">
        <v>1</v>
      </c>
      <c r="O173">
        <v>1</v>
      </c>
      <c r="P173">
        <v>1</v>
      </c>
      <c r="Q173">
        <v>0</v>
      </c>
      <c r="R173">
        <v>35</v>
      </c>
      <c r="S173" s="5">
        <v>2</v>
      </c>
      <c r="T173" s="5">
        <v>2</v>
      </c>
      <c r="U173" s="5">
        <v>3</v>
      </c>
      <c r="V173" s="5">
        <v>7</v>
      </c>
    </row>
    <row r="174" spans="1:22" x14ac:dyDescent="0.35">
      <c r="A174">
        <v>173</v>
      </c>
      <c r="B174">
        <v>31</v>
      </c>
      <c r="C174" t="s">
        <v>75</v>
      </c>
      <c r="D174" t="s">
        <v>6</v>
      </c>
      <c r="E174" t="s">
        <v>8</v>
      </c>
      <c r="F174" t="s">
        <v>11</v>
      </c>
      <c r="G174">
        <v>0</v>
      </c>
      <c r="H174">
        <v>41</v>
      </c>
      <c r="I174" t="s">
        <v>16</v>
      </c>
      <c r="J174" s="1">
        <v>606.09</v>
      </c>
      <c r="K174" s="1">
        <v>202.03</v>
      </c>
      <c r="L174">
        <v>3</v>
      </c>
      <c r="M174">
        <v>1</v>
      </c>
      <c r="N174">
        <v>0</v>
      </c>
      <c r="O174">
        <v>0</v>
      </c>
      <c r="P174">
        <v>1</v>
      </c>
      <c r="Q174">
        <v>0</v>
      </c>
      <c r="R174">
        <v>82</v>
      </c>
      <c r="S174" s="5">
        <v>2</v>
      </c>
      <c r="T174" s="5">
        <v>2</v>
      </c>
      <c r="U174" s="5">
        <v>1</v>
      </c>
      <c r="V174" s="5">
        <v>5</v>
      </c>
    </row>
    <row r="175" spans="1:22" x14ac:dyDescent="0.35">
      <c r="A175">
        <v>174</v>
      </c>
      <c r="B175">
        <v>66</v>
      </c>
      <c r="C175" t="s">
        <v>72</v>
      </c>
      <c r="D175" t="s">
        <v>6</v>
      </c>
      <c r="E175" t="s">
        <v>8</v>
      </c>
      <c r="F175" t="s">
        <v>12</v>
      </c>
      <c r="G175">
        <v>1</v>
      </c>
      <c r="H175">
        <v>36</v>
      </c>
      <c r="I175" t="s">
        <v>16</v>
      </c>
      <c r="J175" s="1">
        <v>1801.4599999999998</v>
      </c>
      <c r="K175" s="1">
        <v>257.35142857142853</v>
      </c>
      <c r="L175">
        <v>7</v>
      </c>
      <c r="M175">
        <v>1</v>
      </c>
      <c r="N175">
        <v>1</v>
      </c>
      <c r="O175">
        <v>1</v>
      </c>
      <c r="P175">
        <v>0</v>
      </c>
      <c r="Q175">
        <v>0</v>
      </c>
      <c r="R175">
        <v>23</v>
      </c>
      <c r="S175" s="5">
        <v>3</v>
      </c>
      <c r="T175" s="5">
        <v>2</v>
      </c>
      <c r="U175" s="5">
        <v>3</v>
      </c>
      <c r="V175" s="5">
        <v>8</v>
      </c>
    </row>
    <row r="176" spans="1:22" x14ac:dyDescent="0.35">
      <c r="A176">
        <v>175</v>
      </c>
      <c r="B176">
        <v>58</v>
      </c>
      <c r="C176" t="s">
        <v>74</v>
      </c>
      <c r="D176" t="s">
        <v>5</v>
      </c>
      <c r="E176" t="s">
        <v>8</v>
      </c>
      <c r="F176" t="s">
        <v>12</v>
      </c>
      <c r="G176">
        <v>0</v>
      </c>
      <c r="H176">
        <v>4</v>
      </c>
      <c r="I176" t="s">
        <v>17</v>
      </c>
      <c r="J176" s="1">
        <v>1218.8999999999999</v>
      </c>
      <c r="K176" s="1">
        <v>174.12857142857141</v>
      </c>
      <c r="L176">
        <v>7</v>
      </c>
      <c r="M176">
        <v>2</v>
      </c>
      <c r="N176">
        <v>1</v>
      </c>
      <c r="O176">
        <v>0</v>
      </c>
      <c r="P176">
        <v>1</v>
      </c>
      <c r="Q176">
        <v>0</v>
      </c>
      <c r="R176">
        <v>62</v>
      </c>
      <c r="S176" s="5">
        <v>2</v>
      </c>
      <c r="T176" s="5">
        <v>2</v>
      </c>
      <c r="U176" s="5">
        <v>2</v>
      </c>
      <c r="V176" s="5">
        <v>6</v>
      </c>
    </row>
    <row r="177" spans="1:22" x14ac:dyDescent="0.35">
      <c r="A177">
        <v>176</v>
      </c>
      <c r="B177">
        <v>26</v>
      </c>
      <c r="C177" t="s">
        <v>73</v>
      </c>
      <c r="D177" t="s">
        <v>6</v>
      </c>
      <c r="E177" t="s">
        <v>7</v>
      </c>
      <c r="F177" t="s">
        <v>13</v>
      </c>
      <c r="G177">
        <v>1</v>
      </c>
      <c r="H177">
        <v>15</v>
      </c>
      <c r="I177" t="s">
        <v>17</v>
      </c>
      <c r="J177" s="1">
        <v>936.78</v>
      </c>
      <c r="K177" s="1">
        <v>156.13</v>
      </c>
      <c r="L177">
        <v>6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13</v>
      </c>
      <c r="S177" s="5">
        <v>3</v>
      </c>
      <c r="T177" s="5">
        <v>2</v>
      </c>
      <c r="U177" s="5">
        <v>2</v>
      </c>
      <c r="V177" s="5">
        <v>7</v>
      </c>
    </row>
    <row r="178" spans="1:22" x14ac:dyDescent="0.35">
      <c r="A178">
        <v>177</v>
      </c>
      <c r="B178">
        <v>37</v>
      </c>
      <c r="C178" t="s">
        <v>75</v>
      </c>
      <c r="D178" t="s">
        <v>6</v>
      </c>
      <c r="E178" t="s">
        <v>10</v>
      </c>
      <c r="F178" t="s">
        <v>12</v>
      </c>
      <c r="G178">
        <v>0</v>
      </c>
      <c r="H178">
        <v>28</v>
      </c>
      <c r="I178" t="s">
        <v>17</v>
      </c>
      <c r="J178" s="1">
        <v>429.79</v>
      </c>
      <c r="K178" s="1">
        <v>429.79</v>
      </c>
      <c r="L178">
        <v>1</v>
      </c>
      <c r="M178">
        <v>1</v>
      </c>
      <c r="N178">
        <v>1</v>
      </c>
      <c r="O178">
        <v>0</v>
      </c>
      <c r="P178">
        <v>1</v>
      </c>
      <c r="Q178">
        <v>0</v>
      </c>
      <c r="R178">
        <v>110</v>
      </c>
      <c r="S178" s="5">
        <v>1</v>
      </c>
      <c r="T178" s="5">
        <v>1</v>
      </c>
      <c r="U178" s="5">
        <v>1</v>
      </c>
      <c r="V178" s="5">
        <v>3</v>
      </c>
    </row>
    <row r="179" spans="1:22" x14ac:dyDescent="0.35">
      <c r="A179">
        <v>178</v>
      </c>
      <c r="B179">
        <v>49</v>
      </c>
      <c r="C179" t="s">
        <v>74</v>
      </c>
      <c r="D179" t="s">
        <v>6</v>
      </c>
      <c r="E179" t="s">
        <v>8</v>
      </c>
      <c r="F179" t="s">
        <v>13</v>
      </c>
      <c r="G179">
        <v>0</v>
      </c>
      <c r="H179">
        <v>20</v>
      </c>
      <c r="I179" t="s">
        <v>17</v>
      </c>
      <c r="J179" s="1">
        <v>741.63</v>
      </c>
      <c r="K179" s="1">
        <v>247.21</v>
      </c>
      <c r="L179">
        <v>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16</v>
      </c>
      <c r="S179" s="5">
        <v>3</v>
      </c>
      <c r="T179" s="5">
        <v>2</v>
      </c>
      <c r="U179" s="5">
        <v>1</v>
      </c>
      <c r="V179" s="5">
        <v>6</v>
      </c>
    </row>
    <row r="180" spans="1:22" x14ac:dyDescent="0.35">
      <c r="A180">
        <v>179</v>
      </c>
      <c r="B180">
        <v>26</v>
      </c>
      <c r="C180" t="s">
        <v>73</v>
      </c>
      <c r="D180" t="s">
        <v>6</v>
      </c>
      <c r="E180" t="s">
        <v>7</v>
      </c>
      <c r="F180" t="s">
        <v>13</v>
      </c>
      <c r="G180">
        <v>0</v>
      </c>
      <c r="H180">
        <v>38</v>
      </c>
      <c r="I180" t="s">
        <v>17</v>
      </c>
      <c r="J180" s="1">
        <v>412.58000000000004</v>
      </c>
      <c r="K180" s="1">
        <v>206.29000000000002</v>
      </c>
      <c r="L180">
        <v>2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312</v>
      </c>
      <c r="S180" s="5">
        <v>1</v>
      </c>
      <c r="T180" s="5">
        <v>1</v>
      </c>
      <c r="U180" s="5">
        <v>1</v>
      </c>
      <c r="V180" s="5">
        <v>3</v>
      </c>
    </row>
    <row r="181" spans="1:22" x14ac:dyDescent="0.35">
      <c r="A181">
        <v>180</v>
      </c>
      <c r="B181">
        <v>44</v>
      </c>
      <c r="C181" t="s">
        <v>75</v>
      </c>
      <c r="D181" t="s">
        <v>6</v>
      </c>
      <c r="E181" t="s">
        <v>7</v>
      </c>
      <c r="F181" t="s">
        <v>12</v>
      </c>
      <c r="G181">
        <v>0</v>
      </c>
      <c r="H181">
        <v>6</v>
      </c>
      <c r="I181" t="s">
        <v>18</v>
      </c>
      <c r="J181" s="1">
        <v>1985.9300000000003</v>
      </c>
      <c r="K181" s="1">
        <v>283.70428571428573</v>
      </c>
      <c r="L181">
        <v>7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19</v>
      </c>
      <c r="S181" s="5">
        <v>3</v>
      </c>
      <c r="T181" s="5">
        <v>2</v>
      </c>
      <c r="U181" s="5">
        <v>3</v>
      </c>
      <c r="V181" s="5">
        <v>8</v>
      </c>
    </row>
    <row r="182" spans="1:22" x14ac:dyDescent="0.35">
      <c r="A182">
        <v>181</v>
      </c>
      <c r="B182">
        <v>20</v>
      </c>
      <c r="C182" t="s">
        <v>73</v>
      </c>
      <c r="D182" t="s">
        <v>6</v>
      </c>
      <c r="E182" t="s">
        <v>10</v>
      </c>
      <c r="F182" t="s">
        <v>12</v>
      </c>
      <c r="G182">
        <v>0</v>
      </c>
      <c r="H182">
        <v>30</v>
      </c>
      <c r="I182" t="s">
        <v>16</v>
      </c>
      <c r="J182" s="1">
        <v>715.68000000000006</v>
      </c>
      <c r="K182" s="1">
        <v>357.84000000000003</v>
      </c>
      <c r="L182">
        <v>2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20</v>
      </c>
      <c r="S182" s="5">
        <v>3</v>
      </c>
      <c r="T182" s="5">
        <v>1</v>
      </c>
      <c r="U182" s="5">
        <v>1</v>
      </c>
      <c r="V182" s="5">
        <v>5</v>
      </c>
    </row>
    <row r="183" spans="1:22" x14ac:dyDescent="0.35">
      <c r="A183">
        <v>182</v>
      </c>
      <c r="B183">
        <v>21</v>
      </c>
      <c r="C183" t="s">
        <v>73</v>
      </c>
      <c r="D183" t="s">
        <v>6</v>
      </c>
      <c r="E183" t="s">
        <v>7</v>
      </c>
      <c r="F183" t="s">
        <v>12</v>
      </c>
      <c r="G183">
        <v>0</v>
      </c>
      <c r="H183">
        <v>32</v>
      </c>
      <c r="I183" t="s">
        <v>18</v>
      </c>
      <c r="J183" s="1">
        <v>1491.65</v>
      </c>
      <c r="K183" s="1">
        <v>298.33000000000004</v>
      </c>
      <c r="L183">
        <v>5</v>
      </c>
      <c r="M183">
        <v>2</v>
      </c>
      <c r="N183">
        <v>0</v>
      </c>
      <c r="O183">
        <v>0</v>
      </c>
      <c r="P183">
        <v>1</v>
      </c>
      <c r="Q183">
        <v>0</v>
      </c>
      <c r="R183">
        <v>69</v>
      </c>
      <c r="S183" s="5">
        <v>2</v>
      </c>
      <c r="T183" s="5">
        <v>2</v>
      </c>
      <c r="U183" s="5">
        <v>2</v>
      </c>
      <c r="V183" s="5">
        <v>6</v>
      </c>
    </row>
    <row r="184" spans="1:22" x14ac:dyDescent="0.35">
      <c r="A184">
        <v>183</v>
      </c>
      <c r="B184">
        <v>62</v>
      </c>
      <c r="C184" t="s">
        <v>72</v>
      </c>
      <c r="D184" t="s">
        <v>6</v>
      </c>
      <c r="E184" t="s">
        <v>7</v>
      </c>
      <c r="F184" t="s">
        <v>13</v>
      </c>
      <c r="G184">
        <v>1</v>
      </c>
      <c r="H184">
        <v>49</v>
      </c>
      <c r="I184" t="s">
        <v>18</v>
      </c>
      <c r="J184" s="1">
        <v>1135.44</v>
      </c>
      <c r="K184" s="1">
        <v>378.48</v>
      </c>
      <c r="L184">
        <v>3</v>
      </c>
      <c r="M184">
        <v>1</v>
      </c>
      <c r="N184">
        <v>0</v>
      </c>
      <c r="O184">
        <v>0</v>
      </c>
      <c r="P184">
        <v>1</v>
      </c>
      <c r="Q184">
        <v>0</v>
      </c>
      <c r="R184">
        <v>69</v>
      </c>
      <c r="S184" s="5">
        <v>2</v>
      </c>
      <c r="T184" s="5">
        <v>2</v>
      </c>
      <c r="U184" s="5">
        <v>2</v>
      </c>
      <c r="V184" s="5">
        <v>6</v>
      </c>
    </row>
    <row r="185" spans="1:22" x14ac:dyDescent="0.35">
      <c r="A185">
        <v>184</v>
      </c>
      <c r="B185">
        <v>32</v>
      </c>
      <c r="C185" t="s">
        <v>75</v>
      </c>
      <c r="D185" t="s">
        <v>5</v>
      </c>
      <c r="E185" t="s">
        <v>9</v>
      </c>
      <c r="F185" t="s">
        <v>13</v>
      </c>
      <c r="G185">
        <v>0</v>
      </c>
      <c r="H185">
        <v>41</v>
      </c>
      <c r="I185" t="s">
        <v>18</v>
      </c>
      <c r="J185" s="1">
        <v>97.19</v>
      </c>
      <c r="K185" s="1">
        <v>48.594999999999999</v>
      </c>
      <c r="L185">
        <v>2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96</v>
      </c>
      <c r="S185" s="5">
        <v>1</v>
      </c>
      <c r="T185" s="5">
        <v>1</v>
      </c>
      <c r="U185" s="5">
        <v>1</v>
      </c>
      <c r="V185" s="5">
        <v>3</v>
      </c>
    </row>
    <row r="186" spans="1:22" x14ac:dyDescent="0.35">
      <c r="A186">
        <v>185</v>
      </c>
      <c r="B186">
        <v>50</v>
      </c>
      <c r="C186" t="s">
        <v>74</v>
      </c>
      <c r="D186" t="s">
        <v>6</v>
      </c>
      <c r="E186" t="s">
        <v>9</v>
      </c>
      <c r="F186" t="s">
        <v>12</v>
      </c>
      <c r="G186">
        <v>0</v>
      </c>
      <c r="H186">
        <v>4</v>
      </c>
      <c r="I186" t="s">
        <v>18</v>
      </c>
      <c r="J186" s="1">
        <v>1284.8900000000001</v>
      </c>
      <c r="K186" s="1">
        <v>214.14833333333334</v>
      </c>
      <c r="L186">
        <v>6</v>
      </c>
      <c r="M186">
        <v>2</v>
      </c>
      <c r="N186">
        <v>0</v>
      </c>
      <c r="O186">
        <v>1</v>
      </c>
      <c r="P186">
        <v>1</v>
      </c>
      <c r="Q186">
        <v>0</v>
      </c>
      <c r="R186">
        <v>14</v>
      </c>
      <c r="S186" s="5">
        <v>3</v>
      </c>
      <c r="T186" s="5">
        <v>2</v>
      </c>
      <c r="U186" s="5">
        <v>2</v>
      </c>
      <c r="V186" s="5">
        <v>7</v>
      </c>
    </row>
    <row r="187" spans="1:22" x14ac:dyDescent="0.35">
      <c r="A187">
        <v>186</v>
      </c>
      <c r="B187">
        <v>22</v>
      </c>
      <c r="C187" t="s">
        <v>73</v>
      </c>
      <c r="D187" t="s">
        <v>5</v>
      </c>
      <c r="E187" t="s">
        <v>10</v>
      </c>
      <c r="F187" t="s">
        <v>13</v>
      </c>
      <c r="G187">
        <v>0</v>
      </c>
      <c r="H187">
        <v>35</v>
      </c>
      <c r="I187" t="s">
        <v>16</v>
      </c>
      <c r="J187" s="1">
        <v>460.87</v>
      </c>
      <c r="K187" s="1">
        <v>153.62333333333333</v>
      </c>
      <c r="L187">
        <v>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200</v>
      </c>
      <c r="S187" s="5">
        <v>1</v>
      </c>
      <c r="T187" s="5">
        <v>2</v>
      </c>
      <c r="U187" s="5">
        <v>1</v>
      </c>
      <c r="V187" s="5">
        <v>4</v>
      </c>
    </row>
    <row r="188" spans="1:22" x14ac:dyDescent="0.35">
      <c r="A188">
        <v>187</v>
      </c>
      <c r="B188">
        <v>21</v>
      </c>
      <c r="C188" t="s">
        <v>73</v>
      </c>
      <c r="D188" t="s">
        <v>6</v>
      </c>
      <c r="E188" t="s">
        <v>9</v>
      </c>
      <c r="F188" t="s">
        <v>12</v>
      </c>
      <c r="G188">
        <v>0</v>
      </c>
      <c r="H188">
        <v>30</v>
      </c>
      <c r="I188" t="s">
        <v>16</v>
      </c>
      <c r="J188" s="1">
        <v>513.26</v>
      </c>
      <c r="K188" s="1">
        <v>256.63</v>
      </c>
      <c r="L188">
        <v>2</v>
      </c>
      <c r="M188">
        <v>2</v>
      </c>
      <c r="N188">
        <v>0</v>
      </c>
      <c r="O188">
        <v>1</v>
      </c>
      <c r="P188">
        <v>0</v>
      </c>
      <c r="Q188">
        <v>1</v>
      </c>
      <c r="R188">
        <v>50</v>
      </c>
      <c r="S188" s="5">
        <v>2</v>
      </c>
      <c r="T188" s="5">
        <v>1</v>
      </c>
      <c r="U188" s="5">
        <v>1</v>
      </c>
      <c r="V188" s="5">
        <v>4</v>
      </c>
    </row>
    <row r="189" spans="1:22" x14ac:dyDescent="0.35">
      <c r="A189">
        <v>188</v>
      </c>
      <c r="B189">
        <v>63</v>
      </c>
      <c r="C189" t="s">
        <v>72</v>
      </c>
      <c r="D189" t="s">
        <v>5</v>
      </c>
      <c r="E189" t="s">
        <v>7</v>
      </c>
      <c r="F189" t="s">
        <v>13</v>
      </c>
      <c r="G189">
        <v>0</v>
      </c>
      <c r="H189">
        <v>49</v>
      </c>
      <c r="I189" t="s">
        <v>16</v>
      </c>
      <c r="J189" s="1">
        <v>1768.2500000000002</v>
      </c>
      <c r="K189" s="1">
        <v>294.70833333333337</v>
      </c>
      <c r="L189">
        <v>6</v>
      </c>
      <c r="M189">
        <v>2</v>
      </c>
      <c r="N189">
        <v>1</v>
      </c>
      <c r="O189">
        <v>0</v>
      </c>
      <c r="P189">
        <v>1</v>
      </c>
      <c r="Q189">
        <v>1</v>
      </c>
      <c r="R189">
        <v>30</v>
      </c>
      <c r="S189" s="5">
        <v>2</v>
      </c>
      <c r="T189" s="5">
        <v>2</v>
      </c>
      <c r="U189" s="5">
        <v>3</v>
      </c>
      <c r="V189" s="5">
        <v>7</v>
      </c>
    </row>
    <row r="190" spans="1:22" x14ac:dyDescent="0.35">
      <c r="A190">
        <v>189</v>
      </c>
      <c r="B190">
        <v>29</v>
      </c>
      <c r="C190" t="s">
        <v>73</v>
      </c>
      <c r="D190" t="s">
        <v>5</v>
      </c>
      <c r="E190" t="s">
        <v>7</v>
      </c>
      <c r="F190" t="s">
        <v>13</v>
      </c>
      <c r="G190">
        <v>0</v>
      </c>
      <c r="H190">
        <v>41</v>
      </c>
      <c r="I190" t="s">
        <v>16</v>
      </c>
      <c r="J190" s="1">
        <v>574.46999999999991</v>
      </c>
      <c r="K190" s="1">
        <v>191.48999999999998</v>
      </c>
      <c r="L190">
        <v>3</v>
      </c>
      <c r="M190">
        <v>2</v>
      </c>
      <c r="N190">
        <v>1</v>
      </c>
      <c r="O190">
        <v>0</v>
      </c>
      <c r="P190">
        <v>1</v>
      </c>
      <c r="Q190">
        <v>1</v>
      </c>
      <c r="R190">
        <v>180</v>
      </c>
      <c r="S190" s="5">
        <v>1</v>
      </c>
      <c r="T190" s="5">
        <v>2</v>
      </c>
      <c r="U190" s="5">
        <v>1</v>
      </c>
      <c r="V190" s="5">
        <v>4</v>
      </c>
    </row>
    <row r="191" spans="1:22" x14ac:dyDescent="0.35">
      <c r="A191">
        <v>190</v>
      </c>
      <c r="B191">
        <v>40</v>
      </c>
      <c r="C191" t="s">
        <v>75</v>
      </c>
      <c r="D191" t="s">
        <v>5</v>
      </c>
      <c r="E191" t="s">
        <v>10</v>
      </c>
      <c r="F191" t="s">
        <v>11</v>
      </c>
      <c r="G191">
        <v>1</v>
      </c>
      <c r="H191">
        <v>22</v>
      </c>
      <c r="I191" t="s">
        <v>17</v>
      </c>
      <c r="J191" s="1">
        <v>1417.97</v>
      </c>
      <c r="K191" s="1">
        <v>202.56714285714287</v>
      </c>
      <c r="L191">
        <v>7</v>
      </c>
      <c r="M191">
        <v>1</v>
      </c>
      <c r="N191">
        <v>1</v>
      </c>
      <c r="O191">
        <v>0</v>
      </c>
      <c r="P191">
        <v>1</v>
      </c>
      <c r="Q191">
        <v>0</v>
      </c>
      <c r="R191">
        <v>59</v>
      </c>
      <c r="S191" s="5">
        <v>2</v>
      </c>
      <c r="T191" s="5">
        <v>2</v>
      </c>
      <c r="U191" s="5">
        <v>2</v>
      </c>
      <c r="V191" s="5">
        <v>6</v>
      </c>
    </row>
    <row r="192" spans="1:22" x14ac:dyDescent="0.35">
      <c r="A192">
        <v>191</v>
      </c>
      <c r="B192">
        <v>31</v>
      </c>
      <c r="C192" t="s">
        <v>75</v>
      </c>
      <c r="D192" t="s">
        <v>6</v>
      </c>
      <c r="E192" t="s">
        <v>7</v>
      </c>
      <c r="F192" t="s">
        <v>11</v>
      </c>
      <c r="G192">
        <v>0</v>
      </c>
      <c r="H192">
        <v>2</v>
      </c>
      <c r="I192" t="s">
        <v>17</v>
      </c>
      <c r="J192" s="1">
        <v>1942.6499999999996</v>
      </c>
      <c r="K192" s="1">
        <v>277.52142857142854</v>
      </c>
      <c r="L192">
        <v>7</v>
      </c>
      <c r="M192">
        <v>2</v>
      </c>
      <c r="N192">
        <v>1</v>
      </c>
      <c r="O192">
        <v>0</v>
      </c>
      <c r="P192">
        <v>1</v>
      </c>
      <c r="Q192">
        <v>1</v>
      </c>
      <c r="R192">
        <v>46</v>
      </c>
      <c r="S192" s="5">
        <v>2</v>
      </c>
      <c r="T192" s="5">
        <v>2</v>
      </c>
      <c r="U192" s="5">
        <v>3</v>
      </c>
      <c r="V192" s="5">
        <v>7</v>
      </c>
    </row>
    <row r="193" spans="1:22" x14ac:dyDescent="0.35">
      <c r="A193">
        <v>192</v>
      </c>
      <c r="B193">
        <v>63</v>
      </c>
      <c r="C193" t="s">
        <v>72</v>
      </c>
      <c r="D193" t="s">
        <v>6</v>
      </c>
      <c r="E193" t="s">
        <v>10</v>
      </c>
      <c r="F193" t="s">
        <v>12</v>
      </c>
      <c r="G193">
        <v>0</v>
      </c>
      <c r="H193">
        <v>12</v>
      </c>
      <c r="I193" t="s">
        <v>17</v>
      </c>
      <c r="J193" s="1">
        <v>1172.53</v>
      </c>
      <c r="K193" s="1">
        <v>390.84333333333331</v>
      </c>
      <c r="L193">
        <v>3</v>
      </c>
      <c r="M193">
        <v>2</v>
      </c>
      <c r="N193">
        <v>1</v>
      </c>
      <c r="O193">
        <v>1</v>
      </c>
      <c r="P193">
        <v>0</v>
      </c>
      <c r="Q193">
        <v>1</v>
      </c>
      <c r="R193">
        <v>23</v>
      </c>
      <c r="S193" s="5">
        <v>3</v>
      </c>
      <c r="T193" s="5">
        <v>2</v>
      </c>
      <c r="U193" s="5">
        <v>2</v>
      </c>
      <c r="V193" s="5">
        <v>7</v>
      </c>
    </row>
    <row r="194" spans="1:22" x14ac:dyDescent="0.35">
      <c r="A194">
        <v>193</v>
      </c>
      <c r="B194">
        <v>29</v>
      </c>
      <c r="C194" t="s">
        <v>73</v>
      </c>
      <c r="D194" t="s">
        <v>5</v>
      </c>
      <c r="E194" t="s">
        <v>9</v>
      </c>
      <c r="F194" t="s">
        <v>11</v>
      </c>
      <c r="G194">
        <v>0</v>
      </c>
      <c r="H194">
        <v>34</v>
      </c>
      <c r="I194" t="s">
        <v>17</v>
      </c>
      <c r="J194" s="1">
        <v>270.33999999999997</v>
      </c>
      <c r="K194" s="1">
        <v>270.33999999999997</v>
      </c>
      <c r="L194">
        <v>1</v>
      </c>
      <c r="M194">
        <v>2</v>
      </c>
      <c r="N194">
        <v>1</v>
      </c>
      <c r="O194">
        <v>0</v>
      </c>
      <c r="P194">
        <v>1</v>
      </c>
      <c r="Q194">
        <v>1</v>
      </c>
      <c r="R194">
        <v>155</v>
      </c>
      <c r="S194" s="5">
        <v>1</v>
      </c>
      <c r="T194" s="5">
        <v>1</v>
      </c>
      <c r="U194" s="5">
        <v>1</v>
      </c>
      <c r="V194" s="5">
        <v>3</v>
      </c>
    </row>
    <row r="195" spans="1:22" x14ac:dyDescent="0.35">
      <c r="A195">
        <v>194</v>
      </c>
      <c r="B195">
        <v>34</v>
      </c>
      <c r="C195" t="s">
        <v>75</v>
      </c>
      <c r="D195" t="s">
        <v>6</v>
      </c>
      <c r="E195" t="s">
        <v>9</v>
      </c>
      <c r="F195" t="s">
        <v>13</v>
      </c>
      <c r="G195">
        <v>0</v>
      </c>
      <c r="H195">
        <v>34</v>
      </c>
      <c r="I195" t="s">
        <v>17</v>
      </c>
      <c r="J195" s="1">
        <v>1388.97</v>
      </c>
      <c r="K195" s="1">
        <v>277.79399999999998</v>
      </c>
      <c r="L195">
        <v>5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110</v>
      </c>
      <c r="S195" s="5">
        <v>1</v>
      </c>
      <c r="T195" s="5">
        <v>2</v>
      </c>
      <c r="U195" s="5">
        <v>2</v>
      </c>
      <c r="V195" s="5">
        <v>5</v>
      </c>
    </row>
    <row r="196" spans="1:22" x14ac:dyDescent="0.35">
      <c r="A196">
        <v>195</v>
      </c>
      <c r="B196">
        <v>42</v>
      </c>
      <c r="C196" t="s">
        <v>75</v>
      </c>
      <c r="D196" t="s">
        <v>6</v>
      </c>
      <c r="E196" t="s">
        <v>8</v>
      </c>
      <c r="F196" t="s">
        <v>12</v>
      </c>
      <c r="G196">
        <v>0</v>
      </c>
      <c r="H196">
        <v>14</v>
      </c>
      <c r="I196" t="s">
        <v>17</v>
      </c>
      <c r="J196" s="1">
        <v>1711.71</v>
      </c>
      <c r="K196" s="1">
        <v>285.28500000000003</v>
      </c>
      <c r="L196">
        <v>6</v>
      </c>
      <c r="M196">
        <v>2</v>
      </c>
      <c r="N196">
        <v>1</v>
      </c>
      <c r="O196">
        <v>0</v>
      </c>
      <c r="P196">
        <v>1</v>
      </c>
      <c r="Q196">
        <v>1</v>
      </c>
      <c r="R196">
        <v>175</v>
      </c>
      <c r="S196" s="5">
        <v>1</v>
      </c>
      <c r="T196" s="5">
        <v>2</v>
      </c>
      <c r="U196" s="5">
        <v>3</v>
      </c>
      <c r="V196" s="5">
        <v>6</v>
      </c>
    </row>
    <row r="197" spans="1:22" x14ac:dyDescent="0.35">
      <c r="A197">
        <v>196</v>
      </c>
      <c r="B197">
        <v>47</v>
      </c>
      <c r="C197" t="s">
        <v>74</v>
      </c>
      <c r="D197" t="s">
        <v>5</v>
      </c>
      <c r="E197" t="s">
        <v>9</v>
      </c>
      <c r="F197" t="s">
        <v>11</v>
      </c>
      <c r="G197">
        <v>0</v>
      </c>
      <c r="H197">
        <v>39</v>
      </c>
      <c r="I197" t="s">
        <v>17</v>
      </c>
      <c r="J197" s="1">
        <v>2134.16</v>
      </c>
      <c r="K197" s="1">
        <v>266.77</v>
      </c>
      <c r="L197">
        <v>8</v>
      </c>
      <c r="M197">
        <v>2</v>
      </c>
      <c r="N197">
        <v>1</v>
      </c>
      <c r="O197">
        <v>1</v>
      </c>
      <c r="P197">
        <v>1</v>
      </c>
      <c r="Q197">
        <v>0</v>
      </c>
      <c r="R197">
        <v>9</v>
      </c>
      <c r="S197" s="5">
        <v>3</v>
      </c>
      <c r="T197" s="5">
        <v>3</v>
      </c>
      <c r="U197" s="5">
        <v>3</v>
      </c>
      <c r="V197" s="5">
        <v>9</v>
      </c>
    </row>
    <row r="198" spans="1:22" x14ac:dyDescent="0.35">
      <c r="A198">
        <v>197</v>
      </c>
      <c r="B198">
        <v>39</v>
      </c>
      <c r="C198" t="s">
        <v>75</v>
      </c>
      <c r="D198" t="s">
        <v>6</v>
      </c>
      <c r="E198" t="s">
        <v>8</v>
      </c>
      <c r="F198" t="s">
        <v>12</v>
      </c>
      <c r="G198">
        <v>1</v>
      </c>
      <c r="H198">
        <v>39</v>
      </c>
      <c r="I198" t="s">
        <v>18</v>
      </c>
      <c r="J198" s="1">
        <v>925.43000000000006</v>
      </c>
      <c r="K198" s="1">
        <v>231.35750000000002</v>
      </c>
      <c r="L198">
        <v>4</v>
      </c>
      <c r="M198">
        <v>2</v>
      </c>
      <c r="N198">
        <v>1</v>
      </c>
      <c r="O198">
        <v>1</v>
      </c>
      <c r="P198">
        <v>1</v>
      </c>
      <c r="Q198">
        <v>0</v>
      </c>
      <c r="R198">
        <v>23</v>
      </c>
      <c r="S198" s="5">
        <v>3</v>
      </c>
      <c r="T198" s="5">
        <v>2</v>
      </c>
      <c r="U198" s="5">
        <v>2</v>
      </c>
      <c r="V198" s="5">
        <v>7</v>
      </c>
    </row>
    <row r="199" spans="1:22" x14ac:dyDescent="0.35">
      <c r="A199">
        <v>198</v>
      </c>
      <c r="B199">
        <v>64</v>
      </c>
      <c r="C199" t="s">
        <v>72</v>
      </c>
      <c r="D199" t="s">
        <v>5</v>
      </c>
      <c r="E199" t="s">
        <v>8</v>
      </c>
      <c r="F199" t="s">
        <v>12</v>
      </c>
      <c r="G199">
        <v>0</v>
      </c>
      <c r="H199">
        <v>45</v>
      </c>
      <c r="I199" t="s">
        <v>18</v>
      </c>
      <c r="J199" s="1">
        <v>1461.2499999999998</v>
      </c>
      <c r="K199" s="1">
        <v>208.74999999999997</v>
      </c>
      <c r="L199">
        <v>7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38</v>
      </c>
      <c r="S199" s="5">
        <v>2</v>
      </c>
      <c r="T199" s="5">
        <v>2</v>
      </c>
      <c r="U199" s="5">
        <v>2</v>
      </c>
      <c r="V199" s="5">
        <v>6</v>
      </c>
    </row>
    <row r="200" spans="1:22" x14ac:dyDescent="0.35">
      <c r="A200">
        <v>199</v>
      </c>
      <c r="B200">
        <v>43</v>
      </c>
      <c r="C200" t="s">
        <v>75</v>
      </c>
      <c r="D200" t="s">
        <v>5</v>
      </c>
      <c r="E200" t="s">
        <v>8</v>
      </c>
      <c r="F200" t="s">
        <v>13</v>
      </c>
      <c r="G200">
        <v>0</v>
      </c>
      <c r="H200">
        <v>6</v>
      </c>
      <c r="I200" t="s">
        <v>17</v>
      </c>
      <c r="J200" s="1">
        <v>1270.25</v>
      </c>
      <c r="K200" s="1">
        <v>211.70833333333334</v>
      </c>
      <c r="L200">
        <v>6</v>
      </c>
      <c r="M200">
        <v>2</v>
      </c>
      <c r="N200">
        <v>1</v>
      </c>
      <c r="O200">
        <v>1</v>
      </c>
      <c r="P200">
        <v>0</v>
      </c>
      <c r="Q200">
        <v>1</v>
      </c>
      <c r="R200">
        <v>40</v>
      </c>
      <c r="S200" s="5">
        <v>2</v>
      </c>
      <c r="T200" s="5">
        <v>2</v>
      </c>
      <c r="U200" s="5">
        <v>2</v>
      </c>
      <c r="V200" s="5">
        <v>6</v>
      </c>
    </row>
    <row r="201" spans="1:22" x14ac:dyDescent="0.35">
      <c r="A201">
        <v>200</v>
      </c>
      <c r="B201">
        <v>34</v>
      </c>
      <c r="C201" t="s">
        <v>75</v>
      </c>
      <c r="D201" t="s">
        <v>6</v>
      </c>
      <c r="E201" t="s">
        <v>7</v>
      </c>
      <c r="F201" t="s">
        <v>11</v>
      </c>
      <c r="G201">
        <v>0</v>
      </c>
      <c r="H201">
        <v>8</v>
      </c>
      <c r="I201" t="s">
        <v>18</v>
      </c>
      <c r="J201" s="1">
        <v>1702.06</v>
      </c>
      <c r="K201" s="1">
        <v>283.67666666666668</v>
      </c>
      <c r="L201">
        <v>6</v>
      </c>
      <c r="M201">
        <v>2</v>
      </c>
      <c r="N201">
        <v>0</v>
      </c>
      <c r="O201">
        <v>1</v>
      </c>
      <c r="P201">
        <v>1</v>
      </c>
      <c r="Q201">
        <v>0</v>
      </c>
      <c r="R201">
        <v>57</v>
      </c>
      <c r="S201" s="5">
        <v>2</v>
      </c>
      <c r="T201" s="5">
        <v>2</v>
      </c>
      <c r="U201" s="5">
        <v>3</v>
      </c>
      <c r="V201" s="5">
        <v>7</v>
      </c>
    </row>
    <row r="202" spans="1:22" x14ac:dyDescent="0.35">
      <c r="A202">
        <v>201</v>
      </c>
      <c r="B202">
        <v>37</v>
      </c>
      <c r="C202" t="s">
        <v>75</v>
      </c>
      <c r="D202" t="s">
        <v>5</v>
      </c>
      <c r="E202" t="s">
        <v>8</v>
      </c>
      <c r="F202" t="s">
        <v>13</v>
      </c>
      <c r="G202">
        <v>1</v>
      </c>
      <c r="H202">
        <v>27</v>
      </c>
      <c r="I202" t="s">
        <v>18</v>
      </c>
      <c r="J202" s="1">
        <v>956.57999999999993</v>
      </c>
      <c r="K202" s="1">
        <v>318.85999999999996</v>
      </c>
      <c r="L202">
        <v>3</v>
      </c>
      <c r="M202">
        <v>2</v>
      </c>
      <c r="N202">
        <v>1</v>
      </c>
      <c r="O202">
        <v>0</v>
      </c>
      <c r="P202">
        <v>1</v>
      </c>
      <c r="Q202">
        <v>1</v>
      </c>
      <c r="R202">
        <v>290</v>
      </c>
      <c r="S202" s="5">
        <v>1</v>
      </c>
      <c r="T202" s="5">
        <v>2</v>
      </c>
      <c r="U202" s="5">
        <v>2</v>
      </c>
      <c r="V202" s="5">
        <v>5</v>
      </c>
    </row>
    <row r="203" spans="1:22" x14ac:dyDescent="0.35">
      <c r="A203">
        <v>202</v>
      </c>
      <c r="B203">
        <v>51</v>
      </c>
      <c r="C203" t="s">
        <v>74</v>
      </c>
      <c r="D203" t="s">
        <v>6</v>
      </c>
      <c r="E203" t="s">
        <v>9</v>
      </c>
      <c r="F203" t="s">
        <v>12</v>
      </c>
      <c r="G203">
        <v>0</v>
      </c>
      <c r="H203">
        <v>12</v>
      </c>
      <c r="I203" t="s">
        <v>16</v>
      </c>
      <c r="J203" s="1">
        <v>336.18</v>
      </c>
      <c r="K203" s="1">
        <v>336.18</v>
      </c>
      <c r="L203">
        <v>1</v>
      </c>
      <c r="M203">
        <v>2</v>
      </c>
      <c r="N203">
        <v>0</v>
      </c>
      <c r="O203">
        <v>0</v>
      </c>
      <c r="P203">
        <v>1</v>
      </c>
      <c r="Q203">
        <v>1</v>
      </c>
      <c r="R203">
        <v>200</v>
      </c>
      <c r="S203" s="5">
        <v>1</v>
      </c>
      <c r="T203" s="5">
        <v>1</v>
      </c>
      <c r="U203" s="5">
        <v>1</v>
      </c>
      <c r="V203" s="5">
        <v>3</v>
      </c>
    </row>
    <row r="204" spans="1:22" x14ac:dyDescent="0.35">
      <c r="A204">
        <v>203</v>
      </c>
      <c r="B204">
        <v>58</v>
      </c>
      <c r="C204" t="s">
        <v>74</v>
      </c>
      <c r="D204" t="s">
        <v>6</v>
      </c>
      <c r="E204" t="s">
        <v>10</v>
      </c>
      <c r="F204" t="s">
        <v>12</v>
      </c>
      <c r="G204">
        <v>0</v>
      </c>
      <c r="H204">
        <v>21</v>
      </c>
      <c r="I204" t="s">
        <v>17</v>
      </c>
      <c r="J204" s="1">
        <v>1767.8999999999996</v>
      </c>
      <c r="K204" s="1">
        <v>294.64999999999992</v>
      </c>
      <c r="L204">
        <v>6</v>
      </c>
      <c r="M204">
        <v>2</v>
      </c>
      <c r="N204">
        <v>0</v>
      </c>
      <c r="O204">
        <v>1</v>
      </c>
      <c r="P204">
        <v>0</v>
      </c>
      <c r="Q204">
        <v>0</v>
      </c>
      <c r="R204">
        <v>13</v>
      </c>
      <c r="S204" s="5">
        <v>3</v>
      </c>
      <c r="T204" s="5">
        <v>2</v>
      </c>
      <c r="U204" s="5">
        <v>3</v>
      </c>
      <c r="V204" s="5">
        <v>8</v>
      </c>
    </row>
    <row r="205" spans="1:22" x14ac:dyDescent="0.35">
      <c r="A205">
        <v>204</v>
      </c>
      <c r="B205">
        <v>50</v>
      </c>
      <c r="C205" t="s">
        <v>74</v>
      </c>
      <c r="D205" t="s">
        <v>6</v>
      </c>
      <c r="E205" t="s">
        <v>9</v>
      </c>
      <c r="F205" t="s">
        <v>12</v>
      </c>
      <c r="G205">
        <v>0</v>
      </c>
      <c r="H205">
        <v>38</v>
      </c>
      <c r="I205" t="s">
        <v>18</v>
      </c>
      <c r="J205" s="1">
        <v>454.14</v>
      </c>
      <c r="K205" s="1">
        <v>227.07</v>
      </c>
      <c r="L205">
        <v>2</v>
      </c>
      <c r="M205">
        <v>2</v>
      </c>
      <c r="N205">
        <v>1</v>
      </c>
      <c r="O205">
        <v>0</v>
      </c>
      <c r="P205">
        <v>0</v>
      </c>
      <c r="Q205">
        <v>1</v>
      </c>
      <c r="R205">
        <v>138</v>
      </c>
      <c r="S205" s="5">
        <v>1</v>
      </c>
      <c r="T205" s="5">
        <v>1</v>
      </c>
      <c r="U205" s="5">
        <v>1</v>
      </c>
      <c r="V205" s="5">
        <v>3</v>
      </c>
    </row>
    <row r="206" spans="1:22" x14ac:dyDescent="0.35">
      <c r="A206">
        <v>205</v>
      </c>
      <c r="B206">
        <v>54</v>
      </c>
      <c r="C206" t="s">
        <v>74</v>
      </c>
      <c r="D206" t="s">
        <v>6</v>
      </c>
      <c r="E206" t="s">
        <v>10</v>
      </c>
      <c r="F206" t="s">
        <v>11</v>
      </c>
      <c r="G206">
        <v>0</v>
      </c>
      <c r="H206">
        <v>4</v>
      </c>
      <c r="I206" t="s">
        <v>16</v>
      </c>
      <c r="J206" s="1">
        <v>741.96999999999991</v>
      </c>
      <c r="K206" s="1">
        <v>185.49249999999998</v>
      </c>
      <c r="L206">
        <v>4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7</v>
      </c>
      <c r="S206" s="5">
        <v>3</v>
      </c>
      <c r="T206" s="5">
        <v>2</v>
      </c>
      <c r="U206" s="5">
        <v>1</v>
      </c>
      <c r="V206" s="5">
        <v>6</v>
      </c>
    </row>
    <row r="207" spans="1:22" x14ac:dyDescent="0.35">
      <c r="A207">
        <v>206</v>
      </c>
      <c r="B207">
        <v>24</v>
      </c>
      <c r="C207" t="s">
        <v>73</v>
      </c>
      <c r="D207" t="s">
        <v>5</v>
      </c>
      <c r="E207" t="s">
        <v>9</v>
      </c>
      <c r="F207" t="s">
        <v>13</v>
      </c>
      <c r="G207">
        <v>0</v>
      </c>
      <c r="H207">
        <v>25</v>
      </c>
      <c r="I207" t="s">
        <v>16</v>
      </c>
      <c r="J207" s="1">
        <v>99.58</v>
      </c>
      <c r="K207" s="1">
        <v>99.58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109</v>
      </c>
      <c r="S207" s="5">
        <v>1</v>
      </c>
      <c r="T207" s="5">
        <v>1</v>
      </c>
      <c r="U207" s="5">
        <v>1</v>
      </c>
      <c r="V207" s="5">
        <v>3</v>
      </c>
    </row>
    <row r="208" spans="1:22" x14ac:dyDescent="0.35">
      <c r="A208">
        <v>207</v>
      </c>
      <c r="B208">
        <v>39</v>
      </c>
      <c r="C208" t="s">
        <v>75</v>
      </c>
      <c r="D208" t="s">
        <v>6</v>
      </c>
      <c r="E208" t="s">
        <v>10</v>
      </c>
      <c r="F208" t="s">
        <v>13</v>
      </c>
      <c r="G208">
        <v>0</v>
      </c>
      <c r="H208">
        <v>43</v>
      </c>
      <c r="I208" t="s">
        <v>17</v>
      </c>
      <c r="J208" s="1">
        <v>1799.1699999999998</v>
      </c>
      <c r="K208" s="1">
        <v>224.89624999999998</v>
      </c>
      <c r="L208">
        <v>8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35</v>
      </c>
      <c r="S208" s="5">
        <v>2</v>
      </c>
      <c r="T208" s="5">
        <v>3</v>
      </c>
      <c r="U208" s="5">
        <v>3</v>
      </c>
      <c r="V208" s="5">
        <v>8</v>
      </c>
    </row>
    <row r="209" spans="1:22" x14ac:dyDescent="0.35">
      <c r="A209">
        <v>208</v>
      </c>
      <c r="B209">
        <v>49</v>
      </c>
      <c r="C209" t="s">
        <v>74</v>
      </c>
      <c r="D209" t="s">
        <v>6</v>
      </c>
      <c r="E209" t="s">
        <v>9</v>
      </c>
      <c r="F209" t="s">
        <v>11</v>
      </c>
      <c r="G209">
        <v>0</v>
      </c>
      <c r="H209">
        <v>24</v>
      </c>
      <c r="I209" t="s">
        <v>18</v>
      </c>
      <c r="J209" s="1">
        <v>436.89</v>
      </c>
      <c r="K209" s="1">
        <v>218.44499999999999</v>
      </c>
      <c r="L209">
        <v>2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293</v>
      </c>
      <c r="S209" s="5">
        <v>1</v>
      </c>
      <c r="T209" s="5">
        <v>1</v>
      </c>
      <c r="U209" s="5">
        <v>1</v>
      </c>
      <c r="V209" s="5">
        <v>3</v>
      </c>
    </row>
    <row r="210" spans="1:22" x14ac:dyDescent="0.35">
      <c r="A210">
        <v>209</v>
      </c>
      <c r="B210">
        <v>31</v>
      </c>
      <c r="C210" t="s">
        <v>75</v>
      </c>
      <c r="D210" t="s">
        <v>6</v>
      </c>
      <c r="E210" t="s">
        <v>10</v>
      </c>
      <c r="F210" t="s">
        <v>13</v>
      </c>
      <c r="G210">
        <v>0</v>
      </c>
      <c r="H210">
        <v>12</v>
      </c>
      <c r="I210" t="s">
        <v>16</v>
      </c>
      <c r="J210" s="1">
        <v>1328.06</v>
      </c>
      <c r="K210" s="1">
        <v>332.01499999999999</v>
      </c>
      <c r="L210">
        <v>4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26</v>
      </c>
      <c r="S210" s="5">
        <v>3</v>
      </c>
      <c r="T210" s="5">
        <v>2</v>
      </c>
      <c r="U210" s="5">
        <v>2</v>
      </c>
      <c r="V210" s="5">
        <v>7</v>
      </c>
    </row>
    <row r="211" spans="1:22" x14ac:dyDescent="0.35">
      <c r="A211">
        <v>210</v>
      </c>
      <c r="B211">
        <v>25</v>
      </c>
      <c r="C211" t="s">
        <v>73</v>
      </c>
      <c r="D211" t="s">
        <v>5</v>
      </c>
      <c r="E211" t="s">
        <v>8</v>
      </c>
      <c r="F211" t="s">
        <v>13</v>
      </c>
      <c r="G211">
        <v>0</v>
      </c>
      <c r="H211">
        <v>29</v>
      </c>
      <c r="I211" t="s">
        <v>18</v>
      </c>
      <c r="J211" s="1">
        <v>1727.27</v>
      </c>
      <c r="K211" s="1">
        <v>246.75285714285715</v>
      </c>
      <c r="L211">
        <v>7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73</v>
      </c>
      <c r="S211" s="5">
        <v>2</v>
      </c>
      <c r="T211" s="5">
        <v>2</v>
      </c>
      <c r="U211" s="5">
        <v>3</v>
      </c>
      <c r="V211" s="5">
        <v>7</v>
      </c>
    </row>
    <row r="212" spans="1:22" x14ac:dyDescent="0.35">
      <c r="A212">
        <v>211</v>
      </c>
      <c r="B212">
        <v>42</v>
      </c>
      <c r="C212" t="s">
        <v>75</v>
      </c>
      <c r="D212" t="s">
        <v>5</v>
      </c>
      <c r="E212" t="s">
        <v>10</v>
      </c>
      <c r="F212" t="s">
        <v>12</v>
      </c>
      <c r="G212">
        <v>0</v>
      </c>
      <c r="H212">
        <v>35</v>
      </c>
      <c r="I212" t="s">
        <v>18</v>
      </c>
      <c r="J212" s="1">
        <v>1222.21</v>
      </c>
      <c r="K212" s="1">
        <v>203.70166666666668</v>
      </c>
      <c r="L212">
        <v>6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14</v>
      </c>
      <c r="S212" s="5">
        <v>3</v>
      </c>
      <c r="T212" s="5">
        <v>2</v>
      </c>
      <c r="U212" s="5">
        <v>2</v>
      </c>
      <c r="V212" s="5">
        <v>7</v>
      </c>
    </row>
    <row r="213" spans="1:22" x14ac:dyDescent="0.35">
      <c r="A213">
        <v>212</v>
      </c>
      <c r="B213">
        <v>33</v>
      </c>
      <c r="C213" t="s">
        <v>75</v>
      </c>
      <c r="D213" t="s">
        <v>6</v>
      </c>
      <c r="E213" t="s">
        <v>8</v>
      </c>
      <c r="F213" t="s">
        <v>12</v>
      </c>
      <c r="G213">
        <v>0</v>
      </c>
      <c r="H213">
        <v>37</v>
      </c>
      <c r="I213" t="s">
        <v>17</v>
      </c>
      <c r="J213" s="1">
        <v>1047.6100000000001</v>
      </c>
      <c r="K213" s="1">
        <v>149.65857142857143</v>
      </c>
      <c r="L213">
        <v>7</v>
      </c>
      <c r="M213">
        <v>1</v>
      </c>
      <c r="N213">
        <v>0</v>
      </c>
      <c r="O213">
        <v>0</v>
      </c>
      <c r="P213">
        <v>0</v>
      </c>
      <c r="Q213">
        <v>1</v>
      </c>
      <c r="R213">
        <v>3</v>
      </c>
      <c r="S213" s="5">
        <v>3</v>
      </c>
      <c r="T213" s="5">
        <v>2</v>
      </c>
      <c r="U213" s="5">
        <v>2</v>
      </c>
      <c r="V213" s="5">
        <v>7</v>
      </c>
    </row>
    <row r="214" spans="1:22" x14ac:dyDescent="0.35">
      <c r="A214">
        <v>213</v>
      </c>
      <c r="B214">
        <v>59</v>
      </c>
      <c r="C214" t="s">
        <v>74</v>
      </c>
      <c r="D214" t="s">
        <v>6</v>
      </c>
      <c r="E214" t="s">
        <v>9</v>
      </c>
      <c r="F214" t="s">
        <v>12</v>
      </c>
      <c r="G214">
        <v>1</v>
      </c>
      <c r="H214">
        <v>30</v>
      </c>
      <c r="I214" t="s">
        <v>17</v>
      </c>
      <c r="J214" s="1">
        <v>2092.89</v>
      </c>
      <c r="K214" s="1">
        <v>298.9842857142857</v>
      </c>
      <c r="L214">
        <v>7</v>
      </c>
      <c r="M214">
        <v>1</v>
      </c>
      <c r="N214">
        <v>0</v>
      </c>
      <c r="O214">
        <v>1</v>
      </c>
      <c r="P214">
        <v>0</v>
      </c>
      <c r="Q214">
        <v>0</v>
      </c>
      <c r="R214">
        <v>6</v>
      </c>
      <c r="S214" s="5">
        <v>3</v>
      </c>
      <c r="T214" s="5">
        <v>2</v>
      </c>
      <c r="U214" s="5">
        <v>3</v>
      </c>
      <c r="V214" s="5">
        <v>8</v>
      </c>
    </row>
    <row r="215" spans="1:22" x14ac:dyDescent="0.35">
      <c r="A215">
        <v>214</v>
      </c>
      <c r="B215">
        <v>36</v>
      </c>
      <c r="C215" t="s">
        <v>75</v>
      </c>
      <c r="D215" t="s">
        <v>6</v>
      </c>
      <c r="E215" t="s">
        <v>10</v>
      </c>
      <c r="F215" t="s">
        <v>11</v>
      </c>
      <c r="G215">
        <v>0</v>
      </c>
      <c r="H215">
        <v>41</v>
      </c>
      <c r="I215" t="s">
        <v>18</v>
      </c>
      <c r="J215" s="1">
        <v>734.1</v>
      </c>
      <c r="K215" s="1">
        <v>367.05</v>
      </c>
      <c r="L215">
        <v>2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295</v>
      </c>
      <c r="S215" s="5">
        <v>1</v>
      </c>
      <c r="T215" s="5">
        <v>1</v>
      </c>
      <c r="U215" s="5">
        <v>1</v>
      </c>
      <c r="V215" s="5">
        <v>3</v>
      </c>
    </row>
    <row r="216" spans="1:22" x14ac:dyDescent="0.35">
      <c r="A216">
        <v>215</v>
      </c>
      <c r="B216">
        <v>58</v>
      </c>
      <c r="C216" t="s">
        <v>74</v>
      </c>
      <c r="D216" t="s">
        <v>6</v>
      </c>
      <c r="E216" t="s">
        <v>10</v>
      </c>
      <c r="F216" t="s">
        <v>12</v>
      </c>
      <c r="G216">
        <v>0</v>
      </c>
      <c r="H216">
        <v>42</v>
      </c>
      <c r="I216" t="s">
        <v>18</v>
      </c>
      <c r="J216" s="1">
        <v>1343.6999999999998</v>
      </c>
      <c r="K216" s="1">
        <v>223.94999999999996</v>
      </c>
      <c r="L216">
        <v>6</v>
      </c>
      <c r="M216">
        <v>2</v>
      </c>
      <c r="N216">
        <v>1</v>
      </c>
      <c r="O216">
        <v>1</v>
      </c>
      <c r="P216">
        <v>1</v>
      </c>
      <c r="Q216">
        <v>0</v>
      </c>
      <c r="R216">
        <v>16</v>
      </c>
      <c r="S216" s="5">
        <v>3</v>
      </c>
      <c r="T216" s="5">
        <v>2</v>
      </c>
      <c r="U216" s="5">
        <v>2</v>
      </c>
      <c r="V216" s="5">
        <v>7</v>
      </c>
    </row>
    <row r="217" spans="1:22" x14ac:dyDescent="0.35">
      <c r="A217">
        <v>216</v>
      </c>
      <c r="B217">
        <v>33</v>
      </c>
      <c r="C217" t="s">
        <v>75</v>
      </c>
      <c r="D217" t="s">
        <v>6</v>
      </c>
      <c r="E217" t="s">
        <v>9</v>
      </c>
      <c r="F217" t="s">
        <v>13</v>
      </c>
      <c r="G217">
        <v>0</v>
      </c>
      <c r="H217">
        <v>35</v>
      </c>
      <c r="I217" t="s">
        <v>16</v>
      </c>
      <c r="J217" s="1">
        <v>1570.8600000000001</v>
      </c>
      <c r="K217" s="1">
        <v>314.17200000000003</v>
      </c>
      <c r="L217">
        <v>5</v>
      </c>
      <c r="M217">
        <v>2</v>
      </c>
      <c r="N217">
        <v>0</v>
      </c>
      <c r="O217">
        <v>0</v>
      </c>
      <c r="P217">
        <v>0</v>
      </c>
      <c r="Q217">
        <v>1</v>
      </c>
      <c r="R217">
        <v>74</v>
      </c>
      <c r="S217" s="5">
        <v>2</v>
      </c>
      <c r="T217" s="5">
        <v>2</v>
      </c>
      <c r="U217" s="5">
        <v>2</v>
      </c>
      <c r="V217" s="5">
        <v>6</v>
      </c>
    </row>
    <row r="218" spans="1:22" x14ac:dyDescent="0.35">
      <c r="A218">
        <v>217</v>
      </c>
      <c r="B218">
        <v>29</v>
      </c>
      <c r="C218" t="s">
        <v>73</v>
      </c>
      <c r="D218" t="s">
        <v>5</v>
      </c>
      <c r="E218" t="s">
        <v>8</v>
      </c>
      <c r="F218" t="s">
        <v>11</v>
      </c>
      <c r="G218">
        <v>1</v>
      </c>
      <c r="H218">
        <v>1</v>
      </c>
      <c r="I218" t="s">
        <v>18</v>
      </c>
      <c r="J218" s="1">
        <v>2576.7800000000002</v>
      </c>
      <c r="K218" s="1">
        <v>322.09750000000003</v>
      </c>
      <c r="L218">
        <v>8</v>
      </c>
      <c r="M218">
        <v>1</v>
      </c>
      <c r="N218">
        <v>1</v>
      </c>
      <c r="O218">
        <v>0</v>
      </c>
      <c r="P218">
        <v>0</v>
      </c>
      <c r="Q218">
        <v>1</v>
      </c>
      <c r="R218">
        <v>36</v>
      </c>
      <c r="S218" s="5">
        <v>2</v>
      </c>
      <c r="T218" s="5">
        <v>3</v>
      </c>
      <c r="U218" s="5">
        <v>3</v>
      </c>
      <c r="V218" s="5">
        <v>8</v>
      </c>
    </row>
    <row r="219" spans="1:22" x14ac:dyDescent="0.35">
      <c r="A219">
        <v>218</v>
      </c>
      <c r="B219">
        <v>56</v>
      </c>
      <c r="C219" t="s">
        <v>74</v>
      </c>
      <c r="D219" t="s">
        <v>6</v>
      </c>
      <c r="E219" t="s">
        <v>8</v>
      </c>
      <c r="F219" t="s">
        <v>13</v>
      </c>
      <c r="G219">
        <v>0</v>
      </c>
      <c r="H219">
        <v>40</v>
      </c>
      <c r="I219" t="s">
        <v>16</v>
      </c>
      <c r="J219" s="1">
        <v>1766.57</v>
      </c>
      <c r="K219" s="1">
        <v>252.36714285714285</v>
      </c>
      <c r="L219">
        <v>7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13</v>
      </c>
      <c r="S219" s="5">
        <v>3</v>
      </c>
      <c r="T219" s="5">
        <v>2</v>
      </c>
      <c r="U219" s="5">
        <v>3</v>
      </c>
      <c r="V219" s="5">
        <v>8</v>
      </c>
    </row>
    <row r="220" spans="1:22" x14ac:dyDescent="0.35">
      <c r="A220">
        <v>219</v>
      </c>
      <c r="B220">
        <v>65</v>
      </c>
      <c r="C220" t="s">
        <v>72</v>
      </c>
      <c r="D220" t="s">
        <v>5</v>
      </c>
      <c r="E220" t="s">
        <v>7</v>
      </c>
      <c r="F220" t="s">
        <v>11</v>
      </c>
      <c r="G220">
        <v>0</v>
      </c>
      <c r="H220">
        <v>26</v>
      </c>
      <c r="I220" t="s">
        <v>18</v>
      </c>
      <c r="J220" s="1">
        <v>1624.32</v>
      </c>
      <c r="K220" s="1">
        <v>406.08</v>
      </c>
      <c r="L220">
        <v>4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86</v>
      </c>
      <c r="S220" s="5">
        <v>1</v>
      </c>
      <c r="T220" s="5">
        <v>2</v>
      </c>
      <c r="U220" s="5">
        <v>3</v>
      </c>
      <c r="V220" s="5">
        <v>6</v>
      </c>
    </row>
    <row r="221" spans="1:22" x14ac:dyDescent="0.35">
      <c r="A221">
        <v>220</v>
      </c>
      <c r="B221">
        <v>47</v>
      </c>
      <c r="C221" t="s">
        <v>74</v>
      </c>
      <c r="D221" t="s">
        <v>5</v>
      </c>
      <c r="E221" t="s">
        <v>7</v>
      </c>
      <c r="F221" t="s">
        <v>13</v>
      </c>
      <c r="G221">
        <v>0</v>
      </c>
      <c r="H221">
        <v>35</v>
      </c>
      <c r="I221" t="s">
        <v>18</v>
      </c>
      <c r="J221" s="1">
        <v>1030.46</v>
      </c>
      <c r="K221" s="1">
        <v>343.48666666666668</v>
      </c>
      <c r="L221">
        <v>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158</v>
      </c>
      <c r="S221" s="5">
        <v>1</v>
      </c>
      <c r="T221" s="5">
        <v>2</v>
      </c>
      <c r="U221" s="5">
        <v>2</v>
      </c>
      <c r="V221" s="5">
        <v>5</v>
      </c>
    </row>
    <row r="222" spans="1:22" x14ac:dyDescent="0.35">
      <c r="A222">
        <v>221</v>
      </c>
      <c r="B222">
        <v>19</v>
      </c>
      <c r="C222" t="s">
        <v>73</v>
      </c>
      <c r="D222" t="s">
        <v>6</v>
      </c>
      <c r="E222" t="s">
        <v>7</v>
      </c>
      <c r="F222" t="s">
        <v>11</v>
      </c>
      <c r="G222">
        <v>1</v>
      </c>
      <c r="H222">
        <v>42</v>
      </c>
      <c r="I222" t="s">
        <v>16</v>
      </c>
      <c r="J222" s="1">
        <v>1277.29</v>
      </c>
      <c r="K222" s="1">
        <v>319.32249999999999</v>
      </c>
      <c r="L222">
        <v>4</v>
      </c>
      <c r="M222">
        <v>1</v>
      </c>
      <c r="N222">
        <v>0</v>
      </c>
      <c r="O222">
        <v>1</v>
      </c>
      <c r="P222">
        <v>0</v>
      </c>
      <c r="Q222">
        <v>0</v>
      </c>
      <c r="R222">
        <v>241</v>
      </c>
      <c r="S222" s="5">
        <v>1</v>
      </c>
      <c r="T222" s="5">
        <v>2</v>
      </c>
      <c r="U222" s="5">
        <v>2</v>
      </c>
      <c r="V222" s="5">
        <v>5</v>
      </c>
    </row>
    <row r="223" spans="1:22" x14ac:dyDescent="0.35">
      <c r="A223">
        <v>222</v>
      </c>
      <c r="B223">
        <v>49</v>
      </c>
      <c r="C223" t="s">
        <v>74</v>
      </c>
      <c r="D223" t="s">
        <v>5</v>
      </c>
      <c r="E223" t="s">
        <v>10</v>
      </c>
      <c r="F223" t="s">
        <v>13</v>
      </c>
      <c r="G223">
        <v>0</v>
      </c>
      <c r="H223">
        <v>7</v>
      </c>
      <c r="I223" t="s">
        <v>17</v>
      </c>
      <c r="J223" s="1">
        <v>1702.45</v>
      </c>
      <c r="K223" s="1">
        <v>243.20714285714286</v>
      </c>
      <c r="L223">
        <v>7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19</v>
      </c>
      <c r="S223" s="5">
        <v>3</v>
      </c>
      <c r="T223" s="5">
        <v>2</v>
      </c>
      <c r="U223" s="5">
        <v>3</v>
      </c>
      <c r="V223" s="5">
        <v>8</v>
      </c>
    </row>
    <row r="224" spans="1:22" x14ac:dyDescent="0.35">
      <c r="A224">
        <v>223</v>
      </c>
      <c r="B224">
        <v>62</v>
      </c>
      <c r="C224" t="s">
        <v>72</v>
      </c>
      <c r="D224" t="s">
        <v>6</v>
      </c>
      <c r="E224" t="s">
        <v>10</v>
      </c>
      <c r="F224" t="s">
        <v>12</v>
      </c>
      <c r="G224">
        <v>0</v>
      </c>
      <c r="H224">
        <v>4</v>
      </c>
      <c r="I224" t="s">
        <v>18</v>
      </c>
      <c r="J224" s="1">
        <v>1736.26</v>
      </c>
      <c r="K224" s="1">
        <v>289.37666666666667</v>
      </c>
      <c r="L224">
        <v>6</v>
      </c>
      <c r="M224">
        <v>1</v>
      </c>
      <c r="N224">
        <v>0</v>
      </c>
      <c r="O224">
        <v>0</v>
      </c>
      <c r="P224">
        <v>1</v>
      </c>
      <c r="Q224">
        <v>0</v>
      </c>
      <c r="R224">
        <v>49</v>
      </c>
      <c r="S224" s="5">
        <v>2</v>
      </c>
      <c r="T224" s="5">
        <v>2</v>
      </c>
      <c r="U224" s="5">
        <v>3</v>
      </c>
      <c r="V224" s="5">
        <v>7</v>
      </c>
    </row>
    <row r="225" spans="1:22" x14ac:dyDescent="0.35">
      <c r="A225">
        <v>224</v>
      </c>
      <c r="B225">
        <v>42</v>
      </c>
      <c r="C225" t="s">
        <v>75</v>
      </c>
      <c r="D225" t="s">
        <v>5</v>
      </c>
      <c r="E225" t="s">
        <v>10</v>
      </c>
      <c r="F225" t="s">
        <v>11</v>
      </c>
      <c r="G225">
        <v>0</v>
      </c>
      <c r="H225">
        <v>5</v>
      </c>
      <c r="I225" t="s">
        <v>17</v>
      </c>
      <c r="J225" s="1">
        <v>2520.3200000000002</v>
      </c>
      <c r="K225" s="1">
        <v>315.04000000000002</v>
      </c>
      <c r="L225">
        <v>8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39</v>
      </c>
      <c r="S225" s="5">
        <v>2</v>
      </c>
      <c r="T225" s="5">
        <v>3</v>
      </c>
      <c r="U225" s="5">
        <v>3</v>
      </c>
      <c r="V225" s="5">
        <v>8</v>
      </c>
    </row>
    <row r="226" spans="1:22" x14ac:dyDescent="0.35">
      <c r="A226">
        <v>225</v>
      </c>
      <c r="B226">
        <v>42</v>
      </c>
      <c r="C226" t="s">
        <v>75</v>
      </c>
      <c r="D226" t="s">
        <v>5</v>
      </c>
      <c r="E226" t="s">
        <v>9</v>
      </c>
      <c r="F226" t="s">
        <v>13</v>
      </c>
      <c r="G226">
        <v>0</v>
      </c>
      <c r="H226">
        <v>39</v>
      </c>
      <c r="I226" t="s">
        <v>18</v>
      </c>
      <c r="J226" s="1">
        <v>2650.2899999999995</v>
      </c>
      <c r="K226" s="1">
        <v>331.28624999999994</v>
      </c>
      <c r="L226">
        <v>8</v>
      </c>
      <c r="M226">
        <v>2</v>
      </c>
      <c r="N226">
        <v>1</v>
      </c>
      <c r="O226">
        <v>0</v>
      </c>
      <c r="P226">
        <v>0</v>
      </c>
      <c r="Q226">
        <v>1</v>
      </c>
      <c r="R226">
        <v>7</v>
      </c>
      <c r="S226" s="5">
        <v>3</v>
      </c>
      <c r="T226" s="5">
        <v>3</v>
      </c>
      <c r="U226" s="5">
        <v>3</v>
      </c>
      <c r="V226" s="5">
        <v>9</v>
      </c>
    </row>
    <row r="227" spans="1:22" x14ac:dyDescent="0.35">
      <c r="A227">
        <v>226</v>
      </c>
      <c r="B227">
        <v>21</v>
      </c>
      <c r="C227" t="s">
        <v>73</v>
      </c>
      <c r="D227" t="s">
        <v>6</v>
      </c>
      <c r="E227" t="s">
        <v>7</v>
      </c>
      <c r="F227" t="s">
        <v>13</v>
      </c>
      <c r="G227">
        <v>0</v>
      </c>
      <c r="H227">
        <v>11</v>
      </c>
      <c r="I227" t="s">
        <v>16</v>
      </c>
      <c r="J227" s="1">
        <v>1461.1799999999998</v>
      </c>
      <c r="K227" s="1">
        <v>208.73999999999998</v>
      </c>
      <c r="L227">
        <v>7</v>
      </c>
      <c r="M227">
        <v>1</v>
      </c>
      <c r="N227">
        <v>1</v>
      </c>
      <c r="O227">
        <v>0</v>
      </c>
      <c r="P227">
        <v>0</v>
      </c>
      <c r="Q227">
        <v>1</v>
      </c>
      <c r="R227">
        <v>15</v>
      </c>
      <c r="S227" s="5">
        <v>3</v>
      </c>
      <c r="T227" s="5">
        <v>2</v>
      </c>
      <c r="U227" s="5">
        <v>2</v>
      </c>
      <c r="V227" s="5">
        <v>7</v>
      </c>
    </row>
    <row r="228" spans="1:22" x14ac:dyDescent="0.35">
      <c r="A228">
        <v>227</v>
      </c>
      <c r="B228">
        <v>36</v>
      </c>
      <c r="C228" t="s">
        <v>75</v>
      </c>
      <c r="D228" t="s">
        <v>5</v>
      </c>
      <c r="E228" t="s">
        <v>9</v>
      </c>
      <c r="F228" t="s">
        <v>13</v>
      </c>
      <c r="G228">
        <v>1</v>
      </c>
      <c r="H228">
        <v>15</v>
      </c>
      <c r="I228" t="s">
        <v>18</v>
      </c>
      <c r="J228" s="1">
        <v>1250.3499999999999</v>
      </c>
      <c r="K228" s="1">
        <v>178.62142857142857</v>
      </c>
      <c r="L228">
        <v>7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11</v>
      </c>
      <c r="S228" s="5">
        <v>3</v>
      </c>
      <c r="T228" s="5">
        <v>2</v>
      </c>
      <c r="U228" s="5">
        <v>2</v>
      </c>
      <c r="V228" s="5">
        <v>7</v>
      </c>
    </row>
    <row r="229" spans="1:22" x14ac:dyDescent="0.35">
      <c r="A229">
        <v>228</v>
      </c>
      <c r="B229">
        <v>65</v>
      </c>
      <c r="C229" t="s">
        <v>72</v>
      </c>
      <c r="D229" t="s">
        <v>6</v>
      </c>
      <c r="E229" t="s">
        <v>7</v>
      </c>
      <c r="F229" t="s">
        <v>13</v>
      </c>
      <c r="G229">
        <v>0</v>
      </c>
      <c r="H229">
        <v>32</v>
      </c>
      <c r="I229" t="s">
        <v>17</v>
      </c>
      <c r="J229" s="1">
        <v>2185.36</v>
      </c>
      <c r="K229" s="1">
        <v>364.22666666666669</v>
      </c>
      <c r="L229">
        <v>6</v>
      </c>
      <c r="M229">
        <v>2</v>
      </c>
      <c r="N229">
        <v>1</v>
      </c>
      <c r="O229">
        <v>0</v>
      </c>
      <c r="P229">
        <v>1</v>
      </c>
      <c r="Q229">
        <v>1</v>
      </c>
      <c r="R229">
        <v>178</v>
      </c>
      <c r="S229" s="5">
        <v>1</v>
      </c>
      <c r="T229" s="5">
        <v>2</v>
      </c>
      <c r="U229" s="5">
        <v>3</v>
      </c>
      <c r="V229" s="5">
        <v>6</v>
      </c>
    </row>
    <row r="230" spans="1:22" x14ac:dyDescent="0.35">
      <c r="A230">
        <v>229</v>
      </c>
      <c r="B230">
        <v>21</v>
      </c>
      <c r="C230" t="s">
        <v>73</v>
      </c>
      <c r="D230" t="s">
        <v>6</v>
      </c>
      <c r="E230" t="s">
        <v>7</v>
      </c>
      <c r="F230" t="s">
        <v>12</v>
      </c>
      <c r="G230">
        <v>0</v>
      </c>
      <c r="H230">
        <v>37</v>
      </c>
      <c r="I230" t="s">
        <v>17</v>
      </c>
      <c r="J230" s="1">
        <v>2559.0299999999997</v>
      </c>
      <c r="K230" s="1">
        <v>284.33666666666664</v>
      </c>
      <c r="L230">
        <v>9</v>
      </c>
      <c r="M230">
        <v>1</v>
      </c>
      <c r="N230">
        <v>1</v>
      </c>
      <c r="O230">
        <v>0</v>
      </c>
      <c r="P230">
        <v>1</v>
      </c>
      <c r="Q230">
        <v>0</v>
      </c>
      <c r="R230">
        <v>111</v>
      </c>
      <c r="S230" s="5">
        <v>1</v>
      </c>
      <c r="T230" s="5">
        <v>3</v>
      </c>
      <c r="U230" s="5">
        <v>3</v>
      </c>
      <c r="V230" s="5">
        <v>7</v>
      </c>
    </row>
    <row r="231" spans="1:22" x14ac:dyDescent="0.35">
      <c r="A231">
        <v>230</v>
      </c>
      <c r="B231">
        <v>60</v>
      </c>
      <c r="C231" t="s">
        <v>74</v>
      </c>
      <c r="D231" t="s">
        <v>6</v>
      </c>
      <c r="E231" t="s">
        <v>10</v>
      </c>
      <c r="F231" t="s">
        <v>12</v>
      </c>
      <c r="G231">
        <v>1</v>
      </c>
      <c r="H231">
        <v>9</v>
      </c>
      <c r="I231" t="s">
        <v>18</v>
      </c>
      <c r="J231" s="1">
        <v>1468.07</v>
      </c>
      <c r="K231" s="1">
        <v>244.67833333333331</v>
      </c>
      <c r="L231">
        <v>6</v>
      </c>
      <c r="M231">
        <v>2</v>
      </c>
      <c r="N231">
        <v>1</v>
      </c>
      <c r="O231">
        <v>1</v>
      </c>
      <c r="P231">
        <v>0</v>
      </c>
      <c r="Q231">
        <v>0</v>
      </c>
      <c r="R231">
        <v>35</v>
      </c>
      <c r="S231" s="5">
        <v>2</v>
      </c>
      <c r="T231" s="5">
        <v>2</v>
      </c>
      <c r="U231" s="5">
        <v>2</v>
      </c>
      <c r="V231" s="5">
        <v>6</v>
      </c>
    </row>
    <row r="232" spans="1:22" x14ac:dyDescent="0.35">
      <c r="A232">
        <v>231</v>
      </c>
      <c r="B232">
        <v>30</v>
      </c>
      <c r="C232" t="s">
        <v>73</v>
      </c>
      <c r="D232" t="s">
        <v>6</v>
      </c>
      <c r="E232" t="s">
        <v>8</v>
      </c>
      <c r="F232" t="s">
        <v>11</v>
      </c>
      <c r="G232">
        <v>1</v>
      </c>
      <c r="H232">
        <v>47</v>
      </c>
      <c r="I232" t="s">
        <v>18</v>
      </c>
      <c r="J232" s="1">
        <v>1353.4199999999998</v>
      </c>
      <c r="K232" s="1">
        <v>338.35499999999996</v>
      </c>
      <c r="L232">
        <v>4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5</v>
      </c>
      <c r="S232" s="5">
        <v>3</v>
      </c>
      <c r="T232" s="5">
        <v>2</v>
      </c>
      <c r="U232" s="5">
        <v>2</v>
      </c>
      <c r="V232" s="5">
        <v>7</v>
      </c>
    </row>
    <row r="233" spans="1:22" x14ac:dyDescent="0.35">
      <c r="A233">
        <v>232</v>
      </c>
      <c r="B233">
        <v>56</v>
      </c>
      <c r="C233" t="s">
        <v>74</v>
      </c>
      <c r="D233" t="s">
        <v>6</v>
      </c>
      <c r="E233" t="s">
        <v>7</v>
      </c>
      <c r="F233" t="s">
        <v>11</v>
      </c>
      <c r="G233">
        <v>0</v>
      </c>
      <c r="H233">
        <v>32</v>
      </c>
      <c r="I233" t="s">
        <v>18</v>
      </c>
      <c r="J233" s="1">
        <v>2082.19</v>
      </c>
      <c r="K233" s="1">
        <v>260.27375000000001</v>
      </c>
      <c r="L233">
        <v>8</v>
      </c>
      <c r="M233">
        <v>2</v>
      </c>
      <c r="N233">
        <v>1</v>
      </c>
      <c r="O233">
        <v>0</v>
      </c>
      <c r="P233">
        <v>0</v>
      </c>
      <c r="Q233">
        <v>1</v>
      </c>
      <c r="R233">
        <v>55</v>
      </c>
      <c r="S233" s="5">
        <v>2</v>
      </c>
      <c r="T233" s="5">
        <v>3</v>
      </c>
      <c r="U233" s="5">
        <v>3</v>
      </c>
      <c r="V233" s="5">
        <v>8</v>
      </c>
    </row>
    <row r="234" spans="1:22" x14ac:dyDescent="0.35">
      <c r="A234">
        <v>233</v>
      </c>
      <c r="B234">
        <v>53</v>
      </c>
      <c r="C234" t="s">
        <v>74</v>
      </c>
      <c r="D234" t="s">
        <v>6</v>
      </c>
      <c r="E234" t="s">
        <v>8</v>
      </c>
      <c r="F234" t="s">
        <v>13</v>
      </c>
      <c r="G234">
        <v>0</v>
      </c>
      <c r="H234">
        <v>33</v>
      </c>
      <c r="I234" t="s">
        <v>17</v>
      </c>
      <c r="J234" s="1">
        <v>817.42000000000007</v>
      </c>
      <c r="K234" s="1">
        <v>272.47333333333336</v>
      </c>
      <c r="L234">
        <v>3</v>
      </c>
      <c r="M234">
        <v>2</v>
      </c>
      <c r="N234">
        <v>0</v>
      </c>
      <c r="O234">
        <v>0</v>
      </c>
      <c r="P234">
        <v>1</v>
      </c>
      <c r="Q234">
        <v>0</v>
      </c>
      <c r="R234">
        <v>47</v>
      </c>
      <c r="S234" s="5">
        <v>2</v>
      </c>
      <c r="T234" s="5">
        <v>2</v>
      </c>
      <c r="U234" s="5">
        <v>1</v>
      </c>
      <c r="V234" s="5">
        <v>5</v>
      </c>
    </row>
    <row r="235" spans="1:22" x14ac:dyDescent="0.35">
      <c r="A235">
        <v>234</v>
      </c>
      <c r="B235">
        <v>40</v>
      </c>
      <c r="C235" t="s">
        <v>75</v>
      </c>
      <c r="D235" t="s">
        <v>5</v>
      </c>
      <c r="E235" t="s">
        <v>9</v>
      </c>
      <c r="F235" t="s">
        <v>11</v>
      </c>
      <c r="G235">
        <v>1</v>
      </c>
      <c r="H235">
        <v>23</v>
      </c>
      <c r="I235" t="s">
        <v>18</v>
      </c>
      <c r="J235" s="1">
        <v>1576.7</v>
      </c>
      <c r="K235" s="1">
        <v>197.08750000000001</v>
      </c>
      <c r="L235">
        <v>8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91</v>
      </c>
      <c r="S235" s="5">
        <v>1</v>
      </c>
      <c r="T235" s="5">
        <v>3</v>
      </c>
      <c r="U235" s="5">
        <v>2</v>
      </c>
      <c r="V235" s="5">
        <v>6</v>
      </c>
    </row>
    <row r="236" spans="1:22" x14ac:dyDescent="0.35">
      <c r="A236">
        <v>235</v>
      </c>
      <c r="B236">
        <v>23</v>
      </c>
      <c r="C236" t="s">
        <v>73</v>
      </c>
      <c r="D236" t="s">
        <v>5</v>
      </c>
      <c r="E236" t="s">
        <v>10</v>
      </c>
      <c r="F236" t="s">
        <v>13</v>
      </c>
      <c r="G236">
        <v>0</v>
      </c>
      <c r="H236">
        <v>15</v>
      </c>
      <c r="I236" t="s">
        <v>16</v>
      </c>
      <c r="J236" s="1">
        <v>770.5</v>
      </c>
      <c r="K236" s="1">
        <v>256.83333333333331</v>
      </c>
      <c r="L236">
        <v>3</v>
      </c>
      <c r="M236">
        <v>2</v>
      </c>
      <c r="N236">
        <v>1</v>
      </c>
      <c r="O236">
        <v>0</v>
      </c>
      <c r="P236">
        <v>0</v>
      </c>
      <c r="Q236">
        <v>1</v>
      </c>
      <c r="R236">
        <v>94</v>
      </c>
      <c r="S236" s="5">
        <v>1</v>
      </c>
      <c r="T236" s="5">
        <v>2</v>
      </c>
      <c r="U236" s="5">
        <v>1</v>
      </c>
      <c r="V236" s="5">
        <v>4</v>
      </c>
    </row>
    <row r="237" spans="1:22" x14ac:dyDescent="0.35">
      <c r="A237">
        <v>236</v>
      </c>
      <c r="B237">
        <v>41</v>
      </c>
      <c r="C237" t="s">
        <v>75</v>
      </c>
      <c r="D237" t="s">
        <v>6</v>
      </c>
      <c r="E237" t="s">
        <v>7</v>
      </c>
      <c r="F237" t="s">
        <v>11</v>
      </c>
      <c r="G237">
        <v>1</v>
      </c>
      <c r="H237">
        <v>30</v>
      </c>
      <c r="I237" t="s">
        <v>18</v>
      </c>
      <c r="J237" s="1">
        <v>1482.9900000000002</v>
      </c>
      <c r="K237" s="1">
        <v>247.16500000000005</v>
      </c>
      <c r="L237">
        <v>6</v>
      </c>
      <c r="M237">
        <v>2</v>
      </c>
      <c r="N237">
        <v>0</v>
      </c>
      <c r="O237">
        <v>1</v>
      </c>
      <c r="P237">
        <v>0</v>
      </c>
      <c r="Q237">
        <v>1</v>
      </c>
      <c r="R237">
        <v>13</v>
      </c>
      <c r="S237" s="5">
        <v>3</v>
      </c>
      <c r="T237" s="5">
        <v>2</v>
      </c>
      <c r="U237" s="5">
        <v>2</v>
      </c>
      <c r="V237" s="5">
        <v>7</v>
      </c>
    </row>
    <row r="238" spans="1:22" x14ac:dyDescent="0.35">
      <c r="A238">
        <v>237</v>
      </c>
      <c r="B238">
        <v>61</v>
      </c>
      <c r="C238" t="s">
        <v>72</v>
      </c>
      <c r="D238" t="s">
        <v>5</v>
      </c>
      <c r="E238" t="s">
        <v>10</v>
      </c>
      <c r="F238" t="s">
        <v>11</v>
      </c>
      <c r="G238">
        <v>1</v>
      </c>
      <c r="H238">
        <v>16</v>
      </c>
      <c r="I238" t="s">
        <v>18</v>
      </c>
      <c r="J238" s="1">
        <v>398.99</v>
      </c>
      <c r="K238" s="1">
        <v>398.99</v>
      </c>
      <c r="L238">
        <v>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333</v>
      </c>
      <c r="S238" s="5">
        <v>1</v>
      </c>
      <c r="T238" s="5">
        <v>1</v>
      </c>
      <c r="U238" s="5">
        <v>1</v>
      </c>
      <c r="V238" s="5">
        <v>3</v>
      </c>
    </row>
    <row r="239" spans="1:22" x14ac:dyDescent="0.35">
      <c r="A239">
        <v>238</v>
      </c>
      <c r="B239">
        <v>50</v>
      </c>
      <c r="C239" t="s">
        <v>74</v>
      </c>
      <c r="D239" t="s">
        <v>5</v>
      </c>
      <c r="E239" t="s">
        <v>9</v>
      </c>
      <c r="F239" t="s">
        <v>13</v>
      </c>
      <c r="G239">
        <v>1</v>
      </c>
      <c r="H239">
        <v>22</v>
      </c>
      <c r="I239" t="s">
        <v>16</v>
      </c>
      <c r="J239" s="1">
        <v>762.43999999999994</v>
      </c>
      <c r="K239" s="1">
        <v>254.14666666666665</v>
      </c>
      <c r="L239">
        <v>3</v>
      </c>
      <c r="M239">
        <v>1</v>
      </c>
      <c r="N239">
        <v>1</v>
      </c>
      <c r="O239">
        <v>0</v>
      </c>
      <c r="P239">
        <v>1</v>
      </c>
      <c r="Q239">
        <v>0</v>
      </c>
      <c r="R239">
        <v>63</v>
      </c>
      <c r="S239" s="5">
        <v>2</v>
      </c>
      <c r="T239" s="5">
        <v>2</v>
      </c>
      <c r="U239" s="5">
        <v>1</v>
      </c>
      <c r="V239" s="5">
        <v>5</v>
      </c>
    </row>
    <row r="240" spans="1:22" x14ac:dyDescent="0.35">
      <c r="A240">
        <v>239</v>
      </c>
      <c r="B240">
        <v>29</v>
      </c>
      <c r="C240" t="s">
        <v>73</v>
      </c>
      <c r="D240" t="s">
        <v>6</v>
      </c>
      <c r="E240" t="s">
        <v>8</v>
      </c>
      <c r="F240" t="s">
        <v>12</v>
      </c>
      <c r="G240">
        <v>1</v>
      </c>
      <c r="H240">
        <v>43</v>
      </c>
      <c r="I240" t="s">
        <v>16</v>
      </c>
      <c r="J240" s="1">
        <v>2654.84</v>
      </c>
      <c r="K240" s="1">
        <v>294.98222222222222</v>
      </c>
      <c r="L240">
        <v>9</v>
      </c>
      <c r="M240">
        <v>1</v>
      </c>
      <c r="N240">
        <v>1</v>
      </c>
      <c r="O240">
        <v>1</v>
      </c>
      <c r="P240">
        <v>0</v>
      </c>
      <c r="Q240">
        <v>0</v>
      </c>
      <c r="R240">
        <v>19</v>
      </c>
      <c r="S240" s="5">
        <v>3</v>
      </c>
      <c r="T240" s="5">
        <v>3</v>
      </c>
      <c r="U240" s="5">
        <v>3</v>
      </c>
      <c r="V240" s="5">
        <v>9</v>
      </c>
    </row>
    <row r="241" spans="1:22" x14ac:dyDescent="0.35">
      <c r="A241">
        <v>240</v>
      </c>
      <c r="B241">
        <v>58</v>
      </c>
      <c r="C241" t="s">
        <v>74</v>
      </c>
      <c r="D241" t="s">
        <v>5</v>
      </c>
      <c r="E241" t="s">
        <v>10</v>
      </c>
      <c r="F241" t="s">
        <v>13</v>
      </c>
      <c r="G241">
        <v>0</v>
      </c>
      <c r="H241">
        <v>30</v>
      </c>
      <c r="I241" t="s">
        <v>18</v>
      </c>
      <c r="J241" s="1">
        <v>859.47</v>
      </c>
      <c r="K241" s="1">
        <v>429.73500000000001</v>
      </c>
      <c r="L241">
        <v>2</v>
      </c>
      <c r="M241">
        <v>1</v>
      </c>
      <c r="N241">
        <v>0</v>
      </c>
      <c r="O241">
        <v>1</v>
      </c>
      <c r="P241">
        <v>0</v>
      </c>
      <c r="Q241">
        <v>0</v>
      </c>
      <c r="R241">
        <v>35</v>
      </c>
      <c r="S241" s="5">
        <v>2</v>
      </c>
      <c r="T241" s="5">
        <v>1</v>
      </c>
      <c r="U241" s="5">
        <v>2</v>
      </c>
      <c r="V241" s="5">
        <v>5</v>
      </c>
    </row>
    <row r="242" spans="1:22" x14ac:dyDescent="0.35">
      <c r="A242">
        <v>241</v>
      </c>
      <c r="B242">
        <v>38</v>
      </c>
      <c r="C242" t="s">
        <v>75</v>
      </c>
      <c r="D242" t="s">
        <v>6</v>
      </c>
      <c r="E242" t="s">
        <v>10</v>
      </c>
      <c r="F242" t="s">
        <v>12</v>
      </c>
      <c r="G242">
        <v>0</v>
      </c>
      <c r="H242">
        <v>1</v>
      </c>
      <c r="I242" t="s">
        <v>16</v>
      </c>
      <c r="J242" s="1">
        <v>2185.9300000000003</v>
      </c>
      <c r="K242" s="1">
        <v>242.88111111111115</v>
      </c>
      <c r="L242">
        <v>9</v>
      </c>
      <c r="M242">
        <v>1</v>
      </c>
      <c r="N242">
        <v>0</v>
      </c>
      <c r="O242">
        <v>1</v>
      </c>
      <c r="P242">
        <v>0</v>
      </c>
      <c r="Q242">
        <v>0</v>
      </c>
      <c r="R242">
        <v>96</v>
      </c>
      <c r="S242" s="5">
        <v>1</v>
      </c>
      <c r="T242" s="5">
        <v>3</v>
      </c>
      <c r="U242" s="5">
        <v>3</v>
      </c>
      <c r="V242" s="5">
        <v>7</v>
      </c>
    </row>
    <row r="243" spans="1:22" x14ac:dyDescent="0.35">
      <c r="A243">
        <v>242</v>
      </c>
      <c r="B243">
        <v>28</v>
      </c>
      <c r="C243" t="s">
        <v>73</v>
      </c>
      <c r="D243" t="s">
        <v>6</v>
      </c>
      <c r="E243" t="s">
        <v>7</v>
      </c>
      <c r="F243" t="s">
        <v>11</v>
      </c>
      <c r="G243">
        <v>1</v>
      </c>
      <c r="H243">
        <v>35</v>
      </c>
      <c r="I243" t="s">
        <v>18</v>
      </c>
      <c r="J243" s="1">
        <v>726.73</v>
      </c>
      <c r="K243" s="1">
        <v>242.24333333333334</v>
      </c>
      <c r="L243">
        <v>3</v>
      </c>
      <c r="M243">
        <v>2</v>
      </c>
      <c r="N243">
        <v>1</v>
      </c>
      <c r="O243">
        <v>1</v>
      </c>
      <c r="P243">
        <v>0</v>
      </c>
      <c r="Q243">
        <v>1</v>
      </c>
      <c r="R243">
        <v>46</v>
      </c>
      <c r="S243" s="5">
        <v>2</v>
      </c>
      <c r="T243" s="5">
        <v>2</v>
      </c>
      <c r="U243" s="5">
        <v>1</v>
      </c>
      <c r="V243" s="5">
        <v>5</v>
      </c>
    </row>
    <row r="244" spans="1:22" x14ac:dyDescent="0.35">
      <c r="A244">
        <v>243</v>
      </c>
      <c r="B244">
        <v>61</v>
      </c>
      <c r="C244" t="s">
        <v>72</v>
      </c>
      <c r="D244" t="s">
        <v>5</v>
      </c>
      <c r="E244" t="s">
        <v>8</v>
      </c>
      <c r="F244" t="s">
        <v>12</v>
      </c>
      <c r="G244">
        <v>0</v>
      </c>
      <c r="H244">
        <v>18</v>
      </c>
      <c r="I244" t="s">
        <v>17</v>
      </c>
      <c r="J244" s="1">
        <v>2362.1800000000003</v>
      </c>
      <c r="K244" s="1">
        <v>262.4644444444445</v>
      </c>
      <c r="L244">
        <v>9</v>
      </c>
      <c r="M244">
        <v>1</v>
      </c>
      <c r="N244">
        <v>1</v>
      </c>
      <c r="O244">
        <v>0</v>
      </c>
      <c r="P244">
        <v>1</v>
      </c>
      <c r="Q244">
        <v>0</v>
      </c>
      <c r="R244">
        <v>40</v>
      </c>
      <c r="S244" s="5">
        <v>2</v>
      </c>
      <c r="T244" s="5">
        <v>3</v>
      </c>
      <c r="U244" s="5">
        <v>3</v>
      </c>
      <c r="V244" s="5">
        <v>8</v>
      </c>
    </row>
    <row r="245" spans="1:22" x14ac:dyDescent="0.35">
      <c r="A245">
        <v>244</v>
      </c>
      <c r="B245">
        <v>55</v>
      </c>
      <c r="C245" t="s">
        <v>74</v>
      </c>
      <c r="D245" t="s">
        <v>6</v>
      </c>
      <c r="E245" t="s">
        <v>9</v>
      </c>
      <c r="F245" t="s">
        <v>13</v>
      </c>
      <c r="G245">
        <v>0</v>
      </c>
      <c r="H245">
        <v>15</v>
      </c>
      <c r="I245" t="s">
        <v>18</v>
      </c>
      <c r="J245" s="1">
        <v>1649.8999999999999</v>
      </c>
      <c r="K245" s="1">
        <v>235.7</v>
      </c>
      <c r="L245">
        <v>7</v>
      </c>
      <c r="M245">
        <v>2</v>
      </c>
      <c r="N245">
        <v>1</v>
      </c>
      <c r="O245">
        <v>1</v>
      </c>
      <c r="P245">
        <v>0</v>
      </c>
      <c r="Q245">
        <v>0</v>
      </c>
      <c r="R245">
        <v>23</v>
      </c>
      <c r="S245" s="5">
        <v>3</v>
      </c>
      <c r="T245" s="5">
        <v>2</v>
      </c>
      <c r="U245" s="5">
        <v>3</v>
      </c>
      <c r="V245" s="5">
        <v>8</v>
      </c>
    </row>
    <row r="246" spans="1:22" x14ac:dyDescent="0.35">
      <c r="A246">
        <v>245</v>
      </c>
      <c r="B246">
        <v>46</v>
      </c>
      <c r="C246" t="s">
        <v>74</v>
      </c>
      <c r="D246" t="s">
        <v>6</v>
      </c>
      <c r="E246" t="s">
        <v>7</v>
      </c>
      <c r="F246" t="s">
        <v>11</v>
      </c>
      <c r="G246">
        <v>0</v>
      </c>
      <c r="H246">
        <v>21</v>
      </c>
      <c r="I246" t="s">
        <v>18</v>
      </c>
      <c r="J246" s="1">
        <v>2965.09</v>
      </c>
      <c r="K246" s="1">
        <v>329.45444444444445</v>
      </c>
      <c r="L246">
        <v>9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50</v>
      </c>
      <c r="S246" s="5">
        <v>2</v>
      </c>
      <c r="T246" s="5">
        <v>3</v>
      </c>
      <c r="U246" s="5">
        <v>3</v>
      </c>
      <c r="V246" s="5">
        <v>8</v>
      </c>
    </row>
    <row r="247" spans="1:22" x14ac:dyDescent="0.35">
      <c r="A247">
        <v>246</v>
      </c>
      <c r="B247">
        <v>65</v>
      </c>
      <c r="C247" t="s">
        <v>72</v>
      </c>
      <c r="D247" t="s">
        <v>6</v>
      </c>
      <c r="E247" t="s">
        <v>10</v>
      </c>
      <c r="F247" t="s">
        <v>12</v>
      </c>
      <c r="G247">
        <v>0</v>
      </c>
      <c r="H247">
        <v>40</v>
      </c>
      <c r="I247" t="s">
        <v>16</v>
      </c>
      <c r="J247" s="1">
        <v>1171.1399999999999</v>
      </c>
      <c r="K247" s="1">
        <v>292.78499999999997</v>
      </c>
      <c r="L247">
        <v>4</v>
      </c>
      <c r="M247">
        <v>1</v>
      </c>
      <c r="N247">
        <v>0</v>
      </c>
      <c r="O247">
        <v>0</v>
      </c>
      <c r="P247">
        <v>1</v>
      </c>
      <c r="Q247">
        <v>0</v>
      </c>
      <c r="R247">
        <v>34</v>
      </c>
      <c r="S247" s="5">
        <v>2</v>
      </c>
      <c r="T247" s="5">
        <v>2</v>
      </c>
      <c r="U247" s="5">
        <v>2</v>
      </c>
      <c r="V247" s="5">
        <v>6</v>
      </c>
    </row>
    <row r="248" spans="1:22" x14ac:dyDescent="0.35">
      <c r="A248">
        <v>247</v>
      </c>
      <c r="B248">
        <v>58</v>
      </c>
      <c r="C248" t="s">
        <v>74</v>
      </c>
      <c r="D248" t="s">
        <v>6</v>
      </c>
      <c r="E248" t="s">
        <v>10</v>
      </c>
      <c r="F248" t="s">
        <v>12</v>
      </c>
      <c r="G248">
        <v>0</v>
      </c>
      <c r="H248">
        <v>2</v>
      </c>
      <c r="I248" t="s">
        <v>18</v>
      </c>
      <c r="J248" s="1">
        <v>1887.6799999999998</v>
      </c>
      <c r="K248" s="1">
        <v>269.6685714285714</v>
      </c>
      <c r="L248">
        <v>7</v>
      </c>
      <c r="M248">
        <v>2</v>
      </c>
      <c r="N248">
        <v>0</v>
      </c>
      <c r="O248">
        <v>1</v>
      </c>
      <c r="P248">
        <v>0</v>
      </c>
      <c r="Q248">
        <v>1</v>
      </c>
      <c r="R248">
        <v>86</v>
      </c>
      <c r="S248" s="5">
        <v>1</v>
      </c>
      <c r="T248" s="5">
        <v>2</v>
      </c>
      <c r="U248" s="5">
        <v>3</v>
      </c>
      <c r="V248" s="5">
        <v>6</v>
      </c>
    </row>
    <row r="249" spans="1:22" x14ac:dyDescent="0.35">
      <c r="A249">
        <v>248</v>
      </c>
      <c r="B249">
        <v>20</v>
      </c>
      <c r="C249" t="s">
        <v>73</v>
      </c>
      <c r="D249" t="s">
        <v>5</v>
      </c>
      <c r="E249" t="s">
        <v>8</v>
      </c>
      <c r="F249" t="s">
        <v>13</v>
      </c>
      <c r="G249">
        <v>1</v>
      </c>
      <c r="H249">
        <v>30</v>
      </c>
      <c r="I249" t="s">
        <v>18</v>
      </c>
      <c r="J249" s="1">
        <v>1519.1399999999999</v>
      </c>
      <c r="K249" s="1">
        <v>303.82799999999997</v>
      </c>
      <c r="L249">
        <v>5</v>
      </c>
      <c r="M249">
        <v>1</v>
      </c>
      <c r="N249">
        <v>1</v>
      </c>
      <c r="O249">
        <v>1</v>
      </c>
      <c r="P249">
        <v>0</v>
      </c>
      <c r="Q249">
        <v>0</v>
      </c>
      <c r="R249">
        <v>40</v>
      </c>
      <c r="S249" s="5">
        <v>2</v>
      </c>
      <c r="T249" s="5">
        <v>2</v>
      </c>
      <c r="U249" s="5">
        <v>2</v>
      </c>
      <c r="V249" s="5">
        <v>6</v>
      </c>
    </row>
    <row r="250" spans="1:22" x14ac:dyDescent="0.35">
      <c r="A250">
        <v>249</v>
      </c>
      <c r="B250">
        <v>45</v>
      </c>
      <c r="C250" t="s">
        <v>75</v>
      </c>
      <c r="D250" t="s">
        <v>6</v>
      </c>
      <c r="E250" t="s">
        <v>9</v>
      </c>
      <c r="F250" t="s">
        <v>11</v>
      </c>
      <c r="G250">
        <v>0</v>
      </c>
      <c r="H250">
        <v>40</v>
      </c>
      <c r="I250" t="s">
        <v>17</v>
      </c>
      <c r="J250" s="1">
        <v>356.39</v>
      </c>
      <c r="K250" s="1">
        <v>356.39</v>
      </c>
      <c r="L250">
        <v>1</v>
      </c>
      <c r="M250">
        <v>1</v>
      </c>
      <c r="N250">
        <v>1</v>
      </c>
      <c r="O250">
        <v>1</v>
      </c>
      <c r="P250">
        <v>0</v>
      </c>
      <c r="Q250">
        <v>0</v>
      </c>
      <c r="R250">
        <v>338</v>
      </c>
      <c r="S250" s="5">
        <v>1</v>
      </c>
      <c r="T250" s="5">
        <v>1</v>
      </c>
      <c r="U250" s="5">
        <v>1</v>
      </c>
      <c r="V250" s="5">
        <v>3</v>
      </c>
    </row>
    <row r="251" spans="1:22" x14ac:dyDescent="0.35">
      <c r="A251">
        <v>250</v>
      </c>
      <c r="B251">
        <v>37</v>
      </c>
      <c r="C251" t="s">
        <v>75</v>
      </c>
      <c r="D251" t="s">
        <v>5</v>
      </c>
      <c r="E251" t="s">
        <v>9</v>
      </c>
      <c r="F251" t="s">
        <v>11</v>
      </c>
      <c r="G251">
        <v>0</v>
      </c>
      <c r="H251">
        <v>32</v>
      </c>
      <c r="I251" t="s">
        <v>17</v>
      </c>
      <c r="J251" s="1">
        <v>1607.3600000000001</v>
      </c>
      <c r="K251" s="1">
        <v>229.62285714285716</v>
      </c>
      <c r="L251">
        <v>7</v>
      </c>
      <c r="M251">
        <v>1</v>
      </c>
      <c r="N251">
        <v>0</v>
      </c>
      <c r="O251">
        <v>0</v>
      </c>
      <c r="P251">
        <v>1</v>
      </c>
      <c r="Q251">
        <v>0</v>
      </c>
      <c r="R251">
        <v>3</v>
      </c>
      <c r="S251" s="5">
        <v>3</v>
      </c>
      <c r="T251" s="5">
        <v>2</v>
      </c>
      <c r="U251" s="5">
        <v>3</v>
      </c>
      <c r="V251" s="5">
        <v>8</v>
      </c>
    </row>
    <row r="252" spans="1:22" x14ac:dyDescent="0.35">
      <c r="A252">
        <v>251</v>
      </c>
      <c r="B252">
        <v>43</v>
      </c>
      <c r="C252" t="s">
        <v>75</v>
      </c>
      <c r="D252" t="s">
        <v>6</v>
      </c>
      <c r="E252" t="s">
        <v>10</v>
      </c>
      <c r="F252" t="s">
        <v>12</v>
      </c>
      <c r="G252">
        <v>1</v>
      </c>
      <c r="H252">
        <v>28</v>
      </c>
      <c r="I252" t="s">
        <v>17</v>
      </c>
      <c r="J252" s="1">
        <v>1968.7899999999997</v>
      </c>
      <c r="K252" s="1">
        <v>281.25571428571425</v>
      </c>
      <c r="L252">
        <v>7</v>
      </c>
      <c r="M252">
        <v>1</v>
      </c>
      <c r="N252">
        <v>0</v>
      </c>
      <c r="O252">
        <v>1</v>
      </c>
      <c r="P252">
        <v>0</v>
      </c>
      <c r="Q252">
        <v>0</v>
      </c>
      <c r="R252">
        <v>26</v>
      </c>
      <c r="S252" s="5">
        <v>3</v>
      </c>
      <c r="T252" s="5">
        <v>2</v>
      </c>
      <c r="U252" s="5">
        <v>3</v>
      </c>
      <c r="V252" s="5">
        <v>8</v>
      </c>
    </row>
    <row r="253" spans="1:22" x14ac:dyDescent="0.35">
      <c r="A253">
        <v>252</v>
      </c>
      <c r="B253">
        <v>41</v>
      </c>
      <c r="C253" t="s">
        <v>75</v>
      </c>
      <c r="D253" t="s">
        <v>5</v>
      </c>
      <c r="E253" t="s">
        <v>9</v>
      </c>
      <c r="F253" t="s">
        <v>12</v>
      </c>
      <c r="G253">
        <v>1</v>
      </c>
      <c r="H253">
        <v>11</v>
      </c>
      <c r="I253" t="s">
        <v>18</v>
      </c>
      <c r="J253" s="1">
        <v>980.70999999999992</v>
      </c>
      <c r="K253" s="1">
        <v>245.17749999999998</v>
      </c>
      <c r="L253">
        <v>4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156</v>
      </c>
      <c r="S253" s="5">
        <v>1</v>
      </c>
      <c r="T253" s="5">
        <v>2</v>
      </c>
      <c r="U253" s="5">
        <v>2</v>
      </c>
      <c r="V253" s="5">
        <v>5</v>
      </c>
    </row>
    <row r="254" spans="1:22" x14ac:dyDescent="0.35">
      <c r="A254">
        <v>253</v>
      </c>
      <c r="B254">
        <v>69</v>
      </c>
      <c r="C254" t="s">
        <v>72</v>
      </c>
      <c r="D254" t="s">
        <v>5</v>
      </c>
      <c r="E254" t="s">
        <v>7</v>
      </c>
      <c r="F254" t="s">
        <v>12</v>
      </c>
      <c r="G254">
        <v>0</v>
      </c>
      <c r="H254">
        <v>7</v>
      </c>
      <c r="I254" t="s">
        <v>18</v>
      </c>
      <c r="J254" s="1">
        <v>1319.11</v>
      </c>
      <c r="K254" s="1">
        <v>263.822</v>
      </c>
      <c r="L254">
        <v>5</v>
      </c>
      <c r="M254">
        <v>1</v>
      </c>
      <c r="N254">
        <v>0</v>
      </c>
      <c r="O254">
        <v>1</v>
      </c>
      <c r="P254">
        <v>0</v>
      </c>
      <c r="Q254">
        <v>0</v>
      </c>
      <c r="R254">
        <v>30</v>
      </c>
      <c r="S254" s="5">
        <v>2</v>
      </c>
      <c r="T254" s="5">
        <v>2</v>
      </c>
      <c r="U254" s="5">
        <v>2</v>
      </c>
      <c r="V254" s="5">
        <v>6</v>
      </c>
    </row>
    <row r="255" spans="1:22" x14ac:dyDescent="0.35">
      <c r="A255">
        <v>254</v>
      </c>
      <c r="B255">
        <v>64</v>
      </c>
      <c r="C255" t="s">
        <v>72</v>
      </c>
      <c r="D255" t="s">
        <v>6</v>
      </c>
      <c r="E255" t="s">
        <v>8</v>
      </c>
      <c r="F255" t="s">
        <v>11</v>
      </c>
      <c r="G255">
        <v>1</v>
      </c>
      <c r="H255">
        <v>1</v>
      </c>
      <c r="I255" t="s">
        <v>16</v>
      </c>
      <c r="J255" s="1">
        <v>2220.2599999999998</v>
      </c>
      <c r="K255" s="1">
        <v>246.69555555555553</v>
      </c>
      <c r="L255">
        <v>9</v>
      </c>
      <c r="M255">
        <v>2</v>
      </c>
      <c r="N255">
        <v>1</v>
      </c>
      <c r="O255">
        <v>1</v>
      </c>
      <c r="P255">
        <v>1</v>
      </c>
      <c r="Q255">
        <v>0</v>
      </c>
      <c r="R255">
        <v>22</v>
      </c>
      <c r="S255" s="5">
        <v>3</v>
      </c>
      <c r="T255" s="5">
        <v>3</v>
      </c>
      <c r="U255" s="5">
        <v>3</v>
      </c>
      <c r="V255" s="5">
        <v>9</v>
      </c>
    </row>
    <row r="256" spans="1:22" x14ac:dyDescent="0.35">
      <c r="A256">
        <v>255</v>
      </c>
      <c r="B256">
        <v>38</v>
      </c>
      <c r="C256" t="s">
        <v>75</v>
      </c>
      <c r="D256" t="s">
        <v>5</v>
      </c>
      <c r="E256" t="s">
        <v>10</v>
      </c>
      <c r="F256" t="s">
        <v>12</v>
      </c>
      <c r="G256">
        <v>0</v>
      </c>
      <c r="H256">
        <v>43</v>
      </c>
      <c r="I256" t="s">
        <v>16</v>
      </c>
      <c r="J256" s="1">
        <v>2672.6899999999996</v>
      </c>
      <c r="K256" s="1">
        <v>381.81285714285707</v>
      </c>
      <c r="L256">
        <v>7</v>
      </c>
      <c r="M256">
        <v>1</v>
      </c>
      <c r="N256">
        <v>1</v>
      </c>
      <c r="O256">
        <v>1</v>
      </c>
      <c r="P256">
        <v>0</v>
      </c>
      <c r="Q256">
        <v>0</v>
      </c>
      <c r="R256">
        <v>3</v>
      </c>
      <c r="S256" s="5">
        <v>3</v>
      </c>
      <c r="T256" s="5">
        <v>2</v>
      </c>
      <c r="U256" s="5">
        <v>3</v>
      </c>
      <c r="V256" s="5">
        <v>8</v>
      </c>
    </row>
    <row r="257" spans="1:22" x14ac:dyDescent="0.35">
      <c r="A257">
        <v>256</v>
      </c>
      <c r="B257">
        <v>47</v>
      </c>
      <c r="C257" t="s">
        <v>74</v>
      </c>
      <c r="D257" t="s">
        <v>6</v>
      </c>
      <c r="E257" t="s">
        <v>9</v>
      </c>
      <c r="F257" t="s">
        <v>12</v>
      </c>
      <c r="G257">
        <v>0</v>
      </c>
      <c r="H257">
        <v>28</v>
      </c>
      <c r="I257" t="s">
        <v>16</v>
      </c>
      <c r="J257" s="1">
        <v>208.67</v>
      </c>
      <c r="K257" s="1">
        <v>208.67</v>
      </c>
      <c r="L257">
        <v>1</v>
      </c>
      <c r="M257">
        <v>2</v>
      </c>
      <c r="N257">
        <v>1</v>
      </c>
      <c r="O257">
        <v>0</v>
      </c>
      <c r="P257">
        <v>1</v>
      </c>
      <c r="Q257">
        <v>1</v>
      </c>
      <c r="R257">
        <v>85</v>
      </c>
      <c r="S257" s="5">
        <v>1</v>
      </c>
      <c r="T257" s="5">
        <v>1</v>
      </c>
      <c r="U257" s="5">
        <v>1</v>
      </c>
      <c r="V257" s="5">
        <v>3</v>
      </c>
    </row>
    <row r="258" spans="1:22" x14ac:dyDescent="0.35">
      <c r="A258">
        <v>257</v>
      </c>
      <c r="B258">
        <v>21</v>
      </c>
      <c r="C258" t="s">
        <v>73</v>
      </c>
      <c r="D258" t="s">
        <v>6</v>
      </c>
      <c r="E258" t="s">
        <v>9</v>
      </c>
      <c r="F258" t="s">
        <v>11</v>
      </c>
      <c r="G258">
        <v>0</v>
      </c>
      <c r="H258">
        <v>39</v>
      </c>
      <c r="I258" t="s">
        <v>17</v>
      </c>
      <c r="J258" s="1">
        <v>92.62</v>
      </c>
      <c r="K258" s="1">
        <v>92.62</v>
      </c>
      <c r="L258">
        <v>1</v>
      </c>
      <c r="M258">
        <v>1</v>
      </c>
      <c r="N258">
        <v>0</v>
      </c>
      <c r="O258">
        <v>0</v>
      </c>
      <c r="P258">
        <v>1</v>
      </c>
      <c r="Q258">
        <v>0</v>
      </c>
      <c r="R258">
        <v>343</v>
      </c>
      <c r="S258" s="5">
        <v>1</v>
      </c>
      <c r="T258" s="5">
        <v>1</v>
      </c>
      <c r="U258" s="5">
        <v>1</v>
      </c>
      <c r="V258" s="5">
        <v>3</v>
      </c>
    </row>
    <row r="259" spans="1:22" x14ac:dyDescent="0.35">
      <c r="A259">
        <v>258</v>
      </c>
      <c r="B259">
        <v>53</v>
      </c>
      <c r="C259" t="s">
        <v>74</v>
      </c>
      <c r="D259" t="s">
        <v>5</v>
      </c>
      <c r="E259" t="s">
        <v>7</v>
      </c>
      <c r="F259" t="s">
        <v>11</v>
      </c>
      <c r="G259">
        <v>0</v>
      </c>
      <c r="H259">
        <v>19</v>
      </c>
      <c r="I259" t="s">
        <v>16</v>
      </c>
      <c r="J259" s="1">
        <v>832.85000000000014</v>
      </c>
      <c r="K259" s="1">
        <v>208.21250000000003</v>
      </c>
      <c r="L259">
        <v>4</v>
      </c>
      <c r="M259">
        <v>2</v>
      </c>
      <c r="N259">
        <v>1</v>
      </c>
      <c r="O259">
        <v>1</v>
      </c>
      <c r="P259">
        <v>0</v>
      </c>
      <c r="Q259">
        <v>1</v>
      </c>
      <c r="R259">
        <v>55</v>
      </c>
      <c r="S259" s="5">
        <v>2</v>
      </c>
      <c r="T259" s="5">
        <v>2</v>
      </c>
      <c r="U259" s="5">
        <v>1</v>
      </c>
      <c r="V259" s="5">
        <v>5</v>
      </c>
    </row>
    <row r="260" spans="1:22" x14ac:dyDescent="0.35">
      <c r="A260">
        <v>259</v>
      </c>
      <c r="B260">
        <v>57</v>
      </c>
      <c r="C260" t="s">
        <v>74</v>
      </c>
      <c r="D260" t="s">
        <v>5</v>
      </c>
      <c r="E260" t="s">
        <v>9</v>
      </c>
      <c r="F260" t="s">
        <v>13</v>
      </c>
      <c r="G260">
        <v>0</v>
      </c>
      <c r="H260">
        <v>39</v>
      </c>
      <c r="I260" t="s">
        <v>18</v>
      </c>
      <c r="J260" s="1">
        <v>1469.6699999999998</v>
      </c>
      <c r="K260" s="1">
        <v>244.94499999999996</v>
      </c>
      <c r="L260">
        <v>6</v>
      </c>
      <c r="M260">
        <v>1</v>
      </c>
      <c r="N260">
        <v>0</v>
      </c>
      <c r="O260">
        <v>0</v>
      </c>
      <c r="P260">
        <v>0</v>
      </c>
      <c r="Q260">
        <v>1</v>
      </c>
      <c r="R260">
        <v>70</v>
      </c>
      <c r="S260" s="5">
        <v>2</v>
      </c>
      <c r="T260" s="5">
        <v>2</v>
      </c>
      <c r="U260" s="5">
        <v>2</v>
      </c>
      <c r="V260" s="5">
        <v>6</v>
      </c>
    </row>
    <row r="261" spans="1:22" x14ac:dyDescent="0.35">
      <c r="A261">
        <v>260</v>
      </c>
      <c r="B261">
        <v>27</v>
      </c>
      <c r="C261" t="s">
        <v>73</v>
      </c>
      <c r="D261" t="s">
        <v>5</v>
      </c>
      <c r="E261" t="s">
        <v>7</v>
      </c>
      <c r="F261" t="s">
        <v>11</v>
      </c>
      <c r="G261">
        <v>1</v>
      </c>
      <c r="H261">
        <v>32</v>
      </c>
      <c r="I261" t="s">
        <v>17</v>
      </c>
      <c r="J261" s="1">
        <v>2395.7200000000003</v>
      </c>
      <c r="K261" s="1">
        <v>299.46500000000003</v>
      </c>
      <c r="L261">
        <v>8</v>
      </c>
      <c r="M261">
        <v>1</v>
      </c>
      <c r="N261">
        <v>0</v>
      </c>
      <c r="O261">
        <v>0</v>
      </c>
      <c r="P261">
        <v>1</v>
      </c>
      <c r="Q261">
        <v>0</v>
      </c>
      <c r="R261">
        <v>61</v>
      </c>
      <c r="S261" s="5">
        <v>2</v>
      </c>
      <c r="T261" s="5">
        <v>3</v>
      </c>
      <c r="U261" s="5">
        <v>3</v>
      </c>
      <c r="V261" s="5">
        <v>8</v>
      </c>
    </row>
    <row r="262" spans="1:22" x14ac:dyDescent="0.35">
      <c r="A262">
        <v>261</v>
      </c>
      <c r="B262">
        <v>27</v>
      </c>
      <c r="C262" t="s">
        <v>73</v>
      </c>
      <c r="D262" t="s">
        <v>5</v>
      </c>
      <c r="E262" t="s">
        <v>8</v>
      </c>
      <c r="F262" t="s">
        <v>11</v>
      </c>
      <c r="G262">
        <v>1</v>
      </c>
      <c r="H262">
        <v>49</v>
      </c>
      <c r="I262" t="s">
        <v>18</v>
      </c>
      <c r="J262" s="1">
        <v>489.07</v>
      </c>
      <c r="K262" s="1">
        <v>489.07</v>
      </c>
      <c r="L262">
        <v>1</v>
      </c>
      <c r="M262">
        <v>1</v>
      </c>
      <c r="N262">
        <v>1</v>
      </c>
      <c r="O262">
        <v>1</v>
      </c>
      <c r="P262">
        <v>0</v>
      </c>
      <c r="Q262">
        <v>0</v>
      </c>
      <c r="R262">
        <v>214</v>
      </c>
      <c r="S262" s="5">
        <v>1</v>
      </c>
      <c r="T262" s="5">
        <v>1</v>
      </c>
      <c r="U262" s="5">
        <v>1</v>
      </c>
      <c r="V262" s="5">
        <v>3</v>
      </c>
    </row>
    <row r="263" spans="1:22" x14ac:dyDescent="0.35">
      <c r="A263">
        <v>262</v>
      </c>
      <c r="B263">
        <v>59</v>
      </c>
      <c r="C263" t="s">
        <v>74</v>
      </c>
      <c r="D263" t="s">
        <v>6</v>
      </c>
      <c r="E263" t="s">
        <v>10</v>
      </c>
      <c r="F263" t="s">
        <v>13</v>
      </c>
      <c r="G263">
        <v>1</v>
      </c>
      <c r="H263">
        <v>30</v>
      </c>
      <c r="I263" t="s">
        <v>17</v>
      </c>
      <c r="J263" s="1">
        <v>2940.59</v>
      </c>
      <c r="K263" s="1">
        <v>326.73222222222222</v>
      </c>
      <c r="L263">
        <v>9</v>
      </c>
      <c r="M263">
        <v>2</v>
      </c>
      <c r="N263">
        <v>1</v>
      </c>
      <c r="O263">
        <v>0</v>
      </c>
      <c r="P263">
        <v>0</v>
      </c>
      <c r="Q263">
        <v>1</v>
      </c>
      <c r="R263">
        <v>26</v>
      </c>
      <c r="S263" s="5">
        <v>3</v>
      </c>
      <c r="T263" s="5">
        <v>3</v>
      </c>
      <c r="U263" s="5">
        <v>3</v>
      </c>
      <c r="V263" s="5">
        <v>9</v>
      </c>
    </row>
    <row r="264" spans="1:22" x14ac:dyDescent="0.35">
      <c r="A264">
        <v>263</v>
      </c>
      <c r="B264">
        <v>41</v>
      </c>
      <c r="C264" t="s">
        <v>75</v>
      </c>
      <c r="D264" t="s">
        <v>5</v>
      </c>
      <c r="E264" t="s">
        <v>7</v>
      </c>
      <c r="F264" t="s">
        <v>11</v>
      </c>
      <c r="G264">
        <v>0</v>
      </c>
      <c r="H264">
        <v>2</v>
      </c>
      <c r="I264" t="s">
        <v>17</v>
      </c>
      <c r="J264" s="1">
        <v>13.04</v>
      </c>
      <c r="K264" s="1">
        <v>13.04</v>
      </c>
      <c r="L264">
        <v>1</v>
      </c>
      <c r="M264">
        <v>2</v>
      </c>
      <c r="N264">
        <v>0</v>
      </c>
      <c r="O264">
        <v>1</v>
      </c>
      <c r="P264">
        <v>0</v>
      </c>
      <c r="Q264">
        <v>1</v>
      </c>
      <c r="R264">
        <v>51</v>
      </c>
      <c r="S264" s="5">
        <v>2</v>
      </c>
      <c r="T264" s="5">
        <v>1</v>
      </c>
      <c r="U264" s="5">
        <v>1</v>
      </c>
      <c r="V264" s="5">
        <v>4</v>
      </c>
    </row>
    <row r="265" spans="1:22" x14ac:dyDescent="0.35">
      <c r="A265">
        <v>264</v>
      </c>
      <c r="B265">
        <v>21</v>
      </c>
      <c r="C265" t="s">
        <v>73</v>
      </c>
      <c r="D265" t="s">
        <v>6</v>
      </c>
      <c r="E265" t="s">
        <v>9</v>
      </c>
      <c r="F265" t="s">
        <v>13</v>
      </c>
      <c r="G265">
        <v>0</v>
      </c>
      <c r="H265">
        <v>44</v>
      </c>
      <c r="I265" t="s">
        <v>18</v>
      </c>
      <c r="J265" s="1">
        <v>525.02</v>
      </c>
      <c r="K265" s="1">
        <v>262.51</v>
      </c>
      <c r="L265">
        <v>2</v>
      </c>
      <c r="M265">
        <v>1</v>
      </c>
      <c r="N265">
        <v>0</v>
      </c>
      <c r="O265">
        <v>0</v>
      </c>
      <c r="P265">
        <v>1</v>
      </c>
      <c r="Q265">
        <v>0</v>
      </c>
      <c r="R265">
        <v>161</v>
      </c>
      <c r="S265" s="5">
        <v>1</v>
      </c>
      <c r="T265" s="5">
        <v>1</v>
      </c>
      <c r="U265" s="5">
        <v>1</v>
      </c>
      <c r="V265" s="5">
        <v>3</v>
      </c>
    </row>
    <row r="266" spans="1:22" x14ac:dyDescent="0.35">
      <c r="A266">
        <v>265</v>
      </c>
      <c r="B266">
        <v>64</v>
      </c>
      <c r="C266" t="s">
        <v>72</v>
      </c>
      <c r="D266" t="s">
        <v>5</v>
      </c>
      <c r="E266" t="s">
        <v>9</v>
      </c>
      <c r="F266" t="s">
        <v>11</v>
      </c>
      <c r="G266">
        <v>0</v>
      </c>
      <c r="H266">
        <v>43</v>
      </c>
      <c r="I266" t="s">
        <v>18</v>
      </c>
      <c r="J266" s="1">
        <v>1511.87</v>
      </c>
      <c r="K266" s="1">
        <v>302.37399999999997</v>
      </c>
      <c r="L266">
        <v>5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125</v>
      </c>
      <c r="S266" s="5">
        <v>1</v>
      </c>
      <c r="T266" s="5">
        <v>2</v>
      </c>
      <c r="U266" s="5">
        <v>2</v>
      </c>
      <c r="V266" s="5">
        <v>5</v>
      </c>
    </row>
    <row r="267" spans="1:22" x14ac:dyDescent="0.35">
      <c r="A267">
        <v>266</v>
      </c>
      <c r="B267">
        <v>44</v>
      </c>
      <c r="C267" t="s">
        <v>75</v>
      </c>
      <c r="D267" t="s">
        <v>5</v>
      </c>
      <c r="E267" t="s">
        <v>8</v>
      </c>
      <c r="F267" t="s">
        <v>13</v>
      </c>
      <c r="G267">
        <v>0</v>
      </c>
      <c r="H267">
        <v>37</v>
      </c>
      <c r="I267" t="s">
        <v>18</v>
      </c>
      <c r="J267" s="1">
        <v>459.39</v>
      </c>
      <c r="K267" s="1">
        <v>459.39</v>
      </c>
      <c r="L267">
        <v>1</v>
      </c>
      <c r="M267">
        <v>1</v>
      </c>
      <c r="N267">
        <v>0</v>
      </c>
      <c r="O267">
        <v>0</v>
      </c>
      <c r="P267">
        <v>1</v>
      </c>
      <c r="Q267">
        <v>0</v>
      </c>
      <c r="R267">
        <v>254</v>
      </c>
      <c r="S267" s="5">
        <v>1</v>
      </c>
      <c r="T267" s="5">
        <v>1</v>
      </c>
      <c r="U267" s="5">
        <v>1</v>
      </c>
      <c r="V267" s="5">
        <v>3</v>
      </c>
    </row>
    <row r="268" spans="1:22" x14ac:dyDescent="0.35">
      <c r="A268">
        <v>267</v>
      </c>
      <c r="B268">
        <v>68</v>
      </c>
      <c r="C268" t="s">
        <v>72</v>
      </c>
      <c r="D268" t="s">
        <v>6</v>
      </c>
      <c r="E268" t="s">
        <v>7</v>
      </c>
      <c r="F268" t="s">
        <v>12</v>
      </c>
      <c r="G268">
        <v>0</v>
      </c>
      <c r="H268">
        <v>19</v>
      </c>
      <c r="I268" t="s">
        <v>18</v>
      </c>
      <c r="J268" s="1">
        <v>461.36</v>
      </c>
      <c r="K268" s="1">
        <v>153.78666666666666</v>
      </c>
      <c r="L268">
        <v>3</v>
      </c>
      <c r="M268">
        <v>1</v>
      </c>
      <c r="N268">
        <v>1</v>
      </c>
      <c r="O268">
        <v>0</v>
      </c>
      <c r="P268">
        <v>1</v>
      </c>
      <c r="Q268">
        <v>0</v>
      </c>
      <c r="R268">
        <v>38</v>
      </c>
      <c r="S268" s="5">
        <v>2</v>
      </c>
      <c r="T268" s="5">
        <v>2</v>
      </c>
      <c r="U268" s="5">
        <v>1</v>
      </c>
      <c r="V268" s="5">
        <v>5</v>
      </c>
    </row>
    <row r="269" spans="1:22" x14ac:dyDescent="0.35">
      <c r="A269">
        <v>268</v>
      </c>
      <c r="B269">
        <v>62</v>
      </c>
      <c r="C269" t="s">
        <v>72</v>
      </c>
      <c r="D269" t="s">
        <v>5</v>
      </c>
      <c r="E269" t="s">
        <v>10</v>
      </c>
      <c r="F269" t="s">
        <v>12</v>
      </c>
      <c r="G269">
        <v>0</v>
      </c>
      <c r="H269">
        <v>26</v>
      </c>
      <c r="I269" t="s">
        <v>16</v>
      </c>
      <c r="J269" s="1">
        <v>1096.1600000000001</v>
      </c>
      <c r="K269" s="1">
        <v>219.23200000000003</v>
      </c>
      <c r="L269">
        <v>5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48</v>
      </c>
      <c r="S269" s="5">
        <v>2</v>
      </c>
      <c r="T269" s="5">
        <v>2</v>
      </c>
      <c r="U269" s="5">
        <v>2</v>
      </c>
      <c r="V269" s="5">
        <v>6</v>
      </c>
    </row>
    <row r="270" spans="1:22" x14ac:dyDescent="0.35">
      <c r="A270">
        <v>269</v>
      </c>
      <c r="B270">
        <v>21</v>
      </c>
      <c r="C270" t="s">
        <v>73</v>
      </c>
      <c r="D270" t="s">
        <v>6</v>
      </c>
      <c r="E270" t="s">
        <v>9</v>
      </c>
      <c r="F270" t="s">
        <v>12</v>
      </c>
      <c r="G270">
        <v>0</v>
      </c>
      <c r="H270">
        <v>1</v>
      </c>
      <c r="I270" t="s">
        <v>16</v>
      </c>
      <c r="J270" s="1">
        <v>2123.87</v>
      </c>
      <c r="K270" s="1">
        <v>235.98555555555555</v>
      </c>
      <c r="L270">
        <v>9</v>
      </c>
      <c r="M270">
        <v>2</v>
      </c>
      <c r="N270">
        <v>1</v>
      </c>
      <c r="O270">
        <v>0</v>
      </c>
      <c r="P270">
        <v>0</v>
      </c>
      <c r="Q270">
        <v>1</v>
      </c>
      <c r="R270">
        <v>19</v>
      </c>
      <c r="S270" s="5">
        <v>3</v>
      </c>
      <c r="T270" s="5">
        <v>3</v>
      </c>
      <c r="U270" s="5">
        <v>3</v>
      </c>
      <c r="V270" s="5">
        <v>9</v>
      </c>
    </row>
    <row r="271" spans="1:22" x14ac:dyDescent="0.35">
      <c r="A271">
        <v>270</v>
      </c>
      <c r="B271">
        <v>49</v>
      </c>
      <c r="C271" t="s">
        <v>74</v>
      </c>
      <c r="D271" t="s">
        <v>5</v>
      </c>
      <c r="E271" t="s">
        <v>7</v>
      </c>
      <c r="F271" t="s">
        <v>13</v>
      </c>
      <c r="G271">
        <v>0</v>
      </c>
      <c r="H271">
        <v>42</v>
      </c>
      <c r="I271" t="s">
        <v>16</v>
      </c>
      <c r="J271" s="1">
        <v>734.74</v>
      </c>
      <c r="K271" s="1">
        <v>244.91333333333333</v>
      </c>
      <c r="L271">
        <v>3</v>
      </c>
      <c r="M271">
        <v>1</v>
      </c>
      <c r="N271">
        <v>1</v>
      </c>
      <c r="O271">
        <v>0</v>
      </c>
      <c r="P271">
        <v>1</v>
      </c>
      <c r="Q271">
        <v>0</v>
      </c>
      <c r="R271">
        <v>37</v>
      </c>
      <c r="S271" s="5">
        <v>2</v>
      </c>
      <c r="T271" s="5">
        <v>2</v>
      </c>
      <c r="U271" s="5">
        <v>1</v>
      </c>
      <c r="V271" s="5">
        <v>5</v>
      </c>
    </row>
    <row r="272" spans="1:22" x14ac:dyDescent="0.35">
      <c r="A272">
        <v>271</v>
      </c>
      <c r="B272">
        <v>27</v>
      </c>
      <c r="C272" t="s">
        <v>73</v>
      </c>
      <c r="D272" t="s">
        <v>5</v>
      </c>
      <c r="E272" t="s">
        <v>9</v>
      </c>
      <c r="F272" t="s">
        <v>12</v>
      </c>
      <c r="G272">
        <v>1</v>
      </c>
      <c r="H272">
        <v>28</v>
      </c>
      <c r="I272" t="s">
        <v>18</v>
      </c>
      <c r="J272" s="1">
        <v>865.97</v>
      </c>
      <c r="K272" s="1">
        <v>288.65666666666669</v>
      </c>
      <c r="L272">
        <v>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6</v>
      </c>
      <c r="S272" s="5">
        <v>3</v>
      </c>
      <c r="T272" s="5">
        <v>2</v>
      </c>
      <c r="U272" s="5">
        <v>2</v>
      </c>
      <c r="V272" s="5">
        <v>7</v>
      </c>
    </row>
    <row r="273" spans="1:22" x14ac:dyDescent="0.35">
      <c r="A273">
        <v>272</v>
      </c>
      <c r="B273">
        <v>28</v>
      </c>
      <c r="C273" t="s">
        <v>73</v>
      </c>
      <c r="D273" t="s">
        <v>6</v>
      </c>
      <c r="E273" t="s">
        <v>10</v>
      </c>
      <c r="F273" t="s">
        <v>11</v>
      </c>
      <c r="G273">
        <v>1</v>
      </c>
      <c r="H273">
        <v>26</v>
      </c>
      <c r="I273" t="s">
        <v>18</v>
      </c>
      <c r="J273" s="1">
        <v>1170.04</v>
      </c>
      <c r="K273" s="1">
        <v>146.255</v>
      </c>
      <c r="L273">
        <v>8</v>
      </c>
      <c r="M273">
        <v>2</v>
      </c>
      <c r="N273">
        <v>1</v>
      </c>
      <c r="O273">
        <v>0</v>
      </c>
      <c r="P273">
        <v>1</v>
      </c>
      <c r="Q273">
        <v>1</v>
      </c>
      <c r="R273">
        <v>103</v>
      </c>
      <c r="S273" s="5">
        <v>1</v>
      </c>
      <c r="T273" s="5">
        <v>3</v>
      </c>
      <c r="U273" s="5">
        <v>2</v>
      </c>
      <c r="V273" s="5">
        <v>6</v>
      </c>
    </row>
    <row r="274" spans="1:22" x14ac:dyDescent="0.35">
      <c r="A274">
        <v>273</v>
      </c>
      <c r="B274">
        <v>45</v>
      </c>
      <c r="C274" t="s">
        <v>75</v>
      </c>
      <c r="D274" t="s">
        <v>6</v>
      </c>
      <c r="E274" t="s">
        <v>7</v>
      </c>
      <c r="F274" t="s">
        <v>13</v>
      </c>
      <c r="G274">
        <v>0</v>
      </c>
      <c r="H274">
        <v>40</v>
      </c>
      <c r="I274" t="s">
        <v>16</v>
      </c>
      <c r="J274" s="1">
        <v>1562.83</v>
      </c>
      <c r="K274" s="1">
        <v>223.26142857142855</v>
      </c>
      <c r="L274">
        <v>7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28</v>
      </c>
      <c r="S274" s="5">
        <v>3</v>
      </c>
      <c r="T274" s="5">
        <v>2</v>
      </c>
      <c r="U274" s="5">
        <v>2</v>
      </c>
      <c r="V274" s="5">
        <v>7</v>
      </c>
    </row>
    <row r="275" spans="1:22" x14ac:dyDescent="0.35">
      <c r="A275">
        <v>274</v>
      </c>
      <c r="B275">
        <v>63</v>
      </c>
      <c r="C275" t="s">
        <v>72</v>
      </c>
      <c r="D275" t="s">
        <v>6</v>
      </c>
      <c r="E275" t="s">
        <v>9</v>
      </c>
      <c r="F275" t="s">
        <v>11</v>
      </c>
      <c r="G275">
        <v>0</v>
      </c>
      <c r="H275">
        <v>35</v>
      </c>
      <c r="I275" t="s">
        <v>18</v>
      </c>
      <c r="J275" s="1">
        <v>1117.33</v>
      </c>
      <c r="K275" s="1">
        <v>279.33249999999998</v>
      </c>
      <c r="L275">
        <v>4</v>
      </c>
      <c r="M275">
        <v>1</v>
      </c>
      <c r="N275">
        <v>1</v>
      </c>
      <c r="O275">
        <v>0</v>
      </c>
      <c r="P275">
        <v>0</v>
      </c>
      <c r="Q275">
        <v>1</v>
      </c>
      <c r="R275">
        <v>132</v>
      </c>
      <c r="S275" s="5">
        <v>1</v>
      </c>
      <c r="T275" s="5">
        <v>2</v>
      </c>
      <c r="U275" s="5">
        <v>2</v>
      </c>
      <c r="V275" s="5">
        <v>5</v>
      </c>
    </row>
    <row r="276" spans="1:22" x14ac:dyDescent="0.35">
      <c r="A276">
        <v>275</v>
      </c>
      <c r="B276">
        <v>25</v>
      </c>
      <c r="C276" t="s">
        <v>73</v>
      </c>
      <c r="D276" t="s">
        <v>6</v>
      </c>
      <c r="E276" t="s">
        <v>10</v>
      </c>
      <c r="F276" t="s">
        <v>11</v>
      </c>
      <c r="G276">
        <v>0</v>
      </c>
      <c r="H276">
        <v>3</v>
      </c>
      <c r="I276" t="s">
        <v>17</v>
      </c>
      <c r="J276" s="1">
        <v>605.79</v>
      </c>
      <c r="K276" s="1">
        <v>201.92999999999998</v>
      </c>
      <c r="L276">
        <v>3</v>
      </c>
      <c r="M276">
        <v>2</v>
      </c>
      <c r="N276">
        <v>1</v>
      </c>
      <c r="O276">
        <v>0</v>
      </c>
      <c r="P276">
        <v>1</v>
      </c>
      <c r="Q276">
        <v>1</v>
      </c>
      <c r="R276">
        <v>208</v>
      </c>
      <c r="S276" s="5">
        <v>1</v>
      </c>
      <c r="T276" s="5">
        <v>2</v>
      </c>
      <c r="U276" s="5">
        <v>1</v>
      </c>
      <c r="V276" s="5">
        <v>4</v>
      </c>
    </row>
    <row r="277" spans="1:22" x14ac:dyDescent="0.35">
      <c r="A277">
        <v>276</v>
      </c>
      <c r="B277">
        <v>57</v>
      </c>
      <c r="C277" t="s">
        <v>74</v>
      </c>
      <c r="D277" t="s">
        <v>6</v>
      </c>
      <c r="E277" t="s">
        <v>7</v>
      </c>
      <c r="F277" t="s">
        <v>11</v>
      </c>
      <c r="G277">
        <v>1</v>
      </c>
      <c r="H277">
        <v>26</v>
      </c>
      <c r="I277" t="s">
        <v>18</v>
      </c>
      <c r="J277" s="1">
        <v>2069.6999999999998</v>
      </c>
      <c r="K277" s="1">
        <v>295.67142857142852</v>
      </c>
      <c r="L277">
        <v>7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92</v>
      </c>
      <c r="S277" s="5">
        <v>1</v>
      </c>
      <c r="T277" s="5">
        <v>2</v>
      </c>
      <c r="U277" s="5">
        <v>3</v>
      </c>
      <c r="V277" s="5">
        <v>6</v>
      </c>
    </row>
    <row r="278" spans="1:22" x14ac:dyDescent="0.35">
      <c r="A278">
        <v>277</v>
      </c>
      <c r="B278">
        <v>39</v>
      </c>
      <c r="C278" t="s">
        <v>75</v>
      </c>
      <c r="D278" t="s">
        <v>6</v>
      </c>
      <c r="E278" t="s">
        <v>7</v>
      </c>
      <c r="F278" t="s">
        <v>13</v>
      </c>
      <c r="G278">
        <v>0</v>
      </c>
      <c r="H278">
        <v>33</v>
      </c>
      <c r="I278" t="s">
        <v>16</v>
      </c>
      <c r="J278" s="1">
        <v>1217.78</v>
      </c>
      <c r="K278" s="1">
        <v>202.96333333333334</v>
      </c>
      <c r="L278">
        <v>6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55</v>
      </c>
      <c r="S278" s="5">
        <v>2</v>
      </c>
      <c r="T278" s="5">
        <v>2</v>
      </c>
      <c r="U278" s="5">
        <v>2</v>
      </c>
      <c r="V278" s="5">
        <v>6</v>
      </c>
    </row>
    <row r="279" spans="1:22" x14ac:dyDescent="0.35">
      <c r="A279">
        <v>278</v>
      </c>
      <c r="B279">
        <v>51</v>
      </c>
      <c r="C279" t="s">
        <v>74</v>
      </c>
      <c r="D279" t="s">
        <v>6</v>
      </c>
      <c r="E279" t="s">
        <v>8</v>
      </c>
      <c r="F279" t="s">
        <v>11</v>
      </c>
      <c r="G279">
        <v>0</v>
      </c>
      <c r="H279">
        <v>22</v>
      </c>
      <c r="I279" t="s">
        <v>18</v>
      </c>
      <c r="J279" s="1">
        <v>1423.1</v>
      </c>
      <c r="K279" s="1">
        <v>284.62</v>
      </c>
      <c r="L279">
        <v>5</v>
      </c>
      <c r="M279">
        <v>1</v>
      </c>
      <c r="N279">
        <v>1</v>
      </c>
      <c r="O279">
        <v>0</v>
      </c>
      <c r="P279">
        <v>0</v>
      </c>
      <c r="Q279">
        <v>1</v>
      </c>
      <c r="R279">
        <v>130</v>
      </c>
      <c r="S279" s="5">
        <v>1</v>
      </c>
      <c r="T279" s="5">
        <v>2</v>
      </c>
      <c r="U279" s="5">
        <v>2</v>
      </c>
      <c r="V279" s="5">
        <v>5</v>
      </c>
    </row>
    <row r="280" spans="1:22" x14ac:dyDescent="0.35">
      <c r="A280">
        <v>279</v>
      </c>
      <c r="B280">
        <v>62</v>
      </c>
      <c r="C280" t="s">
        <v>72</v>
      </c>
      <c r="D280" t="s">
        <v>5</v>
      </c>
      <c r="E280" t="s">
        <v>10</v>
      </c>
      <c r="F280" t="s">
        <v>12</v>
      </c>
      <c r="G280">
        <v>0</v>
      </c>
      <c r="H280">
        <v>6</v>
      </c>
      <c r="I280" t="s">
        <v>16</v>
      </c>
      <c r="J280" s="1">
        <v>1209.94</v>
      </c>
      <c r="K280" s="1">
        <v>302.48500000000001</v>
      </c>
      <c r="L280">
        <v>4</v>
      </c>
      <c r="M280">
        <v>1</v>
      </c>
      <c r="N280">
        <v>0</v>
      </c>
      <c r="O280">
        <v>0</v>
      </c>
      <c r="P280">
        <v>1</v>
      </c>
      <c r="Q280">
        <v>0</v>
      </c>
      <c r="R280">
        <v>192</v>
      </c>
      <c r="S280" s="5">
        <v>1</v>
      </c>
      <c r="T280" s="5">
        <v>2</v>
      </c>
      <c r="U280" s="5">
        <v>2</v>
      </c>
      <c r="V280" s="5">
        <v>5</v>
      </c>
    </row>
    <row r="281" spans="1:22" x14ac:dyDescent="0.35">
      <c r="A281">
        <v>280</v>
      </c>
      <c r="B281">
        <v>52</v>
      </c>
      <c r="C281" t="s">
        <v>74</v>
      </c>
      <c r="D281" t="s">
        <v>6</v>
      </c>
      <c r="E281" t="s">
        <v>7</v>
      </c>
      <c r="F281" t="s">
        <v>13</v>
      </c>
      <c r="G281">
        <v>0</v>
      </c>
      <c r="H281">
        <v>42</v>
      </c>
      <c r="I281" t="s">
        <v>18</v>
      </c>
      <c r="J281" s="1">
        <v>836.32999999999993</v>
      </c>
      <c r="K281" s="1">
        <v>209.08249999999998</v>
      </c>
      <c r="L281">
        <v>4</v>
      </c>
      <c r="M281">
        <v>2</v>
      </c>
      <c r="N281">
        <v>1</v>
      </c>
      <c r="O281">
        <v>1</v>
      </c>
      <c r="P281">
        <v>1</v>
      </c>
      <c r="Q281">
        <v>0</v>
      </c>
      <c r="R281">
        <v>45</v>
      </c>
      <c r="S281" s="5">
        <v>2</v>
      </c>
      <c r="T281" s="5">
        <v>2</v>
      </c>
      <c r="U281" s="5">
        <v>2</v>
      </c>
      <c r="V281" s="5">
        <v>6</v>
      </c>
    </row>
    <row r="282" spans="1:22" x14ac:dyDescent="0.35">
      <c r="A282">
        <v>281</v>
      </c>
      <c r="B282">
        <v>52</v>
      </c>
      <c r="C282" t="s">
        <v>74</v>
      </c>
      <c r="D282" t="s">
        <v>5</v>
      </c>
      <c r="E282" t="s">
        <v>8</v>
      </c>
      <c r="F282" t="s">
        <v>12</v>
      </c>
      <c r="G282">
        <v>0</v>
      </c>
      <c r="H282">
        <v>34</v>
      </c>
      <c r="I282" t="s">
        <v>18</v>
      </c>
      <c r="J282" s="1">
        <v>1563.95</v>
      </c>
      <c r="K282" s="1">
        <v>195.49375000000001</v>
      </c>
      <c r="L282">
        <v>8</v>
      </c>
      <c r="M282">
        <v>1</v>
      </c>
      <c r="N282">
        <v>0</v>
      </c>
      <c r="O282">
        <v>0</v>
      </c>
      <c r="P282">
        <v>1</v>
      </c>
      <c r="Q282">
        <v>0</v>
      </c>
      <c r="R282">
        <v>105</v>
      </c>
      <c r="S282" s="5">
        <v>1</v>
      </c>
      <c r="T282" s="5">
        <v>3</v>
      </c>
      <c r="U282" s="5">
        <v>2</v>
      </c>
      <c r="V282" s="5">
        <v>6</v>
      </c>
    </row>
    <row r="283" spans="1:22" x14ac:dyDescent="0.35">
      <c r="A283">
        <v>282</v>
      </c>
      <c r="B283">
        <v>42</v>
      </c>
      <c r="C283" t="s">
        <v>75</v>
      </c>
      <c r="D283" t="s">
        <v>5</v>
      </c>
      <c r="E283" t="s">
        <v>7</v>
      </c>
      <c r="F283" t="s">
        <v>13</v>
      </c>
      <c r="G283">
        <v>1</v>
      </c>
      <c r="H283">
        <v>3</v>
      </c>
      <c r="I283" t="s">
        <v>18</v>
      </c>
      <c r="J283" s="1">
        <v>2016.68</v>
      </c>
      <c r="K283" s="1">
        <v>403.33600000000001</v>
      </c>
      <c r="L283">
        <v>5</v>
      </c>
      <c r="M283">
        <v>1</v>
      </c>
      <c r="N283">
        <v>0</v>
      </c>
      <c r="O283">
        <v>0</v>
      </c>
      <c r="P283">
        <v>0</v>
      </c>
      <c r="Q283">
        <v>1</v>
      </c>
      <c r="R283">
        <v>27</v>
      </c>
      <c r="S283" s="5">
        <v>3</v>
      </c>
      <c r="T283" s="5">
        <v>2</v>
      </c>
      <c r="U283" s="5">
        <v>3</v>
      </c>
      <c r="V283" s="5">
        <v>8</v>
      </c>
    </row>
    <row r="284" spans="1:22" x14ac:dyDescent="0.35">
      <c r="A284">
        <v>283</v>
      </c>
      <c r="B284">
        <v>51</v>
      </c>
      <c r="C284" t="s">
        <v>74</v>
      </c>
      <c r="D284" t="s">
        <v>6</v>
      </c>
      <c r="E284" t="s">
        <v>9</v>
      </c>
      <c r="F284" t="s">
        <v>11</v>
      </c>
      <c r="G284">
        <v>1</v>
      </c>
      <c r="H284">
        <v>17</v>
      </c>
      <c r="I284" t="s">
        <v>18</v>
      </c>
      <c r="J284" s="1">
        <v>1362.86</v>
      </c>
      <c r="K284" s="1">
        <v>272.572</v>
      </c>
      <c r="L284">
        <v>5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21</v>
      </c>
      <c r="S284" s="5">
        <v>3</v>
      </c>
      <c r="T284" s="5">
        <v>2</v>
      </c>
      <c r="U284" s="5">
        <v>2</v>
      </c>
      <c r="V284" s="5">
        <v>7</v>
      </c>
    </row>
    <row r="285" spans="1:22" x14ac:dyDescent="0.35">
      <c r="A285">
        <v>284</v>
      </c>
      <c r="B285">
        <v>23</v>
      </c>
      <c r="C285" t="s">
        <v>73</v>
      </c>
      <c r="D285" t="s">
        <v>5</v>
      </c>
      <c r="E285" t="s">
        <v>8</v>
      </c>
      <c r="F285" t="s">
        <v>12</v>
      </c>
      <c r="G285">
        <v>0</v>
      </c>
      <c r="H285">
        <v>6</v>
      </c>
      <c r="I285" t="s">
        <v>16</v>
      </c>
      <c r="J285" s="1">
        <v>1683.13</v>
      </c>
      <c r="K285" s="1">
        <v>280.5216666666667</v>
      </c>
      <c r="L285">
        <v>6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155</v>
      </c>
      <c r="S285" s="5">
        <v>1</v>
      </c>
      <c r="T285" s="5">
        <v>2</v>
      </c>
      <c r="U285" s="5">
        <v>3</v>
      </c>
      <c r="V285" s="5">
        <v>6</v>
      </c>
    </row>
    <row r="286" spans="1:22" x14ac:dyDescent="0.35">
      <c r="A286">
        <v>285</v>
      </c>
      <c r="B286">
        <v>58</v>
      </c>
      <c r="C286" t="s">
        <v>74</v>
      </c>
      <c r="D286" t="s">
        <v>5</v>
      </c>
      <c r="E286" t="s">
        <v>7</v>
      </c>
      <c r="F286" t="s">
        <v>13</v>
      </c>
      <c r="G286">
        <v>0</v>
      </c>
      <c r="H286">
        <v>42</v>
      </c>
      <c r="I286" t="s">
        <v>16</v>
      </c>
      <c r="J286" s="1">
        <v>1026.5899999999999</v>
      </c>
      <c r="K286" s="1">
        <v>205.31799999999998</v>
      </c>
      <c r="L286">
        <v>5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16</v>
      </c>
      <c r="S286" s="5">
        <v>3</v>
      </c>
      <c r="T286" s="5">
        <v>2</v>
      </c>
      <c r="U286" s="5">
        <v>2</v>
      </c>
      <c r="V286" s="5">
        <v>7</v>
      </c>
    </row>
    <row r="287" spans="1:22" x14ac:dyDescent="0.35">
      <c r="A287">
        <v>286</v>
      </c>
      <c r="B287">
        <v>54</v>
      </c>
      <c r="C287" t="s">
        <v>74</v>
      </c>
      <c r="D287" t="s">
        <v>6</v>
      </c>
      <c r="E287" t="s">
        <v>9</v>
      </c>
      <c r="F287" t="s">
        <v>11</v>
      </c>
      <c r="G287">
        <v>1</v>
      </c>
      <c r="H287">
        <v>5</v>
      </c>
      <c r="I287" t="s">
        <v>17</v>
      </c>
      <c r="J287" s="1">
        <v>512.18999999999994</v>
      </c>
      <c r="K287" s="1">
        <v>256.09499999999997</v>
      </c>
      <c r="L287">
        <v>2</v>
      </c>
      <c r="M287">
        <v>2</v>
      </c>
      <c r="N287">
        <v>1</v>
      </c>
      <c r="O287">
        <v>0</v>
      </c>
      <c r="P287">
        <v>0</v>
      </c>
      <c r="Q287">
        <v>1</v>
      </c>
      <c r="R287">
        <v>24</v>
      </c>
      <c r="S287" s="5">
        <v>3</v>
      </c>
      <c r="T287" s="5">
        <v>1</v>
      </c>
      <c r="U287" s="5">
        <v>1</v>
      </c>
      <c r="V287" s="5">
        <v>5</v>
      </c>
    </row>
    <row r="288" spans="1:22" x14ac:dyDescent="0.35">
      <c r="A288">
        <v>287</v>
      </c>
      <c r="B288">
        <v>18</v>
      </c>
      <c r="C288" t="s">
        <v>73</v>
      </c>
      <c r="D288" t="s">
        <v>5</v>
      </c>
      <c r="E288" t="s">
        <v>9</v>
      </c>
      <c r="F288" t="s">
        <v>11</v>
      </c>
      <c r="G288">
        <v>0</v>
      </c>
      <c r="H288">
        <v>20</v>
      </c>
      <c r="I288" t="s">
        <v>17</v>
      </c>
      <c r="J288" s="1">
        <v>615.06999999999994</v>
      </c>
      <c r="K288" s="1">
        <v>307.53499999999997</v>
      </c>
      <c r="L288">
        <v>2</v>
      </c>
      <c r="M288">
        <v>2</v>
      </c>
      <c r="N288">
        <v>1</v>
      </c>
      <c r="O288">
        <v>0</v>
      </c>
      <c r="P288">
        <v>1</v>
      </c>
      <c r="Q288">
        <v>0</v>
      </c>
      <c r="R288">
        <v>17</v>
      </c>
      <c r="S288" s="5">
        <v>3</v>
      </c>
      <c r="T288" s="5">
        <v>1</v>
      </c>
      <c r="U288" s="5">
        <v>1</v>
      </c>
      <c r="V288" s="5">
        <v>5</v>
      </c>
    </row>
    <row r="289" spans="1:22" x14ac:dyDescent="0.35">
      <c r="A289">
        <v>288</v>
      </c>
      <c r="B289">
        <v>29</v>
      </c>
      <c r="C289" t="s">
        <v>73</v>
      </c>
      <c r="D289" t="s">
        <v>6</v>
      </c>
      <c r="E289" t="s">
        <v>9</v>
      </c>
      <c r="F289" t="s">
        <v>13</v>
      </c>
      <c r="G289">
        <v>0</v>
      </c>
      <c r="H289">
        <v>1</v>
      </c>
      <c r="I289" t="s">
        <v>17</v>
      </c>
      <c r="J289" s="1">
        <v>2217.85</v>
      </c>
      <c r="K289" s="1">
        <v>277.23124999999999</v>
      </c>
      <c r="L289">
        <v>8</v>
      </c>
      <c r="M289">
        <v>2</v>
      </c>
      <c r="N289">
        <v>1</v>
      </c>
      <c r="O289">
        <v>1</v>
      </c>
      <c r="P289">
        <v>1</v>
      </c>
      <c r="Q289">
        <v>0</v>
      </c>
      <c r="R289">
        <v>33</v>
      </c>
      <c r="S289" s="5">
        <v>2</v>
      </c>
      <c r="T289" s="5">
        <v>3</v>
      </c>
      <c r="U289" s="5">
        <v>3</v>
      </c>
      <c r="V289" s="5">
        <v>8</v>
      </c>
    </row>
    <row r="290" spans="1:22" x14ac:dyDescent="0.35">
      <c r="A290">
        <v>289</v>
      </c>
      <c r="B290">
        <v>52</v>
      </c>
      <c r="C290" t="s">
        <v>74</v>
      </c>
      <c r="D290" t="s">
        <v>5</v>
      </c>
      <c r="E290" t="s">
        <v>8</v>
      </c>
      <c r="F290" t="s">
        <v>13</v>
      </c>
      <c r="G290">
        <v>0</v>
      </c>
      <c r="H290">
        <v>24</v>
      </c>
      <c r="I290" t="s">
        <v>16</v>
      </c>
      <c r="J290" s="1">
        <v>30.48</v>
      </c>
      <c r="K290" s="1">
        <v>30.48</v>
      </c>
      <c r="L290">
        <v>1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206</v>
      </c>
      <c r="S290" s="5">
        <v>1</v>
      </c>
      <c r="T290" s="5">
        <v>1</v>
      </c>
      <c r="U290" s="5">
        <v>1</v>
      </c>
      <c r="V290" s="5">
        <v>3</v>
      </c>
    </row>
    <row r="291" spans="1:22" x14ac:dyDescent="0.35">
      <c r="A291">
        <v>290</v>
      </c>
      <c r="B291">
        <v>23</v>
      </c>
      <c r="C291" t="s">
        <v>73</v>
      </c>
      <c r="D291" t="s">
        <v>5</v>
      </c>
      <c r="E291" t="s">
        <v>9</v>
      </c>
      <c r="F291" t="s">
        <v>13</v>
      </c>
      <c r="G291">
        <v>0</v>
      </c>
      <c r="H291">
        <v>9</v>
      </c>
      <c r="I291" t="s">
        <v>16</v>
      </c>
      <c r="J291" s="1">
        <v>403.33</v>
      </c>
      <c r="K291" s="1">
        <v>403.33</v>
      </c>
      <c r="L291">
        <v>1</v>
      </c>
      <c r="M291">
        <v>1</v>
      </c>
      <c r="N291">
        <v>1</v>
      </c>
      <c r="O291">
        <v>0</v>
      </c>
      <c r="P291">
        <v>1</v>
      </c>
      <c r="Q291">
        <v>0</v>
      </c>
      <c r="R291">
        <v>6</v>
      </c>
      <c r="S291" s="5">
        <v>3</v>
      </c>
      <c r="T291" s="5">
        <v>1</v>
      </c>
      <c r="U291" s="5">
        <v>1</v>
      </c>
      <c r="V291" s="5">
        <v>5</v>
      </c>
    </row>
    <row r="292" spans="1:22" x14ac:dyDescent="0.35">
      <c r="A292">
        <v>291</v>
      </c>
      <c r="B292">
        <v>34</v>
      </c>
      <c r="C292" t="s">
        <v>75</v>
      </c>
      <c r="D292" t="s">
        <v>6</v>
      </c>
      <c r="E292" t="s">
        <v>10</v>
      </c>
      <c r="F292" t="s">
        <v>13</v>
      </c>
      <c r="G292">
        <v>0</v>
      </c>
      <c r="H292">
        <v>15</v>
      </c>
      <c r="I292" t="s">
        <v>17</v>
      </c>
      <c r="J292" s="1">
        <v>1572.7400000000002</v>
      </c>
      <c r="K292" s="1">
        <v>262.12333333333339</v>
      </c>
      <c r="L292">
        <v>6</v>
      </c>
      <c r="M292">
        <v>2</v>
      </c>
      <c r="N292">
        <v>1</v>
      </c>
      <c r="O292">
        <v>1</v>
      </c>
      <c r="P292">
        <v>0</v>
      </c>
      <c r="Q292">
        <v>1</v>
      </c>
      <c r="R292">
        <v>76</v>
      </c>
      <c r="S292" s="5">
        <v>2</v>
      </c>
      <c r="T292" s="5">
        <v>2</v>
      </c>
      <c r="U292" s="5">
        <v>2</v>
      </c>
      <c r="V292" s="5">
        <v>6</v>
      </c>
    </row>
    <row r="293" spans="1:22" x14ac:dyDescent="0.35">
      <c r="A293">
        <v>292</v>
      </c>
      <c r="B293">
        <v>26</v>
      </c>
      <c r="C293" t="s">
        <v>73</v>
      </c>
      <c r="D293" t="s">
        <v>5</v>
      </c>
      <c r="E293" t="s">
        <v>7</v>
      </c>
      <c r="F293" t="s">
        <v>12</v>
      </c>
      <c r="G293">
        <v>0</v>
      </c>
      <c r="H293">
        <v>37</v>
      </c>
      <c r="I293" t="s">
        <v>17</v>
      </c>
      <c r="J293" s="1">
        <v>2429.6999999999998</v>
      </c>
      <c r="K293" s="1">
        <v>303.71249999999998</v>
      </c>
      <c r="L293">
        <v>8</v>
      </c>
      <c r="M293">
        <v>2</v>
      </c>
      <c r="N293">
        <v>1</v>
      </c>
      <c r="O293">
        <v>0</v>
      </c>
      <c r="P293">
        <v>0</v>
      </c>
      <c r="Q293">
        <v>1</v>
      </c>
      <c r="R293">
        <v>11</v>
      </c>
      <c r="S293" s="5">
        <v>3</v>
      </c>
      <c r="T293" s="5">
        <v>3</v>
      </c>
      <c r="U293" s="5">
        <v>3</v>
      </c>
      <c r="V293" s="5">
        <v>9</v>
      </c>
    </row>
    <row r="294" spans="1:22" x14ac:dyDescent="0.35">
      <c r="A294">
        <v>293</v>
      </c>
      <c r="B294">
        <v>19</v>
      </c>
      <c r="C294" t="s">
        <v>73</v>
      </c>
      <c r="D294" t="s">
        <v>5</v>
      </c>
      <c r="E294" t="s">
        <v>10</v>
      </c>
      <c r="F294" t="s">
        <v>13</v>
      </c>
      <c r="G294">
        <v>0</v>
      </c>
      <c r="H294">
        <v>18</v>
      </c>
      <c r="I294" t="s">
        <v>16</v>
      </c>
      <c r="J294" s="1">
        <v>209.68</v>
      </c>
      <c r="K294" s="1">
        <v>209.68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246</v>
      </c>
      <c r="S294" s="5">
        <v>1</v>
      </c>
      <c r="T294" s="5">
        <v>1</v>
      </c>
      <c r="U294" s="5">
        <v>1</v>
      </c>
      <c r="V294" s="5">
        <v>3</v>
      </c>
    </row>
    <row r="295" spans="1:22" x14ac:dyDescent="0.35">
      <c r="A295">
        <v>294</v>
      </c>
      <c r="B295">
        <v>35</v>
      </c>
      <c r="C295" t="s">
        <v>75</v>
      </c>
      <c r="D295" t="s">
        <v>6</v>
      </c>
      <c r="E295" t="s">
        <v>9</v>
      </c>
      <c r="F295" t="s">
        <v>11</v>
      </c>
      <c r="G295">
        <v>0</v>
      </c>
      <c r="H295">
        <v>22</v>
      </c>
      <c r="I295" t="s">
        <v>18</v>
      </c>
      <c r="J295" s="1">
        <v>1882.08</v>
      </c>
      <c r="K295" s="1">
        <v>313.68</v>
      </c>
      <c r="L295">
        <v>6</v>
      </c>
      <c r="M295">
        <v>1</v>
      </c>
      <c r="N295">
        <v>0</v>
      </c>
      <c r="O295">
        <v>0</v>
      </c>
      <c r="P295">
        <v>1</v>
      </c>
      <c r="Q295">
        <v>0</v>
      </c>
      <c r="R295">
        <v>30</v>
      </c>
      <c r="S295" s="5">
        <v>2</v>
      </c>
      <c r="T295" s="5">
        <v>2</v>
      </c>
      <c r="U295" s="5">
        <v>3</v>
      </c>
      <c r="V295" s="5">
        <v>7</v>
      </c>
    </row>
    <row r="296" spans="1:22" x14ac:dyDescent="0.35">
      <c r="A296">
        <v>295</v>
      </c>
      <c r="B296">
        <v>66</v>
      </c>
      <c r="C296" t="s">
        <v>72</v>
      </c>
      <c r="D296" t="s">
        <v>6</v>
      </c>
      <c r="E296" t="s">
        <v>9</v>
      </c>
      <c r="F296" t="s">
        <v>12</v>
      </c>
      <c r="G296">
        <v>0</v>
      </c>
      <c r="H296">
        <v>11</v>
      </c>
      <c r="I296" t="s">
        <v>17</v>
      </c>
      <c r="J296" s="1">
        <v>960.99</v>
      </c>
      <c r="K296" s="1">
        <v>320.33</v>
      </c>
      <c r="L296">
        <v>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117</v>
      </c>
      <c r="S296" s="5">
        <v>1</v>
      </c>
      <c r="T296" s="5">
        <v>2</v>
      </c>
      <c r="U296" s="5">
        <v>2</v>
      </c>
      <c r="V296" s="5">
        <v>5</v>
      </c>
    </row>
    <row r="297" spans="1:22" x14ac:dyDescent="0.35">
      <c r="A297">
        <v>296</v>
      </c>
      <c r="B297">
        <v>53</v>
      </c>
      <c r="C297" t="s">
        <v>74</v>
      </c>
      <c r="D297" t="s">
        <v>5</v>
      </c>
      <c r="E297" t="s">
        <v>10</v>
      </c>
      <c r="F297" t="s">
        <v>11</v>
      </c>
      <c r="G297">
        <v>0</v>
      </c>
      <c r="H297">
        <v>38</v>
      </c>
      <c r="I297" t="s">
        <v>16</v>
      </c>
      <c r="J297" s="1">
        <v>261.24</v>
      </c>
      <c r="K297" s="1">
        <v>261.24</v>
      </c>
      <c r="L297">
        <v>1</v>
      </c>
      <c r="M297">
        <v>1</v>
      </c>
      <c r="N297">
        <v>1</v>
      </c>
      <c r="O297">
        <v>0</v>
      </c>
      <c r="P297">
        <v>1</v>
      </c>
      <c r="Q297">
        <v>0</v>
      </c>
      <c r="R297">
        <v>207</v>
      </c>
      <c r="S297" s="5">
        <v>1</v>
      </c>
      <c r="T297" s="5">
        <v>1</v>
      </c>
      <c r="U297" s="5">
        <v>1</v>
      </c>
      <c r="V297" s="5">
        <v>3</v>
      </c>
    </row>
    <row r="298" spans="1:22" x14ac:dyDescent="0.35">
      <c r="A298">
        <v>297</v>
      </c>
      <c r="B298">
        <v>45</v>
      </c>
      <c r="C298" t="s">
        <v>75</v>
      </c>
      <c r="D298" t="s">
        <v>5</v>
      </c>
      <c r="E298" t="s">
        <v>8</v>
      </c>
      <c r="F298" t="s">
        <v>11</v>
      </c>
      <c r="G298">
        <v>0</v>
      </c>
      <c r="H298">
        <v>3</v>
      </c>
      <c r="I298" t="s">
        <v>16</v>
      </c>
      <c r="J298" s="1">
        <v>1714.09</v>
      </c>
      <c r="K298" s="1">
        <v>214.26124999999999</v>
      </c>
      <c r="L298">
        <v>8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99</v>
      </c>
      <c r="S298" s="5">
        <v>1</v>
      </c>
      <c r="T298" s="5">
        <v>3</v>
      </c>
      <c r="U298" s="5">
        <v>3</v>
      </c>
      <c r="V298" s="5">
        <v>7</v>
      </c>
    </row>
    <row r="299" spans="1:22" x14ac:dyDescent="0.35">
      <c r="A299">
        <v>298</v>
      </c>
      <c r="B299">
        <v>58</v>
      </c>
      <c r="C299" t="s">
        <v>74</v>
      </c>
      <c r="D299" t="s">
        <v>6</v>
      </c>
      <c r="E299" t="s">
        <v>9</v>
      </c>
      <c r="F299" t="s">
        <v>13</v>
      </c>
      <c r="G299">
        <v>0</v>
      </c>
      <c r="H299">
        <v>29</v>
      </c>
      <c r="I299" t="s">
        <v>17</v>
      </c>
      <c r="J299" s="1">
        <v>1305.25</v>
      </c>
      <c r="K299" s="1">
        <v>217.54166666666666</v>
      </c>
      <c r="L299">
        <v>6</v>
      </c>
      <c r="M299">
        <v>1</v>
      </c>
      <c r="N299">
        <v>1</v>
      </c>
      <c r="O299">
        <v>0</v>
      </c>
      <c r="P299">
        <v>0</v>
      </c>
      <c r="Q299">
        <v>1</v>
      </c>
      <c r="R299">
        <v>156</v>
      </c>
      <c r="S299" s="5">
        <v>1</v>
      </c>
      <c r="T299" s="5">
        <v>2</v>
      </c>
      <c r="U299" s="5">
        <v>2</v>
      </c>
      <c r="V299" s="5">
        <v>5</v>
      </c>
    </row>
    <row r="300" spans="1:22" x14ac:dyDescent="0.35">
      <c r="A300">
        <v>299</v>
      </c>
      <c r="B300">
        <v>54</v>
      </c>
      <c r="C300" t="s">
        <v>74</v>
      </c>
      <c r="D300" t="s">
        <v>5</v>
      </c>
      <c r="E300" t="s">
        <v>9</v>
      </c>
      <c r="F300" t="s">
        <v>12</v>
      </c>
      <c r="G300">
        <v>0</v>
      </c>
      <c r="H300">
        <v>46</v>
      </c>
      <c r="I300" t="s">
        <v>16</v>
      </c>
      <c r="J300" s="1">
        <v>9.8000000000000007</v>
      </c>
      <c r="K300" s="1">
        <v>9.8000000000000007</v>
      </c>
      <c r="L300">
        <v>1</v>
      </c>
      <c r="M300">
        <v>2</v>
      </c>
      <c r="N300">
        <v>1</v>
      </c>
      <c r="O300">
        <v>0</v>
      </c>
      <c r="P300">
        <v>1</v>
      </c>
      <c r="Q300">
        <v>0</v>
      </c>
      <c r="R300">
        <v>40</v>
      </c>
      <c r="S300" s="5">
        <v>2</v>
      </c>
      <c r="T300" s="5">
        <v>1</v>
      </c>
      <c r="U300" s="5">
        <v>1</v>
      </c>
      <c r="V300" s="5">
        <v>4</v>
      </c>
    </row>
    <row r="301" spans="1:22" x14ac:dyDescent="0.35">
      <c r="A301">
        <v>300</v>
      </c>
      <c r="B301">
        <v>66</v>
      </c>
      <c r="C301" t="s">
        <v>72</v>
      </c>
      <c r="D301" t="s">
        <v>6</v>
      </c>
      <c r="E301" t="s">
        <v>10</v>
      </c>
      <c r="F301" t="s">
        <v>13</v>
      </c>
      <c r="G301">
        <v>0</v>
      </c>
      <c r="H301">
        <v>32</v>
      </c>
      <c r="I301" t="s">
        <v>17</v>
      </c>
      <c r="J301" s="1">
        <v>926.53</v>
      </c>
      <c r="K301" s="1">
        <v>231.63249999999999</v>
      </c>
      <c r="L301">
        <v>4</v>
      </c>
      <c r="M301">
        <v>2</v>
      </c>
      <c r="N301">
        <v>0</v>
      </c>
      <c r="O301">
        <v>0</v>
      </c>
      <c r="P301">
        <v>1</v>
      </c>
      <c r="Q301">
        <v>1</v>
      </c>
      <c r="R301">
        <v>148</v>
      </c>
      <c r="S301" s="5">
        <v>1</v>
      </c>
      <c r="T301" s="5">
        <v>2</v>
      </c>
      <c r="U301" s="5">
        <v>2</v>
      </c>
      <c r="V301" s="5">
        <v>5</v>
      </c>
    </row>
    <row r="302" spans="1:22" x14ac:dyDescent="0.35">
      <c r="A302">
        <v>301</v>
      </c>
      <c r="B302">
        <v>43</v>
      </c>
      <c r="C302" t="s">
        <v>75</v>
      </c>
      <c r="D302" t="s">
        <v>6</v>
      </c>
      <c r="E302" t="s">
        <v>9</v>
      </c>
      <c r="F302" t="s">
        <v>11</v>
      </c>
      <c r="G302">
        <v>0</v>
      </c>
      <c r="H302">
        <v>34</v>
      </c>
      <c r="I302" t="s">
        <v>18</v>
      </c>
      <c r="J302" s="1">
        <v>1298.9499999999998</v>
      </c>
      <c r="K302" s="1">
        <v>216.49166666666665</v>
      </c>
      <c r="L302">
        <v>6</v>
      </c>
      <c r="M302">
        <v>1</v>
      </c>
      <c r="N302">
        <v>0</v>
      </c>
      <c r="O302">
        <v>0</v>
      </c>
      <c r="P302">
        <v>1</v>
      </c>
      <c r="Q302">
        <v>0</v>
      </c>
      <c r="R302">
        <v>19</v>
      </c>
      <c r="S302" s="5">
        <v>3</v>
      </c>
      <c r="T302" s="5">
        <v>2</v>
      </c>
      <c r="U302" s="5">
        <v>2</v>
      </c>
      <c r="V302" s="5">
        <v>7</v>
      </c>
    </row>
    <row r="303" spans="1:22" x14ac:dyDescent="0.35">
      <c r="A303">
        <v>302</v>
      </c>
      <c r="B303">
        <v>21</v>
      </c>
      <c r="C303" t="s">
        <v>73</v>
      </c>
      <c r="D303" t="s">
        <v>5</v>
      </c>
      <c r="E303" t="s">
        <v>9</v>
      </c>
      <c r="F303" t="s">
        <v>13</v>
      </c>
      <c r="G303">
        <v>0</v>
      </c>
      <c r="H303">
        <v>8</v>
      </c>
      <c r="I303" t="s">
        <v>17</v>
      </c>
      <c r="J303" s="1">
        <v>925.58</v>
      </c>
      <c r="K303" s="1">
        <v>231.39500000000001</v>
      </c>
      <c r="L303">
        <v>4</v>
      </c>
      <c r="M303">
        <v>2</v>
      </c>
      <c r="N303">
        <v>0</v>
      </c>
      <c r="O303">
        <v>0</v>
      </c>
      <c r="P303">
        <v>1</v>
      </c>
      <c r="Q303">
        <v>1</v>
      </c>
      <c r="R303">
        <v>91</v>
      </c>
      <c r="S303" s="5">
        <v>1</v>
      </c>
      <c r="T303" s="5">
        <v>2</v>
      </c>
      <c r="U303" s="5">
        <v>2</v>
      </c>
      <c r="V303" s="5">
        <v>5</v>
      </c>
    </row>
    <row r="304" spans="1:22" x14ac:dyDescent="0.35">
      <c r="A304">
        <v>303</v>
      </c>
      <c r="B304">
        <v>57</v>
      </c>
      <c r="C304" t="s">
        <v>74</v>
      </c>
      <c r="D304" t="s">
        <v>6</v>
      </c>
      <c r="E304" t="s">
        <v>8</v>
      </c>
      <c r="F304" t="s">
        <v>13</v>
      </c>
      <c r="G304">
        <v>0</v>
      </c>
      <c r="H304">
        <v>34</v>
      </c>
      <c r="I304" t="s">
        <v>18</v>
      </c>
      <c r="J304" s="1">
        <v>948.96</v>
      </c>
      <c r="K304" s="1">
        <v>316.32</v>
      </c>
      <c r="L304">
        <v>3</v>
      </c>
      <c r="M304">
        <v>1</v>
      </c>
      <c r="N304">
        <v>0</v>
      </c>
      <c r="O304">
        <v>1</v>
      </c>
      <c r="P304">
        <v>0</v>
      </c>
      <c r="Q304">
        <v>0</v>
      </c>
      <c r="R304">
        <v>237</v>
      </c>
      <c r="S304" s="5">
        <v>1</v>
      </c>
      <c r="T304" s="5">
        <v>2</v>
      </c>
      <c r="U304" s="5">
        <v>2</v>
      </c>
      <c r="V304" s="5">
        <v>5</v>
      </c>
    </row>
    <row r="305" spans="1:22" x14ac:dyDescent="0.35">
      <c r="A305">
        <v>304</v>
      </c>
      <c r="B305">
        <v>53</v>
      </c>
      <c r="C305" t="s">
        <v>74</v>
      </c>
      <c r="D305" t="s">
        <v>6</v>
      </c>
      <c r="E305" t="s">
        <v>8</v>
      </c>
      <c r="F305" t="s">
        <v>13</v>
      </c>
      <c r="G305">
        <v>0</v>
      </c>
      <c r="H305">
        <v>5</v>
      </c>
      <c r="I305" t="s">
        <v>18</v>
      </c>
      <c r="J305" s="1">
        <v>695.73</v>
      </c>
      <c r="K305" s="1">
        <v>231.91</v>
      </c>
      <c r="L305">
        <v>3</v>
      </c>
      <c r="M305">
        <v>1</v>
      </c>
      <c r="N305">
        <v>1</v>
      </c>
      <c r="O305">
        <v>0</v>
      </c>
      <c r="P305">
        <v>1</v>
      </c>
      <c r="Q305">
        <v>0</v>
      </c>
      <c r="R305">
        <v>105</v>
      </c>
      <c r="S305" s="5">
        <v>1</v>
      </c>
      <c r="T305" s="5">
        <v>2</v>
      </c>
      <c r="U305" s="5">
        <v>1</v>
      </c>
      <c r="V305" s="5">
        <v>4</v>
      </c>
    </row>
    <row r="306" spans="1:22" x14ac:dyDescent="0.35">
      <c r="A306">
        <v>305</v>
      </c>
      <c r="B306">
        <v>68</v>
      </c>
      <c r="C306" t="s">
        <v>72</v>
      </c>
      <c r="D306" t="s">
        <v>5</v>
      </c>
      <c r="E306" t="s">
        <v>8</v>
      </c>
      <c r="F306" t="s">
        <v>13</v>
      </c>
      <c r="G306">
        <v>0</v>
      </c>
      <c r="H306">
        <v>9</v>
      </c>
      <c r="I306" t="s">
        <v>16</v>
      </c>
      <c r="J306" s="1">
        <v>288.26</v>
      </c>
      <c r="K306" s="1">
        <v>288.26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197</v>
      </c>
      <c r="S306" s="5">
        <v>1</v>
      </c>
      <c r="T306" s="5">
        <v>1</v>
      </c>
      <c r="U306" s="5">
        <v>1</v>
      </c>
      <c r="V306" s="5">
        <v>3</v>
      </c>
    </row>
    <row r="307" spans="1:22" x14ac:dyDescent="0.35">
      <c r="A307">
        <v>306</v>
      </c>
      <c r="B307">
        <v>48</v>
      </c>
      <c r="C307" t="s">
        <v>74</v>
      </c>
      <c r="D307" t="s">
        <v>6</v>
      </c>
      <c r="E307" t="s">
        <v>8</v>
      </c>
      <c r="F307" t="s">
        <v>13</v>
      </c>
      <c r="G307">
        <v>0</v>
      </c>
      <c r="H307">
        <v>17</v>
      </c>
      <c r="I307" t="s">
        <v>16</v>
      </c>
      <c r="J307" s="1">
        <v>2285.6</v>
      </c>
      <c r="K307" s="1">
        <v>253.95555555555555</v>
      </c>
      <c r="L307">
        <v>9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25</v>
      </c>
      <c r="S307" s="5">
        <v>3</v>
      </c>
      <c r="T307" s="5">
        <v>3</v>
      </c>
      <c r="U307" s="5">
        <v>3</v>
      </c>
      <c r="V307" s="5">
        <v>9</v>
      </c>
    </row>
    <row r="308" spans="1:22" x14ac:dyDescent="0.35">
      <c r="A308">
        <v>307</v>
      </c>
      <c r="B308">
        <v>47</v>
      </c>
      <c r="C308" t="s">
        <v>74</v>
      </c>
      <c r="D308" t="s">
        <v>5</v>
      </c>
      <c r="E308" t="s">
        <v>8</v>
      </c>
      <c r="F308" t="s">
        <v>13</v>
      </c>
      <c r="G308">
        <v>0</v>
      </c>
      <c r="H308">
        <v>20</v>
      </c>
      <c r="I308" t="s">
        <v>16</v>
      </c>
      <c r="J308" s="1">
        <v>1416.68</v>
      </c>
      <c r="K308" s="1">
        <v>354.17</v>
      </c>
      <c r="L308">
        <v>4</v>
      </c>
      <c r="M308">
        <v>1</v>
      </c>
      <c r="N308">
        <v>0</v>
      </c>
      <c r="O308">
        <v>1</v>
      </c>
      <c r="P308">
        <v>0</v>
      </c>
      <c r="Q308">
        <v>0</v>
      </c>
      <c r="R308">
        <v>12</v>
      </c>
      <c r="S308" s="5">
        <v>3</v>
      </c>
      <c r="T308" s="5">
        <v>2</v>
      </c>
      <c r="U308" s="5">
        <v>2</v>
      </c>
      <c r="V308" s="5">
        <v>7</v>
      </c>
    </row>
    <row r="309" spans="1:22" x14ac:dyDescent="0.35">
      <c r="A309">
        <v>308</v>
      </c>
      <c r="B309">
        <v>67</v>
      </c>
      <c r="C309" t="s">
        <v>72</v>
      </c>
      <c r="D309" t="s">
        <v>5</v>
      </c>
      <c r="E309" t="s">
        <v>9</v>
      </c>
      <c r="F309" t="s">
        <v>12</v>
      </c>
      <c r="G309">
        <v>0</v>
      </c>
      <c r="H309">
        <v>42</v>
      </c>
      <c r="I309" t="s">
        <v>16</v>
      </c>
      <c r="J309" s="1">
        <v>1791.69</v>
      </c>
      <c r="K309" s="1">
        <v>255.95571428571429</v>
      </c>
      <c r="L309">
        <v>7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13</v>
      </c>
      <c r="S309" s="5">
        <v>3</v>
      </c>
      <c r="T309" s="5">
        <v>2</v>
      </c>
      <c r="U309" s="5">
        <v>3</v>
      </c>
      <c r="V309" s="5">
        <v>8</v>
      </c>
    </row>
    <row r="310" spans="1:22" x14ac:dyDescent="0.35">
      <c r="A310">
        <v>309</v>
      </c>
      <c r="B310">
        <v>51</v>
      </c>
      <c r="C310" t="s">
        <v>74</v>
      </c>
      <c r="D310" t="s">
        <v>5</v>
      </c>
      <c r="E310" t="s">
        <v>7</v>
      </c>
      <c r="F310" t="s">
        <v>13</v>
      </c>
      <c r="G310">
        <v>0</v>
      </c>
      <c r="H310">
        <v>27</v>
      </c>
      <c r="I310" t="s">
        <v>18</v>
      </c>
      <c r="J310" s="1">
        <v>1400.5</v>
      </c>
      <c r="K310" s="1">
        <v>280.10000000000002</v>
      </c>
      <c r="L310">
        <v>5</v>
      </c>
      <c r="M310">
        <v>1</v>
      </c>
      <c r="N310">
        <v>0</v>
      </c>
      <c r="O310">
        <v>0</v>
      </c>
      <c r="P310">
        <v>1</v>
      </c>
      <c r="Q310">
        <v>0</v>
      </c>
      <c r="R310">
        <v>62</v>
      </c>
      <c r="S310" s="5">
        <v>2</v>
      </c>
      <c r="T310" s="5">
        <v>2</v>
      </c>
      <c r="U310" s="5">
        <v>2</v>
      </c>
      <c r="V310" s="5">
        <v>6</v>
      </c>
    </row>
    <row r="311" spans="1:22" x14ac:dyDescent="0.35">
      <c r="A311">
        <v>310</v>
      </c>
      <c r="B311">
        <v>36</v>
      </c>
      <c r="C311" t="s">
        <v>75</v>
      </c>
      <c r="D311" t="s">
        <v>6</v>
      </c>
      <c r="E311" t="s">
        <v>9</v>
      </c>
      <c r="F311" t="s">
        <v>12</v>
      </c>
      <c r="G311">
        <v>0</v>
      </c>
      <c r="H311">
        <v>5</v>
      </c>
      <c r="I311" t="s">
        <v>18</v>
      </c>
      <c r="J311" s="1">
        <v>1058.1399999999999</v>
      </c>
      <c r="K311" s="1">
        <v>264.53499999999997</v>
      </c>
      <c r="L311">
        <v>4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17</v>
      </c>
      <c r="S311" s="5">
        <v>3</v>
      </c>
      <c r="T311" s="5">
        <v>2</v>
      </c>
      <c r="U311" s="5">
        <v>2</v>
      </c>
      <c r="V311" s="5">
        <v>7</v>
      </c>
    </row>
    <row r="312" spans="1:22" x14ac:dyDescent="0.35">
      <c r="A312">
        <v>311</v>
      </c>
      <c r="B312">
        <v>35</v>
      </c>
      <c r="C312" t="s">
        <v>75</v>
      </c>
      <c r="D312" t="s">
        <v>5</v>
      </c>
      <c r="E312" t="s">
        <v>9</v>
      </c>
      <c r="F312" t="s">
        <v>13</v>
      </c>
      <c r="G312">
        <v>1</v>
      </c>
      <c r="H312">
        <v>46</v>
      </c>
      <c r="I312" t="s">
        <v>16</v>
      </c>
      <c r="J312" s="1">
        <v>592.9</v>
      </c>
      <c r="K312" s="1">
        <v>118.58</v>
      </c>
      <c r="L312">
        <v>5</v>
      </c>
      <c r="M312">
        <v>2</v>
      </c>
      <c r="N312">
        <v>0</v>
      </c>
      <c r="O312">
        <v>1</v>
      </c>
      <c r="P312">
        <v>0</v>
      </c>
      <c r="Q312">
        <v>0</v>
      </c>
      <c r="R312">
        <v>97</v>
      </c>
      <c r="S312" s="5">
        <v>1</v>
      </c>
      <c r="T312" s="5">
        <v>2</v>
      </c>
      <c r="U312" s="5">
        <v>1</v>
      </c>
      <c r="V312" s="5">
        <v>4</v>
      </c>
    </row>
    <row r="313" spans="1:22" x14ac:dyDescent="0.35">
      <c r="A313">
        <v>312</v>
      </c>
      <c r="B313">
        <v>47</v>
      </c>
      <c r="C313" t="s">
        <v>74</v>
      </c>
      <c r="D313" t="s">
        <v>5</v>
      </c>
      <c r="E313" t="s">
        <v>7</v>
      </c>
      <c r="F313" t="s">
        <v>12</v>
      </c>
      <c r="G313">
        <v>0</v>
      </c>
      <c r="H313">
        <v>29</v>
      </c>
      <c r="I313" t="s">
        <v>17</v>
      </c>
      <c r="J313" s="1">
        <v>283.16000000000003</v>
      </c>
      <c r="K313" s="1">
        <v>141.58000000000001</v>
      </c>
      <c r="L313">
        <v>2</v>
      </c>
      <c r="M313">
        <v>2</v>
      </c>
      <c r="N313">
        <v>1</v>
      </c>
      <c r="O313">
        <v>0</v>
      </c>
      <c r="P313">
        <v>1</v>
      </c>
      <c r="Q313">
        <v>1</v>
      </c>
      <c r="R313">
        <v>283</v>
      </c>
      <c r="S313" s="5">
        <v>1</v>
      </c>
      <c r="T313" s="5">
        <v>1</v>
      </c>
      <c r="U313" s="5">
        <v>1</v>
      </c>
      <c r="V313" s="5">
        <v>3</v>
      </c>
    </row>
    <row r="314" spans="1:22" x14ac:dyDescent="0.35">
      <c r="A314">
        <v>313</v>
      </c>
      <c r="B314">
        <v>38</v>
      </c>
      <c r="C314" t="s">
        <v>75</v>
      </c>
      <c r="D314" t="s">
        <v>5</v>
      </c>
      <c r="E314" t="s">
        <v>10</v>
      </c>
      <c r="F314" t="s">
        <v>11</v>
      </c>
      <c r="G314">
        <v>0</v>
      </c>
      <c r="H314">
        <v>11</v>
      </c>
      <c r="I314" t="s">
        <v>18</v>
      </c>
      <c r="J314" s="1">
        <v>34.909999999999997</v>
      </c>
      <c r="K314" s="1">
        <v>34.909999999999997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68</v>
      </c>
      <c r="S314" s="5">
        <v>2</v>
      </c>
      <c r="T314" s="5">
        <v>1</v>
      </c>
      <c r="U314" s="5">
        <v>1</v>
      </c>
      <c r="V314" s="5">
        <v>4</v>
      </c>
    </row>
    <row r="315" spans="1:22" x14ac:dyDescent="0.35">
      <c r="A315">
        <v>314</v>
      </c>
      <c r="B315">
        <v>20</v>
      </c>
      <c r="C315" t="s">
        <v>73</v>
      </c>
      <c r="D315" t="s">
        <v>5</v>
      </c>
      <c r="E315" t="s">
        <v>7</v>
      </c>
      <c r="F315" t="s">
        <v>12</v>
      </c>
      <c r="G315">
        <v>0</v>
      </c>
      <c r="H315">
        <v>26</v>
      </c>
      <c r="I315" t="s">
        <v>16</v>
      </c>
      <c r="J315" s="1">
        <v>536.29</v>
      </c>
      <c r="K315" s="1">
        <v>268.14499999999998</v>
      </c>
      <c r="L315">
        <v>2</v>
      </c>
      <c r="M315">
        <v>1</v>
      </c>
      <c r="N315">
        <v>1</v>
      </c>
      <c r="O315">
        <v>0</v>
      </c>
      <c r="P315">
        <v>1</v>
      </c>
      <c r="Q315">
        <v>0</v>
      </c>
      <c r="R315">
        <v>67</v>
      </c>
      <c r="S315" s="5">
        <v>2</v>
      </c>
      <c r="T315" s="5">
        <v>1</v>
      </c>
      <c r="U315" s="5">
        <v>1</v>
      </c>
      <c r="V315" s="5">
        <v>4</v>
      </c>
    </row>
    <row r="316" spans="1:22" x14ac:dyDescent="0.35">
      <c r="A316">
        <v>315</v>
      </c>
      <c r="B316">
        <v>23</v>
      </c>
      <c r="C316" t="s">
        <v>73</v>
      </c>
      <c r="D316" t="s">
        <v>6</v>
      </c>
      <c r="E316" t="s">
        <v>8</v>
      </c>
      <c r="F316" t="s">
        <v>12</v>
      </c>
      <c r="G316">
        <v>1</v>
      </c>
      <c r="H316">
        <v>23</v>
      </c>
      <c r="I316" t="s">
        <v>16</v>
      </c>
      <c r="J316" s="1">
        <v>601.30999999999995</v>
      </c>
      <c r="K316" s="1">
        <v>300.65499999999997</v>
      </c>
      <c r="L316">
        <v>2</v>
      </c>
      <c r="M316">
        <v>1</v>
      </c>
      <c r="N316">
        <v>1</v>
      </c>
      <c r="O316">
        <v>1</v>
      </c>
      <c r="P316">
        <v>0</v>
      </c>
      <c r="Q316">
        <v>0</v>
      </c>
      <c r="R316">
        <v>51</v>
      </c>
      <c r="S316" s="5">
        <v>2</v>
      </c>
      <c r="T316" s="5">
        <v>1</v>
      </c>
      <c r="U316" s="5">
        <v>1</v>
      </c>
      <c r="V316" s="5">
        <v>4</v>
      </c>
    </row>
    <row r="317" spans="1:22" x14ac:dyDescent="0.35">
      <c r="A317">
        <v>316</v>
      </c>
      <c r="B317">
        <v>55</v>
      </c>
      <c r="C317" t="s">
        <v>74</v>
      </c>
      <c r="D317" t="s">
        <v>6</v>
      </c>
      <c r="E317" t="s">
        <v>9</v>
      </c>
      <c r="F317" t="s">
        <v>11</v>
      </c>
      <c r="G317">
        <v>0</v>
      </c>
      <c r="H317">
        <v>18</v>
      </c>
      <c r="I317" t="s">
        <v>16</v>
      </c>
      <c r="J317" s="1">
        <v>649.71</v>
      </c>
      <c r="K317" s="1">
        <v>81.213750000000005</v>
      </c>
      <c r="L317">
        <v>8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98</v>
      </c>
      <c r="S317" s="5">
        <v>1</v>
      </c>
      <c r="T317" s="5">
        <v>3</v>
      </c>
      <c r="U317" s="5">
        <v>1</v>
      </c>
      <c r="V317" s="5">
        <v>5</v>
      </c>
    </row>
    <row r="318" spans="1:22" x14ac:dyDescent="0.35">
      <c r="A318">
        <v>317</v>
      </c>
      <c r="B318">
        <v>30</v>
      </c>
      <c r="C318" t="s">
        <v>73</v>
      </c>
      <c r="D318" t="s">
        <v>5</v>
      </c>
      <c r="E318" t="s">
        <v>8</v>
      </c>
      <c r="F318" t="s">
        <v>13</v>
      </c>
      <c r="G318">
        <v>0</v>
      </c>
      <c r="H318">
        <v>20</v>
      </c>
      <c r="I318" t="s">
        <v>17</v>
      </c>
      <c r="J318" s="1">
        <v>467.82999999999993</v>
      </c>
      <c r="K318" s="1">
        <v>155.9433333333333</v>
      </c>
      <c r="L318">
        <v>3</v>
      </c>
      <c r="M318">
        <v>2</v>
      </c>
      <c r="N318">
        <v>1</v>
      </c>
      <c r="O318">
        <v>1</v>
      </c>
      <c r="P318">
        <v>0</v>
      </c>
      <c r="Q318">
        <v>0</v>
      </c>
      <c r="R318">
        <v>172</v>
      </c>
      <c r="S318" s="5">
        <v>1</v>
      </c>
      <c r="T318" s="5">
        <v>2</v>
      </c>
      <c r="U318" s="5">
        <v>1</v>
      </c>
      <c r="V318" s="5">
        <v>4</v>
      </c>
    </row>
    <row r="319" spans="1:22" x14ac:dyDescent="0.35">
      <c r="A319">
        <v>318</v>
      </c>
      <c r="B319">
        <v>62</v>
      </c>
      <c r="C319" t="s">
        <v>72</v>
      </c>
      <c r="D319" t="s">
        <v>6</v>
      </c>
      <c r="E319" t="s">
        <v>7</v>
      </c>
      <c r="F319" t="s">
        <v>13</v>
      </c>
      <c r="G319">
        <v>0</v>
      </c>
      <c r="H319">
        <v>44</v>
      </c>
      <c r="I319" t="s">
        <v>17</v>
      </c>
      <c r="J319" s="1">
        <v>2145.44</v>
      </c>
      <c r="K319" s="1">
        <v>268.18</v>
      </c>
      <c r="L319">
        <v>8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10</v>
      </c>
      <c r="S319" s="5">
        <v>3</v>
      </c>
      <c r="T319" s="5">
        <v>3</v>
      </c>
      <c r="U319" s="5">
        <v>3</v>
      </c>
      <c r="V319" s="5">
        <v>9</v>
      </c>
    </row>
    <row r="320" spans="1:22" x14ac:dyDescent="0.35">
      <c r="A320">
        <v>319</v>
      </c>
      <c r="B320">
        <v>20</v>
      </c>
      <c r="C320" t="s">
        <v>73</v>
      </c>
      <c r="D320" t="s">
        <v>6</v>
      </c>
      <c r="E320" t="s">
        <v>10</v>
      </c>
      <c r="F320" t="s">
        <v>12</v>
      </c>
      <c r="G320">
        <v>0</v>
      </c>
      <c r="H320">
        <v>21</v>
      </c>
      <c r="I320" t="s">
        <v>18</v>
      </c>
      <c r="J320" s="1">
        <v>477.46</v>
      </c>
      <c r="K320" s="1">
        <v>477.46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138</v>
      </c>
      <c r="S320" s="5">
        <v>1</v>
      </c>
      <c r="T320" s="5">
        <v>1</v>
      </c>
      <c r="U320" s="5">
        <v>1</v>
      </c>
      <c r="V320" s="5">
        <v>3</v>
      </c>
    </row>
    <row r="321" spans="1:22" x14ac:dyDescent="0.35">
      <c r="A321">
        <v>320</v>
      </c>
      <c r="B321">
        <v>65</v>
      </c>
      <c r="C321" t="s">
        <v>72</v>
      </c>
      <c r="D321" t="s">
        <v>6</v>
      </c>
      <c r="E321" t="s">
        <v>10</v>
      </c>
      <c r="F321" t="s">
        <v>13</v>
      </c>
      <c r="G321">
        <v>0</v>
      </c>
      <c r="H321">
        <v>26</v>
      </c>
      <c r="I321" t="s">
        <v>18</v>
      </c>
      <c r="J321" s="1">
        <v>823.75</v>
      </c>
      <c r="K321" s="1">
        <v>411.875</v>
      </c>
      <c r="L321">
        <v>2</v>
      </c>
      <c r="M321">
        <v>2</v>
      </c>
      <c r="N321">
        <v>1</v>
      </c>
      <c r="O321">
        <v>1</v>
      </c>
      <c r="P321">
        <v>0</v>
      </c>
      <c r="Q321">
        <v>1</v>
      </c>
      <c r="R321">
        <v>12</v>
      </c>
      <c r="S321" s="5">
        <v>3</v>
      </c>
      <c r="T321" s="5">
        <v>1</v>
      </c>
      <c r="U321" s="5">
        <v>1</v>
      </c>
      <c r="V321" s="5">
        <v>5</v>
      </c>
    </row>
    <row r="322" spans="1:22" x14ac:dyDescent="0.35">
      <c r="A322">
        <v>321</v>
      </c>
      <c r="B322">
        <v>45</v>
      </c>
      <c r="C322" t="s">
        <v>75</v>
      </c>
      <c r="D322" t="s">
        <v>5</v>
      </c>
      <c r="E322" t="s">
        <v>9</v>
      </c>
      <c r="F322" t="s">
        <v>13</v>
      </c>
      <c r="G322">
        <v>0</v>
      </c>
      <c r="H322">
        <v>32</v>
      </c>
      <c r="I322" t="s">
        <v>18</v>
      </c>
      <c r="J322" s="1">
        <v>2007.2399999999998</v>
      </c>
      <c r="K322" s="1">
        <v>223.02666666666664</v>
      </c>
      <c r="L322">
        <v>9</v>
      </c>
      <c r="M322">
        <v>2</v>
      </c>
      <c r="N322">
        <v>1</v>
      </c>
      <c r="O322">
        <v>1</v>
      </c>
      <c r="P322">
        <v>0</v>
      </c>
      <c r="Q322">
        <v>1</v>
      </c>
      <c r="R322">
        <v>26</v>
      </c>
      <c r="S322" s="5">
        <v>3</v>
      </c>
      <c r="T322" s="5">
        <v>3</v>
      </c>
      <c r="U322" s="5">
        <v>3</v>
      </c>
      <c r="V322" s="5">
        <v>9</v>
      </c>
    </row>
    <row r="323" spans="1:22" x14ac:dyDescent="0.35">
      <c r="A323">
        <v>322</v>
      </c>
      <c r="B323">
        <v>39</v>
      </c>
      <c r="C323" t="s">
        <v>75</v>
      </c>
      <c r="D323" t="s">
        <v>6</v>
      </c>
      <c r="E323" t="s">
        <v>7</v>
      </c>
      <c r="F323" t="s">
        <v>11</v>
      </c>
      <c r="G323">
        <v>0</v>
      </c>
      <c r="H323">
        <v>1</v>
      </c>
      <c r="I323" t="s">
        <v>18</v>
      </c>
      <c r="J323" s="1">
        <v>61.98</v>
      </c>
      <c r="K323" s="1">
        <v>61.98</v>
      </c>
      <c r="L323">
        <v>1</v>
      </c>
      <c r="M323">
        <v>2</v>
      </c>
      <c r="N323">
        <v>1</v>
      </c>
      <c r="O323">
        <v>0</v>
      </c>
      <c r="P323">
        <v>1</v>
      </c>
      <c r="Q323">
        <v>1</v>
      </c>
      <c r="R323">
        <v>211</v>
      </c>
      <c r="S323" s="5">
        <v>1</v>
      </c>
      <c r="T323" s="5">
        <v>1</v>
      </c>
      <c r="U323" s="5">
        <v>1</v>
      </c>
      <c r="V323" s="5">
        <v>3</v>
      </c>
    </row>
    <row r="324" spans="1:22" x14ac:dyDescent="0.35">
      <c r="A324">
        <v>323</v>
      </c>
      <c r="B324">
        <v>57</v>
      </c>
      <c r="C324" t="s">
        <v>74</v>
      </c>
      <c r="D324" t="s">
        <v>6</v>
      </c>
      <c r="E324" t="s">
        <v>8</v>
      </c>
      <c r="F324" t="s">
        <v>13</v>
      </c>
      <c r="G324">
        <v>1</v>
      </c>
      <c r="H324">
        <v>2</v>
      </c>
      <c r="I324" t="s">
        <v>17</v>
      </c>
      <c r="J324" s="1">
        <v>839.3</v>
      </c>
      <c r="K324" s="1">
        <v>209.82499999999999</v>
      </c>
      <c r="L324">
        <v>4</v>
      </c>
      <c r="M324">
        <v>1</v>
      </c>
      <c r="N324">
        <v>0</v>
      </c>
      <c r="O324">
        <v>0</v>
      </c>
      <c r="P324">
        <v>1</v>
      </c>
      <c r="Q324">
        <v>0</v>
      </c>
      <c r="R324">
        <v>20</v>
      </c>
      <c r="S324" s="5">
        <v>3</v>
      </c>
      <c r="T324" s="5">
        <v>2</v>
      </c>
      <c r="U324" s="5">
        <v>2</v>
      </c>
      <c r="V324" s="5">
        <v>7</v>
      </c>
    </row>
    <row r="325" spans="1:22" x14ac:dyDescent="0.35">
      <c r="A325">
        <v>324</v>
      </c>
      <c r="B325">
        <v>57</v>
      </c>
      <c r="C325" t="s">
        <v>74</v>
      </c>
      <c r="D325" t="s">
        <v>6</v>
      </c>
      <c r="E325" t="s">
        <v>8</v>
      </c>
      <c r="F325" t="s">
        <v>13</v>
      </c>
      <c r="G325">
        <v>0</v>
      </c>
      <c r="H325">
        <v>4</v>
      </c>
      <c r="I325" t="s">
        <v>16</v>
      </c>
      <c r="J325" s="1">
        <v>1369.7</v>
      </c>
      <c r="K325" s="1">
        <v>228.28333333333333</v>
      </c>
      <c r="L325">
        <v>6</v>
      </c>
      <c r="M325">
        <v>2</v>
      </c>
      <c r="N325">
        <v>1</v>
      </c>
      <c r="O325">
        <v>1</v>
      </c>
      <c r="P325">
        <v>0</v>
      </c>
      <c r="Q325">
        <v>0</v>
      </c>
      <c r="R325">
        <v>59</v>
      </c>
      <c r="S325" s="5">
        <v>2</v>
      </c>
      <c r="T325" s="5">
        <v>2</v>
      </c>
      <c r="U325" s="5">
        <v>2</v>
      </c>
      <c r="V325" s="5">
        <v>6</v>
      </c>
    </row>
    <row r="326" spans="1:22" x14ac:dyDescent="0.35">
      <c r="A326">
        <v>325</v>
      </c>
      <c r="B326">
        <v>29</v>
      </c>
      <c r="C326" t="s">
        <v>73</v>
      </c>
      <c r="D326" t="s">
        <v>6</v>
      </c>
      <c r="E326" t="s">
        <v>10</v>
      </c>
      <c r="F326" t="s">
        <v>12</v>
      </c>
      <c r="G326">
        <v>0</v>
      </c>
      <c r="H326">
        <v>41</v>
      </c>
      <c r="I326" t="s">
        <v>18</v>
      </c>
      <c r="J326" s="1">
        <v>553.79</v>
      </c>
      <c r="K326" s="1">
        <v>276.89499999999998</v>
      </c>
      <c r="L326">
        <v>2</v>
      </c>
      <c r="M326">
        <v>2</v>
      </c>
      <c r="N326">
        <v>1</v>
      </c>
      <c r="O326">
        <v>1</v>
      </c>
      <c r="P326">
        <v>0</v>
      </c>
      <c r="Q326">
        <v>0</v>
      </c>
      <c r="R326">
        <v>38</v>
      </c>
      <c r="S326" s="5">
        <v>2</v>
      </c>
      <c r="T326" s="5">
        <v>1</v>
      </c>
      <c r="U326" s="5">
        <v>1</v>
      </c>
      <c r="V326" s="5">
        <v>4</v>
      </c>
    </row>
    <row r="327" spans="1:22" x14ac:dyDescent="0.35">
      <c r="A327">
        <v>326</v>
      </c>
      <c r="B327">
        <v>40</v>
      </c>
      <c r="C327" t="s">
        <v>75</v>
      </c>
      <c r="D327" t="s">
        <v>6</v>
      </c>
      <c r="E327" t="s">
        <v>9</v>
      </c>
      <c r="F327" t="s">
        <v>13</v>
      </c>
      <c r="G327">
        <v>0</v>
      </c>
      <c r="H327">
        <v>10</v>
      </c>
      <c r="I327" t="s">
        <v>17</v>
      </c>
      <c r="J327" s="1">
        <v>605.89</v>
      </c>
      <c r="K327" s="1">
        <v>201.96333333333334</v>
      </c>
      <c r="L327">
        <v>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107</v>
      </c>
      <c r="S327" s="5">
        <v>1</v>
      </c>
      <c r="T327" s="5">
        <v>2</v>
      </c>
      <c r="U327" s="5">
        <v>1</v>
      </c>
      <c r="V327" s="5">
        <v>4</v>
      </c>
    </row>
    <row r="328" spans="1:22" x14ac:dyDescent="0.35">
      <c r="A328">
        <v>327</v>
      </c>
      <c r="B328">
        <v>48</v>
      </c>
      <c r="C328" t="s">
        <v>74</v>
      </c>
      <c r="D328" t="s">
        <v>5</v>
      </c>
      <c r="E328" t="s">
        <v>7</v>
      </c>
      <c r="F328" t="s">
        <v>13</v>
      </c>
      <c r="G328">
        <v>0</v>
      </c>
      <c r="H328">
        <v>28</v>
      </c>
      <c r="I328" t="s">
        <v>17</v>
      </c>
      <c r="J328" s="1">
        <v>403.37</v>
      </c>
      <c r="K328" s="1">
        <v>201.685</v>
      </c>
      <c r="L328">
        <v>2</v>
      </c>
      <c r="M328">
        <v>2</v>
      </c>
      <c r="N328">
        <v>1</v>
      </c>
      <c r="O328">
        <v>1</v>
      </c>
      <c r="P328">
        <v>1</v>
      </c>
      <c r="Q328">
        <v>0</v>
      </c>
      <c r="R328">
        <v>2</v>
      </c>
      <c r="S328" s="5">
        <v>3</v>
      </c>
      <c r="T328" s="5">
        <v>1</v>
      </c>
      <c r="U328" s="5">
        <v>1</v>
      </c>
      <c r="V328" s="5">
        <v>5</v>
      </c>
    </row>
    <row r="329" spans="1:22" x14ac:dyDescent="0.35">
      <c r="A329">
        <v>328</v>
      </c>
      <c r="B329">
        <v>35</v>
      </c>
      <c r="C329" t="s">
        <v>75</v>
      </c>
      <c r="D329" t="s">
        <v>6</v>
      </c>
      <c r="E329" t="s">
        <v>8</v>
      </c>
      <c r="F329" t="s">
        <v>12</v>
      </c>
      <c r="G329">
        <v>0</v>
      </c>
      <c r="H329">
        <v>49</v>
      </c>
      <c r="I329" t="s">
        <v>16</v>
      </c>
      <c r="J329" s="1">
        <v>848.26</v>
      </c>
      <c r="K329" s="1">
        <v>169.65199999999999</v>
      </c>
      <c r="L329">
        <v>5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33</v>
      </c>
      <c r="S329" s="5">
        <v>2</v>
      </c>
      <c r="T329" s="5">
        <v>2</v>
      </c>
      <c r="U329" s="5">
        <v>2</v>
      </c>
      <c r="V329" s="5">
        <v>6</v>
      </c>
    </row>
    <row r="330" spans="1:22" x14ac:dyDescent="0.35">
      <c r="A330">
        <v>329</v>
      </c>
      <c r="B330">
        <v>24</v>
      </c>
      <c r="C330" t="s">
        <v>73</v>
      </c>
      <c r="D330" t="s">
        <v>6</v>
      </c>
      <c r="E330" t="s">
        <v>10</v>
      </c>
      <c r="F330" t="s">
        <v>12</v>
      </c>
      <c r="G330">
        <v>0</v>
      </c>
      <c r="H330">
        <v>37</v>
      </c>
      <c r="I330" t="s">
        <v>18</v>
      </c>
      <c r="J330" s="1">
        <v>2361.19</v>
      </c>
      <c r="K330" s="1">
        <v>295.14875000000001</v>
      </c>
      <c r="L330">
        <v>8</v>
      </c>
      <c r="M330">
        <v>1</v>
      </c>
      <c r="N330">
        <v>1</v>
      </c>
      <c r="O330">
        <v>0</v>
      </c>
      <c r="P330">
        <v>0</v>
      </c>
      <c r="Q330">
        <v>1</v>
      </c>
      <c r="R330">
        <v>36</v>
      </c>
      <c r="S330" s="5">
        <v>2</v>
      </c>
      <c r="T330" s="5">
        <v>3</v>
      </c>
      <c r="U330" s="5">
        <v>3</v>
      </c>
      <c r="V330" s="5">
        <v>8</v>
      </c>
    </row>
    <row r="331" spans="1:22" x14ac:dyDescent="0.35">
      <c r="A331">
        <v>330</v>
      </c>
      <c r="B331">
        <v>25</v>
      </c>
      <c r="C331" t="s">
        <v>73</v>
      </c>
      <c r="D331" t="s">
        <v>5</v>
      </c>
      <c r="E331" t="s">
        <v>9</v>
      </c>
      <c r="F331" t="s">
        <v>12</v>
      </c>
      <c r="G331">
        <v>0</v>
      </c>
      <c r="H331">
        <v>17</v>
      </c>
      <c r="I331" t="s">
        <v>16</v>
      </c>
      <c r="J331" s="1">
        <v>2582.54</v>
      </c>
      <c r="K331" s="1">
        <v>286.94888888888886</v>
      </c>
      <c r="L331">
        <v>9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43</v>
      </c>
      <c r="S331" s="5">
        <v>2</v>
      </c>
      <c r="T331" s="5">
        <v>3</v>
      </c>
      <c r="U331" s="5">
        <v>3</v>
      </c>
      <c r="V331" s="5">
        <v>8</v>
      </c>
    </row>
    <row r="332" spans="1:22" x14ac:dyDescent="0.35">
      <c r="A332">
        <v>331</v>
      </c>
      <c r="B332">
        <v>36</v>
      </c>
      <c r="C332" t="s">
        <v>75</v>
      </c>
      <c r="D332" t="s">
        <v>5</v>
      </c>
      <c r="E332" t="s">
        <v>10</v>
      </c>
      <c r="F332" t="s">
        <v>13</v>
      </c>
      <c r="G332">
        <v>0</v>
      </c>
      <c r="H332">
        <v>30</v>
      </c>
      <c r="I332" t="s">
        <v>17</v>
      </c>
      <c r="J332" s="1">
        <v>908.31999999999994</v>
      </c>
      <c r="K332" s="1">
        <v>181.66399999999999</v>
      </c>
      <c r="L332">
        <v>5</v>
      </c>
      <c r="M332">
        <v>2</v>
      </c>
      <c r="N332">
        <v>1</v>
      </c>
      <c r="O332">
        <v>1</v>
      </c>
      <c r="P332">
        <v>0</v>
      </c>
      <c r="Q332">
        <v>1</v>
      </c>
      <c r="R332">
        <v>10</v>
      </c>
      <c r="S332" s="5">
        <v>3</v>
      </c>
      <c r="T332" s="5">
        <v>2</v>
      </c>
      <c r="U332" s="5">
        <v>2</v>
      </c>
      <c r="V332" s="5">
        <v>7</v>
      </c>
    </row>
    <row r="333" spans="1:22" x14ac:dyDescent="0.35">
      <c r="A333">
        <v>332</v>
      </c>
      <c r="B333">
        <v>46</v>
      </c>
      <c r="C333" t="s">
        <v>74</v>
      </c>
      <c r="D333" t="s">
        <v>5</v>
      </c>
      <c r="E333" t="s">
        <v>9</v>
      </c>
      <c r="F333" t="s">
        <v>13</v>
      </c>
      <c r="G333">
        <v>0</v>
      </c>
      <c r="H333">
        <v>6</v>
      </c>
      <c r="I333" t="s">
        <v>17</v>
      </c>
      <c r="J333" s="1">
        <v>1577.44</v>
      </c>
      <c r="K333" s="1">
        <v>315.488</v>
      </c>
      <c r="L333">
        <v>5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71</v>
      </c>
      <c r="S333" s="5">
        <v>2</v>
      </c>
      <c r="T333" s="5">
        <v>2</v>
      </c>
      <c r="U333" s="5">
        <v>3</v>
      </c>
      <c r="V333" s="5">
        <v>7</v>
      </c>
    </row>
    <row r="334" spans="1:22" x14ac:dyDescent="0.35">
      <c r="A334">
        <v>333</v>
      </c>
      <c r="B334">
        <v>61</v>
      </c>
      <c r="C334" t="s">
        <v>72</v>
      </c>
      <c r="D334" t="s">
        <v>5</v>
      </c>
      <c r="E334" t="s">
        <v>7</v>
      </c>
      <c r="F334" t="s">
        <v>13</v>
      </c>
      <c r="G334">
        <v>0</v>
      </c>
      <c r="H334">
        <v>11</v>
      </c>
      <c r="I334" t="s">
        <v>17</v>
      </c>
      <c r="J334" s="1">
        <v>2439.3900000000003</v>
      </c>
      <c r="K334" s="1">
        <v>348.48428571428576</v>
      </c>
      <c r="L334">
        <v>7</v>
      </c>
      <c r="M334">
        <v>2</v>
      </c>
      <c r="N334">
        <v>1</v>
      </c>
      <c r="O334">
        <v>1</v>
      </c>
      <c r="P334">
        <v>1</v>
      </c>
      <c r="Q334">
        <v>0</v>
      </c>
      <c r="R334">
        <v>52</v>
      </c>
      <c r="S334" s="5">
        <v>2</v>
      </c>
      <c r="T334" s="5">
        <v>2</v>
      </c>
      <c r="U334" s="5">
        <v>3</v>
      </c>
      <c r="V334" s="5">
        <v>7</v>
      </c>
    </row>
    <row r="335" spans="1:22" x14ac:dyDescent="0.35">
      <c r="A335">
        <v>334</v>
      </c>
      <c r="B335">
        <v>37</v>
      </c>
      <c r="C335" t="s">
        <v>75</v>
      </c>
      <c r="D335" t="s">
        <v>6</v>
      </c>
      <c r="E335" t="s">
        <v>10</v>
      </c>
      <c r="F335" t="s">
        <v>13</v>
      </c>
      <c r="G335">
        <v>0</v>
      </c>
      <c r="H335">
        <v>11</v>
      </c>
      <c r="I335" t="s">
        <v>18</v>
      </c>
      <c r="J335" s="1">
        <v>1719.3700000000001</v>
      </c>
      <c r="K335" s="1">
        <v>286.56166666666667</v>
      </c>
      <c r="L335">
        <v>6</v>
      </c>
      <c r="M335">
        <v>1</v>
      </c>
      <c r="N335">
        <v>0</v>
      </c>
      <c r="O335">
        <v>1</v>
      </c>
      <c r="P335">
        <v>0</v>
      </c>
      <c r="Q335">
        <v>0</v>
      </c>
      <c r="R335">
        <v>39</v>
      </c>
      <c r="S335" s="5">
        <v>2</v>
      </c>
      <c r="T335" s="5">
        <v>2</v>
      </c>
      <c r="U335" s="5">
        <v>3</v>
      </c>
      <c r="V335" s="5">
        <v>7</v>
      </c>
    </row>
    <row r="336" spans="1:22" x14ac:dyDescent="0.35">
      <c r="A336">
        <v>335</v>
      </c>
      <c r="B336">
        <v>67</v>
      </c>
      <c r="C336" t="s">
        <v>72</v>
      </c>
      <c r="D336" t="s">
        <v>6</v>
      </c>
      <c r="E336" t="s">
        <v>8</v>
      </c>
      <c r="F336" t="s">
        <v>13</v>
      </c>
      <c r="G336">
        <v>1</v>
      </c>
      <c r="H336">
        <v>2</v>
      </c>
      <c r="I336" t="s">
        <v>16</v>
      </c>
      <c r="J336" s="1">
        <v>756.52</v>
      </c>
      <c r="K336" s="1">
        <v>378.26</v>
      </c>
      <c r="L336">
        <v>2</v>
      </c>
      <c r="M336">
        <v>2</v>
      </c>
      <c r="N336">
        <v>0</v>
      </c>
      <c r="O336">
        <v>0</v>
      </c>
      <c r="P336">
        <v>0</v>
      </c>
      <c r="Q336">
        <v>1</v>
      </c>
      <c r="R336">
        <v>24</v>
      </c>
      <c r="S336" s="5">
        <v>3</v>
      </c>
      <c r="T336" s="5">
        <v>1</v>
      </c>
      <c r="U336" s="5">
        <v>1</v>
      </c>
      <c r="V336" s="5">
        <v>5</v>
      </c>
    </row>
    <row r="337" spans="1:22" x14ac:dyDescent="0.35">
      <c r="A337">
        <v>336</v>
      </c>
      <c r="B337">
        <v>59</v>
      </c>
      <c r="C337" t="s">
        <v>74</v>
      </c>
      <c r="D337" t="s">
        <v>6</v>
      </c>
      <c r="E337" t="s">
        <v>9</v>
      </c>
      <c r="F337" t="s">
        <v>13</v>
      </c>
      <c r="G337">
        <v>0</v>
      </c>
      <c r="H337">
        <v>20</v>
      </c>
      <c r="I337" t="s">
        <v>16</v>
      </c>
      <c r="J337" s="1">
        <v>135.94</v>
      </c>
      <c r="K337" s="1">
        <v>135.94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11</v>
      </c>
      <c r="S337" s="5">
        <v>3</v>
      </c>
      <c r="T337" s="5">
        <v>1</v>
      </c>
      <c r="U337" s="5">
        <v>1</v>
      </c>
      <c r="V337" s="5">
        <v>5</v>
      </c>
    </row>
    <row r="338" spans="1:22" x14ac:dyDescent="0.35">
      <c r="A338">
        <v>337</v>
      </c>
      <c r="B338">
        <v>47</v>
      </c>
      <c r="C338" t="s">
        <v>74</v>
      </c>
      <c r="D338" t="s">
        <v>6</v>
      </c>
      <c r="E338" t="s">
        <v>10</v>
      </c>
      <c r="F338" t="s">
        <v>12</v>
      </c>
      <c r="G338">
        <v>0</v>
      </c>
      <c r="H338">
        <v>34</v>
      </c>
      <c r="I338" t="s">
        <v>17</v>
      </c>
      <c r="J338" s="1">
        <v>608.05999999999995</v>
      </c>
      <c r="K338" s="1">
        <v>304.02999999999997</v>
      </c>
      <c r="L338">
        <v>2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6</v>
      </c>
      <c r="S338" s="5">
        <v>3</v>
      </c>
      <c r="T338" s="5">
        <v>1</v>
      </c>
      <c r="U338" s="5">
        <v>1</v>
      </c>
      <c r="V338" s="5">
        <v>5</v>
      </c>
    </row>
    <row r="339" spans="1:22" x14ac:dyDescent="0.35">
      <c r="A339">
        <v>338</v>
      </c>
      <c r="B339">
        <v>64</v>
      </c>
      <c r="C339" t="s">
        <v>72</v>
      </c>
      <c r="D339" t="s">
        <v>6</v>
      </c>
      <c r="E339" t="s">
        <v>9</v>
      </c>
      <c r="F339" t="s">
        <v>12</v>
      </c>
      <c r="G339">
        <v>0</v>
      </c>
      <c r="H339">
        <v>41</v>
      </c>
      <c r="I339" t="s">
        <v>16</v>
      </c>
      <c r="J339" s="1">
        <v>13.86</v>
      </c>
      <c r="K339" s="1">
        <v>13.86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31</v>
      </c>
      <c r="S339" s="5">
        <v>2</v>
      </c>
      <c r="T339" s="5">
        <v>1</v>
      </c>
      <c r="U339" s="5">
        <v>1</v>
      </c>
      <c r="V339" s="5">
        <v>4</v>
      </c>
    </row>
    <row r="340" spans="1:22" x14ac:dyDescent="0.35">
      <c r="A340">
        <v>339</v>
      </c>
      <c r="B340">
        <v>39</v>
      </c>
      <c r="C340" t="s">
        <v>75</v>
      </c>
      <c r="D340" t="s">
        <v>5</v>
      </c>
      <c r="E340" t="s">
        <v>10</v>
      </c>
      <c r="F340" t="s">
        <v>13</v>
      </c>
      <c r="G340">
        <v>0</v>
      </c>
      <c r="H340">
        <v>1</v>
      </c>
      <c r="I340" t="s">
        <v>17</v>
      </c>
      <c r="J340" s="1">
        <v>682.93999999999994</v>
      </c>
      <c r="K340" s="1">
        <v>170.73499999999999</v>
      </c>
      <c r="L340">
        <v>4</v>
      </c>
      <c r="M340">
        <v>1</v>
      </c>
      <c r="N340">
        <v>0</v>
      </c>
      <c r="O340">
        <v>0</v>
      </c>
      <c r="P340">
        <v>0</v>
      </c>
      <c r="Q340">
        <v>1</v>
      </c>
      <c r="R340">
        <v>34</v>
      </c>
      <c r="S340" s="5">
        <v>2</v>
      </c>
      <c r="T340" s="5">
        <v>2</v>
      </c>
      <c r="U340" s="5">
        <v>1</v>
      </c>
      <c r="V340" s="5">
        <v>5</v>
      </c>
    </row>
    <row r="341" spans="1:22" x14ac:dyDescent="0.35">
      <c r="A341">
        <v>340</v>
      </c>
      <c r="B341">
        <v>27</v>
      </c>
      <c r="C341" t="s">
        <v>73</v>
      </c>
      <c r="D341" t="s">
        <v>6</v>
      </c>
      <c r="E341" t="s">
        <v>10</v>
      </c>
      <c r="F341" t="s">
        <v>11</v>
      </c>
      <c r="G341">
        <v>0</v>
      </c>
      <c r="H341">
        <v>48</v>
      </c>
      <c r="I341" t="s">
        <v>16</v>
      </c>
      <c r="J341" s="1">
        <v>1147.08</v>
      </c>
      <c r="K341" s="1">
        <v>191.17999999999998</v>
      </c>
      <c r="L341">
        <v>6</v>
      </c>
      <c r="M341">
        <v>1</v>
      </c>
      <c r="N341">
        <v>1</v>
      </c>
      <c r="O341">
        <v>1</v>
      </c>
      <c r="P341">
        <v>0</v>
      </c>
      <c r="Q341">
        <v>0</v>
      </c>
      <c r="R341">
        <v>53</v>
      </c>
      <c r="S341" s="5">
        <v>2</v>
      </c>
      <c r="T341" s="5">
        <v>2</v>
      </c>
      <c r="U341" s="5">
        <v>2</v>
      </c>
      <c r="V341" s="5">
        <v>6</v>
      </c>
    </row>
    <row r="342" spans="1:22" x14ac:dyDescent="0.35">
      <c r="A342">
        <v>341</v>
      </c>
      <c r="B342">
        <v>43</v>
      </c>
      <c r="C342" t="s">
        <v>75</v>
      </c>
      <c r="D342" t="s">
        <v>5</v>
      </c>
      <c r="E342" t="s">
        <v>7</v>
      </c>
      <c r="F342" t="s">
        <v>12</v>
      </c>
      <c r="G342">
        <v>0</v>
      </c>
      <c r="H342">
        <v>27</v>
      </c>
      <c r="I342" t="s">
        <v>18</v>
      </c>
      <c r="J342" s="1">
        <v>1022.8600000000001</v>
      </c>
      <c r="K342" s="1">
        <v>170.47666666666669</v>
      </c>
      <c r="L342">
        <v>6</v>
      </c>
      <c r="M342">
        <v>1</v>
      </c>
      <c r="N342">
        <v>0</v>
      </c>
      <c r="O342">
        <v>0</v>
      </c>
      <c r="P342">
        <v>0</v>
      </c>
      <c r="Q342">
        <v>1</v>
      </c>
      <c r="R342">
        <v>90</v>
      </c>
      <c r="S342" s="5">
        <v>1</v>
      </c>
      <c r="T342" s="5">
        <v>2</v>
      </c>
      <c r="U342" s="5">
        <v>2</v>
      </c>
      <c r="V342" s="5">
        <v>5</v>
      </c>
    </row>
    <row r="343" spans="1:22" x14ac:dyDescent="0.35">
      <c r="A343">
        <v>342</v>
      </c>
      <c r="B343">
        <v>68</v>
      </c>
      <c r="C343" t="s">
        <v>72</v>
      </c>
      <c r="D343" t="s">
        <v>5</v>
      </c>
      <c r="E343" t="s">
        <v>8</v>
      </c>
      <c r="F343" t="s">
        <v>13</v>
      </c>
      <c r="G343">
        <v>1</v>
      </c>
      <c r="H343">
        <v>26</v>
      </c>
      <c r="I343" t="s">
        <v>18</v>
      </c>
      <c r="J343" s="1">
        <v>2295.7599999999998</v>
      </c>
      <c r="K343" s="1">
        <v>327.96571428571423</v>
      </c>
      <c r="L343">
        <v>7</v>
      </c>
      <c r="M343">
        <v>1</v>
      </c>
      <c r="N343">
        <v>0</v>
      </c>
      <c r="O343">
        <v>0</v>
      </c>
      <c r="P343">
        <v>0</v>
      </c>
      <c r="Q343">
        <v>1</v>
      </c>
      <c r="R343">
        <v>37</v>
      </c>
      <c r="S343" s="5">
        <v>2</v>
      </c>
      <c r="T343" s="5">
        <v>2</v>
      </c>
      <c r="U343" s="5">
        <v>3</v>
      </c>
      <c r="V343" s="5">
        <v>7</v>
      </c>
    </row>
    <row r="344" spans="1:22" x14ac:dyDescent="0.35">
      <c r="A344">
        <v>343</v>
      </c>
      <c r="B344">
        <v>50</v>
      </c>
      <c r="C344" t="s">
        <v>74</v>
      </c>
      <c r="D344" t="s">
        <v>5</v>
      </c>
      <c r="E344" t="s">
        <v>10</v>
      </c>
      <c r="F344" t="s">
        <v>12</v>
      </c>
      <c r="G344">
        <v>0</v>
      </c>
      <c r="H344">
        <v>26</v>
      </c>
      <c r="I344" t="s">
        <v>18</v>
      </c>
      <c r="J344" s="1">
        <v>924.63</v>
      </c>
      <c r="K344" s="1">
        <v>308.20999999999998</v>
      </c>
      <c r="L344">
        <v>3</v>
      </c>
      <c r="M344">
        <v>2</v>
      </c>
      <c r="N344">
        <v>0</v>
      </c>
      <c r="O344">
        <v>0</v>
      </c>
      <c r="P344">
        <v>1</v>
      </c>
      <c r="Q344">
        <v>1</v>
      </c>
      <c r="R344">
        <v>191</v>
      </c>
      <c r="S344" s="5">
        <v>1</v>
      </c>
      <c r="T344" s="5">
        <v>2</v>
      </c>
      <c r="U344" s="5">
        <v>2</v>
      </c>
      <c r="V344" s="5">
        <v>5</v>
      </c>
    </row>
    <row r="345" spans="1:22" x14ac:dyDescent="0.35">
      <c r="A345">
        <v>344</v>
      </c>
      <c r="B345">
        <v>45</v>
      </c>
      <c r="C345" t="s">
        <v>75</v>
      </c>
      <c r="D345" t="s">
        <v>6</v>
      </c>
      <c r="E345" t="s">
        <v>7</v>
      </c>
      <c r="F345" t="s">
        <v>11</v>
      </c>
      <c r="G345">
        <v>0</v>
      </c>
      <c r="H345">
        <v>8</v>
      </c>
      <c r="I345" t="s">
        <v>16</v>
      </c>
      <c r="J345" s="1">
        <v>1466.6</v>
      </c>
      <c r="K345" s="1">
        <v>244.43333333333331</v>
      </c>
      <c r="L345">
        <v>6</v>
      </c>
      <c r="M345">
        <v>2</v>
      </c>
      <c r="N345">
        <v>1</v>
      </c>
      <c r="O345">
        <v>1</v>
      </c>
      <c r="P345">
        <v>0</v>
      </c>
      <c r="Q345">
        <v>1</v>
      </c>
      <c r="R345">
        <v>56</v>
      </c>
      <c r="S345" s="5">
        <v>2</v>
      </c>
      <c r="T345" s="5">
        <v>2</v>
      </c>
      <c r="U345" s="5">
        <v>2</v>
      </c>
      <c r="V345" s="5">
        <v>6</v>
      </c>
    </row>
    <row r="346" spans="1:22" x14ac:dyDescent="0.35">
      <c r="A346">
        <v>345</v>
      </c>
      <c r="B346">
        <v>27</v>
      </c>
      <c r="C346" t="s">
        <v>73</v>
      </c>
      <c r="D346" t="s">
        <v>6</v>
      </c>
      <c r="E346" t="s">
        <v>9</v>
      </c>
      <c r="F346" t="s">
        <v>12</v>
      </c>
      <c r="G346">
        <v>0</v>
      </c>
      <c r="H346">
        <v>29</v>
      </c>
      <c r="I346" t="s">
        <v>18</v>
      </c>
      <c r="J346" s="1">
        <v>1980.5</v>
      </c>
      <c r="K346" s="1">
        <v>247.5625</v>
      </c>
      <c r="L346">
        <v>8</v>
      </c>
      <c r="M346">
        <v>1</v>
      </c>
      <c r="N346">
        <v>0</v>
      </c>
      <c r="O346">
        <v>0</v>
      </c>
      <c r="P346">
        <v>1</v>
      </c>
      <c r="Q346">
        <v>0</v>
      </c>
      <c r="R346">
        <v>130</v>
      </c>
      <c r="S346" s="5">
        <v>1</v>
      </c>
      <c r="T346" s="5">
        <v>3</v>
      </c>
      <c r="U346" s="5">
        <v>3</v>
      </c>
      <c r="V346" s="5">
        <v>7</v>
      </c>
    </row>
    <row r="347" spans="1:22" x14ac:dyDescent="0.35">
      <c r="A347">
        <v>346</v>
      </c>
      <c r="B347">
        <v>46</v>
      </c>
      <c r="C347" t="s">
        <v>74</v>
      </c>
      <c r="D347" t="s">
        <v>5</v>
      </c>
      <c r="E347" t="s">
        <v>9</v>
      </c>
      <c r="F347" t="s">
        <v>12</v>
      </c>
      <c r="G347">
        <v>0</v>
      </c>
      <c r="H347">
        <v>17</v>
      </c>
      <c r="I347" t="s">
        <v>18</v>
      </c>
      <c r="J347" s="1">
        <v>1641.6200000000001</v>
      </c>
      <c r="K347" s="1">
        <v>273.60333333333335</v>
      </c>
      <c r="L347">
        <v>6</v>
      </c>
      <c r="M347">
        <v>1</v>
      </c>
      <c r="N347">
        <v>1</v>
      </c>
      <c r="O347">
        <v>0</v>
      </c>
      <c r="P347">
        <v>1</v>
      </c>
      <c r="Q347">
        <v>0</v>
      </c>
      <c r="R347">
        <v>32</v>
      </c>
      <c r="S347" s="5">
        <v>2</v>
      </c>
      <c r="T347" s="5">
        <v>2</v>
      </c>
      <c r="U347" s="5">
        <v>3</v>
      </c>
      <c r="V347" s="5">
        <v>7</v>
      </c>
    </row>
    <row r="348" spans="1:22" x14ac:dyDescent="0.35">
      <c r="A348">
        <v>347</v>
      </c>
      <c r="B348">
        <v>61</v>
      </c>
      <c r="C348" t="s">
        <v>72</v>
      </c>
      <c r="D348" t="s">
        <v>5</v>
      </c>
      <c r="E348" t="s">
        <v>10</v>
      </c>
      <c r="F348" t="s">
        <v>12</v>
      </c>
      <c r="G348">
        <v>0</v>
      </c>
      <c r="H348">
        <v>33</v>
      </c>
      <c r="I348" t="s">
        <v>16</v>
      </c>
      <c r="J348" s="1">
        <v>1974.45</v>
      </c>
      <c r="K348" s="1">
        <v>219.38333333333333</v>
      </c>
      <c r="L348">
        <v>9</v>
      </c>
      <c r="M348">
        <v>2</v>
      </c>
      <c r="N348">
        <v>1</v>
      </c>
      <c r="O348">
        <v>1</v>
      </c>
      <c r="P348">
        <v>0</v>
      </c>
      <c r="Q348">
        <v>1</v>
      </c>
      <c r="R348">
        <v>10</v>
      </c>
      <c r="S348" s="5">
        <v>3</v>
      </c>
      <c r="T348" s="5">
        <v>3</v>
      </c>
      <c r="U348" s="5">
        <v>3</v>
      </c>
      <c r="V348" s="5">
        <v>9</v>
      </c>
    </row>
    <row r="349" spans="1:22" x14ac:dyDescent="0.35">
      <c r="A349">
        <v>348</v>
      </c>
      <c r="B349">
        <v>35</v>
      </c>
      <c r="C349" t="s">
        <v>75</v>
      </c>
      <c r="D349" t="s">
        <v>5</v>
      </c>
      <c r="E349" t="s">
        <v>8</v>
      </c>
      <c r="F349" t="s">
        <v>12</v>
      </c>
      <c r="G349">
        <v>0</v>
      </c>
      <c r="H349">
        <v>1</v>
      </c>
      <c r="I349" t="s">
        <v>18</v>
      </c>
      <c r="J349" s="1">
        <v>704.7</v>
      </c>
      <c r="K349" s="1">
        <v>352.35</v>
      </c>
      <c r="L349">
        <v>2</v>
      </c>
      <c r="M349">
        <v>1</v>
      </c>
      <c r="N349">
        <v>0</v>
      </c>
      <c r="O349">
        <v>1</v>
      </c>
      <c r="P349">
        <v>0</v>
      </c>
      <c r="Q349">
        <v>0</v>
      </c>
      <c r="R349">
        <v>220</v>
      </c>
      <c r="S349" s="5">
        <v>1</v>
      </c>
      <c r="T349" s="5">
        <v>1</v>
      </c>
      <c r="U349" s="5">
        <v>1</v>
      </c>
      <c r="V349" s="5">
        <v>3</v>
      </c>
    </row>
    <row r="350" spans="1:22" x14ac:dyDescent="0.35">
      <c r="A350">
        <v>349</v>
      </c>
      <c r="B350">
        <v>59</v>
      </c>
      <c r="C350" t="s">
        <v>74</v>
      </c>
      <c r="D350" t="s">
        <v>5</v>
      </c>
      <c r="E350" t="s">
        <v>9</v>
      </c>
      <c r="F350" t="s">
        <v>13</v>
      </c>
      <c r="G350">
        <v>0</v>
      </c>
      <c r="H350">
        <v>24</v>
      </c>
      <c r="I350" t="s">
        <v>16</v>
      </c>
      <c r="J350" s="1">
        <v>1376.5400000000002</v>
      </c>
      <c r="K350" s="1">
        <v>229.42333333333337</v>
      </c>
      <c r="L350">
        <v>6</v>
      </c>
      <c r="M350">
        <v>2</v>
      </c>
      <c r="N350">
        <v>0</v>
      </c>
      <c r="O350">
        <v>1</v>
      </c>
      <c r="P350">
        <v>0</v>
      </c>
      <c r="Q350">
        <v>0</v>
      </c>
      <c r="R350">
        <v>103</v>
      </c>
      <c r="S350" s="5">
        <v>1</v>
      </c>
      <c r="T350" s="5">
        <v>2</v>
      </c>
      <c r="U350" s="5">
        <v>2</v>
      </c>
      <c r="V350" s="5">
        <v>5</v>
      </c>
    </row>
    <row r="351" spans="1:22" x14ac:dyDescent="0.35">
      <c r="A351">
        <v>350</v>
      </c>
      <c r="B351">
        <v>18</v>
      </c>
      <c r="C351" t="s">
        <v>73</v>
      </c>
      <c r="D351" t="s">
        <v>5</v>
      </c>
      <c r="E351" t="s">
        <v>10</v>
      </c>
      <c r="F351" t="s">
        <v>11</v>
      </c>
      <c r="G351">
        <v>0</v>
      </c>
      <c r="H351">
        <v>25</v>
      </c>
      <c r="I351" t="s">
        <v>18</v>
      </c>
      <c r="J351" s="1">
        <v>2702.27</v>
      </c>
      <c r="K351" s="1">
        <v>300.2522222222222</v>
      </c>
      <c r="L351">
        <v>9</v>
      </c>
      <c r="M351">
        <v>1</v>
      </c>
      <c r="N351">
        <v>1</v>
      </c>
      <c r="O351">
        <v>1</v>
      </c>
      <c r="P351">
        <v>0</v>
      </c>
      <c r="Q351">
        <v>0</v>
      </c>
      <c r="R351">
        <v>6</v>
      </c>
      <c r="S351" s="5">
        <v>3</v>
      </c>
      <c r="T351" s="5">
        <v>3</v>
      </c>
      <c r="U351" s="5">
        <v>3</v>
      </c>
      <c r="V351" s="5">
        <v>9</v>
      </c>
    </row>
    <row r="352" spans="1:22" x14ac:dyDescent="0.35">
      <c r="A352">
        <v>351</v>
      </c>
      <c r="B352">
        <v>40</v>
      </c>
      <c r="C352" t="s">
        <v>75</v>
      </c>
      <c r="D352" t="s">
        <v>5</v>
      </c>
      <c r="E352" t="s">
        <v>9</v>
      </c>
      <c r="F352" t="s">
        <v>13</v>
      </c>
      <c r="G352">
        <v>1</v>
      </c>
      <c r="H352">
        <v>1</v>
      </c>
      <c r="I352" t="s">
        <v>16</v>
      </c>
      <c r="J352" s="1">
        <v>588.67999999999995</v>
      </c>
      <c r="K352" s="1">
        <v>294.33999999999997</v>
      </c>
      <c r="L352">
        <v>2</v>
      </c>
      <c r="M352">
        <v>1</v>
      </c>
      <c r="N352">
        <v>1</v>
      </c>
      <c r="O352">
        <v>1</v>
      </c>
      <c r="P352">
        <v>0</v>
      </c>
      <c r="Q352">
        <v>0</v>
      </c>
      <c r="R352">
        <v>134</v>
      </c>
      <c r="S352" s="5">
        <v>1</v>
      </c>
      <c r="T352" s="5">
        <v>1</v>
      </c>
      <c r="U352" s="5">
        <v>1</v>
      </c>
      <c r="V352" s="5">
        <v>3</v>
      </c>
    </row>
    <row r="353" spans="1:22" x14ac:dyDescent="0.35">
      <c r="A353">
        <v>352</v>
      </c>
      <c r="B353">
        <v>34</v>
      </c>
      <c r="C353" t="s">
        <v>75</v>
      </c>
      <c r="D353" t="s">
        <v>6</v>
      </c>
      <c r="E353" t="s">
        <v>7</v>
      </c>
      <c r="F353" t="s">
        <v>12</v>
      </c>
      <c r="G353">
        <v>0</v>
      </c>
      <c r="H353">
        <v>26</v>
      </c>
      <c r="I353" t="s">
        <v>17</v>
      </c>
      <c r="J353" s="1">
        <v>1493.9</v>
      </c>
      <c r="K353" s="1">
        <v>298.78000000000003</v>
      </c>
      <c r="L353">
        <v>5</v>
      </c>
      <c r="M353">
        <v>2</v>
      </c>
      <c r="N353">
        <v>1</v>
      </c>
      <c r="O353">
        <v>1</v>
      </c>
      <c r="P353">
        <v>0</v>
      </c>
      <c r="Q353">
        <v>0</v>
      </c>
      <c r="R353">
        <v>60</v>
      </c>
      <c r="S353" s="5">
        <v>2</v>
      </c>
      <c r="T353" s="5">
        <v>2</v>
      </c>
      <c r="U353" s="5">
        <v>2</v>
      </c>
      <c r="V353" s="5">
        <v>6</v>
      </c>
    </row>
    <row r="354" spans="1:22" x14ac:dyDescent="0.35">
      <c r="A354">
        <v>353</v>
      </c>
      <c r="B354">
        <v>60</v>
      </c>
      <c r="C354" t="s">
        <v>74</v>
      </c>
      <c r="D354" t="s">
        <v>5</v>
      </c>
      <c r="E354" t="s">
        <v>10</v>
      </c>
      <c r="F354" t="s">
        <v>12</v>
      </c>
      <c r="G354">
        <v>1</v>
      </c>
      <c r="H354">
        <v>16</v>
      </c>
      <c r="I354" t="s">
        <v>18</v>
      </c>
      <c r="J354" s="1">
        <v>266.08</v>
      </c>
      <c r="K354" s="1">
        <v>266.08</v>
      </c>
      <c r="L354">
        <v>1</v>
      </c>
      <c r="M354">
        <v>2</v>
      </c>
      <c r="N354">
        <v>1</v>
      </c>
      <c r="O354">
        <v>0</v>
      </c>
      <c r="P354">
        <v>1</v>
      </c>
      <c r="Q354">
        <v>1</v>
      </c>
      <c r="R354">
        <v>291</v>
      </c>
      <c r="S354" s="5">
        <v>1</v>
      </c>
      <c r="T354" s="5">
        <v>1</v>
      </c>
      <c r="U354" s="5">
        <v>1</v>
      </c>
      <c r="V354" s="5">
        <v>3</v>
      </c>
    </row>
    <row r="355" spans="1:22" x14ac:dyDescent="0.35">
      <c r="A355">
        <v>354</v>
      </c>
      <c r="B355">
        <v>54</v>
      </c>
      <c r="C355" t="s">
        <v>74</v>
      </c>
      <c r="D355" t="s">
        <v>5</v>
      </c>
      <c r="E355" t="s">
        <v>10</v>
      </c>
      <c r="F355" t="s">
        <v>12</v>
      </c>
      <c r="G355">
        <v>0</v>
      </c>
      <c r="H355">
        <v>49</v>
      </c>
      <c r="I355" t="s">
        <v>18</v>
      </c>
      <c r="J355" s="1">
        <v>324.39999999999998</v>
      </c>
      <c r="K355" s="1">
        <v>108.13333333333333</v>
      </c>
      <c r="L355">
        <v>3</v>
      </c>
      <c r="M355">
        <v>1</v>
      </c>
      <c r="N355">
        <v>1</v>
      </c>
      <c r="O355">
        <v>0</v>
      </c>
      <c r="P355">
        <v>0</v>
      </c>
      <c r="Q355">
        <v>1</v>
      </c>
      <c r="R355">
        <v>243</v>
      </c>
      <c r="S355" s="5">
        <v>1</v>
      </c>
      <c r="T355" s="5">
        <v>2</v>
      </c>
      <c r="U355" s="5">
        <v>1</v>
      </c>
      <c r="V355" s="5">
        <v>4</v>
      </c>
    </row>
    <row r="356" spans="1:22" x14ac:dyDescent="0.35">
      <c r="A356">
        <v>355</v>
      </c>
      <c r="B356">
        <v>48</v>
      </c>
      <c r="C356" t="s">
        <v>74</v>
      </c>
      <c r="D356" t="s">
        <v>5</v>
      </c>
      <c r="E356" t="s">
        <v>10</v>
      </c>
      <c r="F356" t="s">
        <v>11</v>
      </c>
      <c r="G356">
        <v>0</v>
      </c>
      <c r="H356">
        <v>33</v>
      </c>
      <c r="I356" t="s">
        <v>17</v>
      </c>
      <c r="J356" s="1">
        <v>368.57</v>
      </c>
      <c r="K356" s="1">
        <v>368.57</v>
      </c>
      <c r="L356">
        <v>1</v>
      </c>
      <c r="M356">
        <v>2</v>
      </c>
      <c r="N356">
        <v>1</v>
      </c>
      <c r="O356">
        <v>1</v>
      </c>
      <c r="P356">
        <v>1</v>
      </c>
      <c r="Q356">
        <v>0</v>
      </c>
      <c r="R356">
        <v>280</v>
      </c>
      <c r="S356" s="5">
        <v>1</v>
      </c>
      <c r="T356" s="5">
        <v>1</v>
      </c>
      <c r="U356" s="5">
        <v>1</v>
      </c>
      <c r="V356" s="5">
        <v>3</v>
      </c>
    </row>
    <row r="357" spans="1:22" x14ac:dyDescent="0.35">
      <c r="A357">
        <v>356</v>
      </c>
      <c r="B357">
        <v>42</v>
      </c>
      <c r="C357" t="s">
        <v>75</v>
      </c>
      <c r="D357" t="s">
        <v>5</v>
      </c>
      <c r="E357" t="s">
        <v>7</v>
      </c>
      <c r="F357" t="s">
        <v>11</v>
      </c>
      <c r="G357">
        <v>0</v>
      </c>
      <c r="H357">
        <v>28</v>
      </c>
      <c r="I357" t="s">
        <v>16</v>
      </c>
      <c r="J357" s="1">
        <v>2316.37</v>
      </c>
      <c r="K357" s="1">
        <v>289.54624999999999</v>
      </c>
      <c r="L357">
        <v>8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17</v>
      </c>
      <c r="S357" s="5">
        <v>3</v>
      </c>
      <c r="T357" s="5">
        <v>3</v>
      </c>
      <c r="U357" s="5">
        <v>3</v>
      </c>
      <c r="V357" s="5">
        <v>9</v>
      </c>
    </row>
    <row r="358" spans="1:22" x14ac:dyDescent="0.35">
      <c r="A358">
        <v>357</v>
      </c>
      <c r="B358">
        <v>21</v>
      </c>
      <c r="C358" t="s">
        <v>73</v>
      </c>
      <c r="D358" t="s">
        <v>5</v>
      </c>
      <c r="E358" t="s">
        <v>10</v>
      </c>
      <c r="F358" t="s">
        <v>13</v>
      </c>
      <c r="G358">
        <v>0</v>
      </c>
      <c r="H358">
        <v>45</v>
      </c>
      <c r="I358" t="s">
        <v>18</v>
      </c>
      <c r="J358" s="1">
        <v>780.18</v>
      </c>
      <c r="K358" s="1">
        <v>195.04499999999999</v>
      </c>
      <c r="L358">
        <v>4</v>
      </c>
      <c r="M358">
        <v>2</v>
      </c>
      <c r="N358">
        <v>1</v>
      </c>
      <c r="O358">
        <v>0</v>
      </c>
      <c r="P358">
        <v>1</v>
      </c>
      <c r="Q358">
        <v>1</v>
      </c>
      <c r="R358">
        <v>24</v>
      </c>
      <c r="S358" s="5">
        <v>3</v>
      </c>
      <c r="T358" s="5">
        <v>2</v>
      </c>
      <c r="U358" s="5">
        <v>1</v>
      </c>
      <c r="V358" s="5">
        <v>6</v>
      </c>
    </row>
    <row r="359" spans="1:22" x14ac:dyDescent="0.35">
      <c r="A359">
        <v>358</v>
      </c>
      <c r="B359">
        <v>69</v>
      </c>
      <c r="C359" t="s">
        <v>72</v>
      </c>
      <c r="D359" t="s">
        <v>6</v>
      </c>
      <c r="E359" t="s">
        <v>10</v>
      </c>
      <c r="F359" t="s">
        <v>12</v>
      </c>
      <c r="G359">
        <v>1</v>
      </c>
      <c r="H359">
        <v>24</v>
      </c>
      <c r="I359" t="s">
        <v>16</v>
      </c>
      <c r="J359" s="1">
        <v>2282.8900000000003</v>
      </c>
      <c r="K359" s="1">
        <v>253.65444444444449</v>
      </c>
      <c r="L359">
        <v>9</v>
      </c>
      <c r="M359">
        <v>1</v>
      </c>
      <c r="N359">
        <v>1</v>
      </c>
      <c r="O359">
        <v>1</v>
      </c>
      <c r="P359">
        <v>0</v>
      </c>
      <c r="Q359">
        <v>0</v>
      </c>
      <c r="R359">
        <v>11</v>
      </c>
      <c r="S359" s="5">
        <v>3</v>
      </c>
      <c r="T359" s="5">
        <v>3</v>
      </c>
      <c r="U359" s="5">
        <v>3</v>
      </c>
      <c r="V359" s="5">
        <v>9</v>
      </c>
    </row>
    <row r="360" spans="1:22" x14ac:dyDescent="0.35">
      <c r="A360">
        <v>359</v>
      </c>
      <c r="B360">
        <v>26</v>
      </c>
      <c r="C360" t="s">
        <v>73</v>
      </c>
      <c r="D360" t="s">
        <v>5</v>
      </c>
      <c r="E360" t="s">
        <v>7</v>
      </c>
      <c r="F360" t="s">
        <v>11</v>
      </c>
      <c r="G360">
        <v>0</v>
      </c>
      <c r="H360">
        <v>36</v>
      </c>
      <c r="I360" t="s">
        <v>17</v>
      </c>
      <c r="J360" s="1">
        <v>2154.17</v>
      </c>
      <c r="K360" s="1">
        <v>269.27125000000001</v>
      </c>
      <c r="L360">
        <v>8</v>
      </c>
      <c r="M360">
        <v>1</v>
      </c>
      <c r="N360">
        <v>0</v>
      </c>
      <c r="O360">
        <v>1</v>
      </c>
      <c r="P360">
        <v>0</v>
      </c>
      <c r="Q360">
        <v>0</v>
      </c>
      <c r="R360">
        <v>66</v>
      </c>
      <c r="S360" s="5">
        <v>2</v>
      </c>
      <c r="T360" s="5">
        <v>3</v>
      </c>
      <c r="U360" s="5">
        <v>3</v>
      </c>
      <c r="V360" s="5">
        <v>8</v>
      </c>
    </row>
    <row r="361" spans="1:22" x14ac:dyDescent="0.35">
      <c r="A361">
        <v>360</v>
      </c>
      <c r="B361">
        <v>45</v>
      </c>
      <c r="C361" t="s">
        <v>75</v>
      </c>
      <c r="D361" t="s">
        <v>6</v>
      </c>
      <c r="E361" t="s">
        <v>9</v>
      </c>
      <c r="F361" t="s">
        <v>12</v>
      </c>
      <c r="G361">
        <v>0</v>
      </c>
      <c r="H361">
        <v>14</v>
      </c>
      <c r="I361" t="s">
        <v>18</v>
      </c>
      <c r="J361" s="1">
        <v>1731.26</v>
      </c>
      <c r="K361" s="1">
        <v>216.4075</v>
      </c>
      <c r="L361">
        <v>8</v>
      </c>
      <c r="M361">
        <v>2</v>
      </c>
      <c r="N361">
        <v>0</v>
      </c>
      <c r="O361">
        <v>1</v>
      </c>
      <c r="P361">
        <v>0</v>
      </c>
      <c r="Q361">
        <v>1</v>
      </c>
      <c r="R361">
        <v>32</v>
      </c>
      <c r="S361" s="5">
        <v>2</v>
      </c>
      <c r="T361" s="5">
        <v>3</v>
      </c>
      <c r="U361" s="5">
        <v>3</v>
      </c>
      <c r="V361" s="5">
        <v>8</v>
      </c>
    </row>
    <row r="362" spans="1:22" x14ac:dyDescent="0.35">
      <c r="A362">
        <v>361</v>
      </c>
      <c r="B362">
        <v>47</v>
      </c>
      <c r="C362" t="s">
        <v>74</v>
      </c>
      <c r="D362" t="s">
        <v>5</v>
      </c>
      <c r="E362" t="s">
        <v>7</v>
      </c>
      <c r="F362" t="s">
        <v>13</v>
      </c>
      <c r="G362">
        <v>0</v>
      </c>
      <c r="H362">
        <v>49</v>
      </c>
      <c r="I362" t="s">
        <v>16</v>
      </c>
      <c r="J362" s="1">
        <v>2348.4100000000003</v>
      </c>
      <c r="K362" s="1">
        <v>260.93444444444447</v>
      </c>
      <c r="L362">
        <v>9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6</v>
      </c>
      <c r="S362" s="5">
        <v>3</v>
      </c>
      <c r="T362" s="5">
        <v>3</v>
      </c>
      <c r="U362" s="5">
        <v>3</v>
      </c>
      <c r="V362" s="5">
        <v>9</v>
      </c>
    </row>
    <row r="363" spans="1:22" x14ac:dyDescent="0.35">
      <c r="A363">
        <v>362</v>
      </c>
      <c r="B363">
        <v>64</v>
      </c>
      <c r="C363" t="s">
        <v>72</v>
      </c>
      <c r="D363" t="s">
        <v>5</v>
      </c>
      <c r="E363" t="s">
        <v>8</v>
      </c>
      <c r="F363" t="s">
        <v>13</v>
      </c>
      <c r="G363">
        <v>1</v>
      </c>
      <c r="H363">
        <v>5</v>
      </c>
      <c r="I363" t="s">
        <v>16</v>
      </c>
      <c r="J363" s="1">
        <v>469.14</v>
      </c>
      <c r="K363" s="1">
        <v>234.57</v>
      </c>
      <c r="L363">
        <v>2</v>
      </c>
      <c r="M363">
        <v>2</v>
      </c>
      <c r="N363">
        <v>1</v>
      </c>
      <c r="O363">
        <v>1</v>
      </c>
      <c r="P363">
        <v>0</v>
      </c>
      <c r="Q363">
        <v>1</v>
      </c>
      <c r="R363">
        <v>57</v>
      </c>
      <c r="S363" s="5">
        <v>2</v>
      </c>
      <c r="T363" s="5">
        <v>1</v>
      </c>
      <c r="U363" s="5">
        <v>1</v>
      </c>
      <c r="V363" s="5">
        <v>4</v>
      </c>
    </row>
    <row r="364" spans="1:22" x14ac:dyDescent="0.35">
      <c r="A364">
        <v>363</v>
      </c>
      <c r="B364">
        <v>41</v>
      </c>
      <c r="C364" t="s">
        <v>75</v>
      </c>
      <c r="D364" t="s">
        <v>6</v>
      </c>
      <c r="E364" t="s">
        <v>7</v>
      </c>
      <c r="F364" t="s">
        <v>11</v>
      </c>
      <c r="G364">
        <v>0</v>
      </c>
      <c r="H364">
        <v>27</v>
      </c>
      <c r="I364" t="s">
        <v>18</v>
      </c>
      <c r="J364" s="1">
        <v>1514.1599999999999</v>
      </c>
      <c r="K364" s="1">
        <v>168.23999999999998</v>
      </c>
      <c r="L364">
        <v>9</v>
      </c>
      <c r="M364">
        <v>1</v>
      </c>
      <c r="N364">
        <v>0</v>
      </c>
      <c r="O364">
        <v>1</v>
      </c>
      <c r="P364">
        <v>0</v>
      </c>
      <c r="Q364">
        <v>0</v>
      </c>
      <c r="R364">
        <v>64</v>
      </c>
      <c r="S364" s="5">
        <v>2</v>
      </c>
      <c r="T364" s="5">
        <v>3</v>
      </c>
      <c r="U364" s="5">
        <v>2</v>
      </c>
      <c r="V364" s="5">
        <v>7</v>
      </c>
    </row>
    <row r="365" spans="1:22" x14ac:dyDescent="0.35">
      <c r="A365">
        <v>364</v>
      </c>
      <c r="B365">
        <v>50</v>
      </c>
      <c r="C365" t="s">
        <v>74</v>
      </c>
      <c r="D365" t="s">
        <v>5</v>
      </c>
      <c r="E365" t="s">
        <v>9</v>
      </c>
      <c r="F365" t="s">
        <v>13</v>
      </c>
      <c r="G365">
        <v>0</v>
      </c>
      <c r="H365">
        <v>14</v>
      </c>
      <c r="I365" t="s">
        <v>16</v>
      </c>
      <c r="J365" s="1">
        <v>286.8</v>
      </c>
      <c r="K365" s="1">
        <v>286.8</v>
      </c>
      <c r="L365">
        <v>1</v>
      </c>
      <c r="M365">
        <v>2</v>
      </c>
      <c r="N365">
        <v>0</v>
      </c>
      <c r="O365">
        <v>0</v>
      </c>
      <c r="P365">
        <v>1</v>
      </c>
      <c r="Q365">
        <v>0</v>
      </c>
      <c r="R365">
        <v>246</v>
      </c>
      <c r="S365" s="5">
        <v>1</v>
      </c>
      <c r="T365" s="5">
        <v>1</v>
      </c>
      <c r="U365" s="5">
        <v>1</v>
      </c>
      <c r="V365" s="5">
        <v>3</v>
      </c>
    </row>
    <row r="366" spans="1:22" x14ac:dyDescent="0.35">
      <c r="A366">
        <v>365</v>
      </c>
      <c r="B366">
        <v>37</v>
      </c>
      <c r="C366" t="s">
        <v>75</v>
      </c>
      <c r="D366" t="s">
        <v>6</v>
      </c>
      <c r="E366" t="s">
        <v>10</v>
      </c>
      <c r="F366" t="s">
        <v>11</v>
      </c>
      <c r="G366">
        <v>1</v>
      </c>
      <c r="H366">
        <v>24</v>
      </c>
      <c r="I366" t="s">
        <v>18</v>
      </c>
      <c r="J366" s="1">
        <v>1188.8399999999999</v>
      </c>
      <c r="K366" s="1">
        <v>148.60499999999999</v>
      </c>
      <c r="L366">
        <v>8</v>
      </c>
      <c r="M366">
        <v>1</v>
      </c>
      <c r="N366">
        <v>0</v>
      </c>
      <c r="O366">
        <v>0</v>
      </c>
      <c r="P366">
        <v>0</v>
      </c>
      <c r="Q366">
        <v>1</v>
      </c>
      <c r="R366">
        <v>20</v>
      </c>
      <c r="S366" s="5">
        <v>3</v>
      </c>
      <c r="T366" s="5">
        <v>3</v>
      </c>
      <c r="U366" s="5">
        <v>2</v>
      </c>
      <c r="V366" s="5">
        <v>8</v>
      </c>
    </row>
    <row r="367" spans="1:22" x14ac:dyDescent="0.35">
      <c r="A367">
        <v>366</v>
      </c>
      <c r="B367">
        <v>26</v>
      </c>
      <c r="C367" t="s">
        <v>73</v>
      </c>
      <c r="D367" t="s">
        <v>6</v>
      </c>
      <c r="E367" t="s">
        <v>10</v>
      </c>
      <c r="F367" t="s">
        <v>12</v>
      </c>
      <c r="G367">
        <v>0</v>
      </c>
      <c r="H367">
        <v>46</v>
      </c>
      <c r="I367" t="s">
        <v>17</v>
      </c>
      <c r="J367" s="1">
        <v>2518.1600000000003</v>
      </c>
      <c r="K367" s="1">
        <v>314.77000000000004</v>
      </c>
      <c r="L367">
        <v>8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1</v>
      </c>
      <c r="S367" s="5">
        <v>3</v>
      </c>
      <c r="T367" s="5">
        <v>3</v>
      </c>
      <c r="U367" s="5">
        <v>3</v>
      </c>
      <c r="V367" s="5">
        <v>9</v>
      </c>
    </row>
    <row r="368" spans="1:22" x14ac:dyDescent="0.35">
      <c r="A368">
        <v>367</v>
      </c>
      <c r="B368">
        <v>25</v>
      </c>
      <c r="C368" t="s">
        <v>73</v>
      </c>
      <c r="D368" t="s">
        <v>6</v>
      </c>
      <c r="E368" t="s">
        <v>7</v>
      </c>
      <c r="F368" t="s">
        <v>11</v>
      </c>
      <c r="G368">
        <v>0</v>
      </c>
      <c r="H368">
        <v>28</v>
      </c>
      <c r="I368" t="s">
        <v>16</v>
      </c>
      <c r="J368" s="1">
        <v>2197.79</v>
      </c>
      <c r="K368" s="1">
        <v>313.96999999999997</v>
      </c>
      <c r="L368">
        <v>7</v>
      </c>
      <c r="M368">
        <v>1</v>
      </c>
      <c r="N368">
        <v>1</v>
      </c>
      <c r="O368">
        <v>1</v>
      </c>
      <c r="P368">
        <v>0</v>
      </c>
      <c r="Q368">
        <v>0</v>
      </c>
      <c r="R368">
        <v>2</v>
      </c>
      <c r="S368" s="5">
        <v>3</v>
      </c>
      <c r="T368" s="5">
        <v>2</v>
      </c>
      <c r="U368" s="5">
        <v>3</v>
      </c>
      <c r="V368" s="5">
        <v>8</v>
      </c>
    </row>
    <row r="369" spans="1:22" x14ac:dyDescent="0.35">
      <c r="A369">
        <v>368</v>
      </c>
      <c r="B369">
        <v>41</v>
      </c>
      <c r="C369" t="s">
        <v>75</v>
      </c>
      <c r="D369" t="s">
        <v>6</v>
      </c>
      <c r="E369" t="s">
        <v>8</v>
      </c>
      <c r="F369" t="s">
        <v>13</v>
      </c>
      <c r="G369">
        <v>0</v>
      </c>
      <c r="H369">
        <v>8</v>
      </c>
      <c r="I369" t="s">
        <v>18</v>
      </c>
      <c r="J369" s="1">
        <v>1939.2</v>
      </c>
      <c r="K369" s="1">
        <v>323.2</v>
      </c>
      <c r="L369">
        <v>6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17</v>
      </c>
      <c r="S369" s="5">
        <v>3</v>
      </c>
      <c r="T369" s="5">
        <v>2</v>
      </c>
      <c r="U369" s="5">
        <v>3</v>
      </c>
      <c r="V369" s="5">
        <v>8</v>
      </c>
    </row>
    <row r="370" spans="1:22" x14ac:dyDescent="0.35">
      <c r="A370">
        <v>369</v>
      </c>
      <c r="B370">
        <v>31</v>
      </c>
      <c r="C370" t="s">
        <v>75</v>
      </c>
      <c r="D370" t="s">
        <v>6</v>
      </c>
      <c r="E370" t="s">
        <v>7</v>
      </c>
      <c r="F370" t="s">
        <v>12</v>
      </c>
      <c r="G370">
        <v>0</v>
      </c>
      <c r="H370">
        <v>35</v>
      </c>
      <c r="I370" t="s">
        <v>17</v>
      </c>
      <c r="J370" s="1">
        <v>3352.3400000000006</v>
      </c>
      <c r="K370" s="1">
        <v>372.48222222222228</v>
      </c>
      <c r="L370">
        <v>9</v>
      </c>
      <c r="M370">
        <v>1</v>
      </c>
      <c r="N370">
        <v>1</v>
      </c>
      <c r="O370">
        <v>0</v>
      </c>
      <c r="P370">
        <v>1</v>
      </c>
      <c r="Q370">
        <v>0</v>
      </c>
      <c r="R370">
        <v>23</v>
      </c>
      <c r="S370" s="5">
        <v>3</v>
      </c>
      <c r="T370" s="5">
        <v>3</v>
      </c>
      <c r="U370" s="5">
        <v>3</v>
      </c>
      <c r="V370" s="5">
        <v>9</v>
      </c>
    </row>
    <row r="371" spans="1:22" x14ac:dyDescent="0.35">
      <c r="A371">
        <v>370</v>
      </c>
      <c r="B371">
        <v>35</v>
      </c>
      <c r="C371" t="s">
        <v>75</v>
      </c>
      <c r="D371" t="s">
        <v>6</v>
      </c>
      <c r="E371" t="s">
        <v>8</v>
      </c>
      <c r="F371" t="s">
        <v>13</v>
      </c>
      <c r="G371">
        <v>0</v>
      </c>
      <c r="H371">
        <v>47</v>
      </c>
      <c r="I371" t="s">
        <v>18</v>
      </c>
      <c r="J371" s="1">
        <v>1239.8100000000002</v>
      </c>
      <c r="K371" s="1">
        <v>206.63500000000002</v>
      </c>
      <c r="L371">
        <v>6</v>
      </c>
      <c r="M371">
        <v>2</v>
      </c>
      <c r="N371">
        <v>1</v>
      </c>
      <c r="O371">
        <v>0</v>
      </c>
      <c r="P371">
        <v>1</v>
      </c>
      <c r="Q371">
        <v>1</v>
      </c>
      <c r="R371">
        <v>9</v>
      </c>
      <c r="S371" s="5">
        <v>3</v>
      </c>
      <c r="T371" s="5">
        <v>2</v>
      </c>
      <c r="U371" s="5">
        <v>2</v>
      </c>
      <c r="V371" s="5">
        <v>7</v>
      </c>
    </row>
    <row r="372" spans="1:22" x14ac:dyDescent="0.35">
      <c r="A372">
        <v>371</v>
      </c>
      <c r="B372">
        <v>18</v>
      </c>
      <c r="C372" t="s">
        <v>73</v>
      </c>
      <c r="D372" t="s">
        <v>5</v>
      </c>
      <c r="E372" t="s">
        <v>7</v>
      </c>
      <c r="F372" t="s">
        <v>12</v>
      </c>
      <c r="G372">
        <v>0</v>
      </c>
      <c r="H372">
        <v>35</v>
      </c>
      <c r="I372" t="s">
        <v>17</v>
      </c>
      <c r="J372" s="1">
        <v>1454.4499999999998</v>
      </c>
      <c r="K372" s="1">
        <v>290.89</v>
      </c>
      <c r="L372">
        <v>5</v>
      </c>
      <c r="M372">
        <v>2</v>
      </c>
      <c r="N372">
        <v>0</v>
      </c>
      <c r="O372">
        <v>0</v>
      </c>
      <c r="P372">
        <v>0</v>
      </c>
      <c r="Q372">
        <v>1</v>
      </c>
      <c r="R372">
        <v>3</v>
      </c>
      <c r="S372" s="5">
        <v>3</v>
      </c>
      <c r="T372" s="5">
        <v>2</v>
      </c>
      <c r="U372" s="5">
        <v>2</v>
      </c>
      <c r="V372" s="5">
        <v>7</v>
      </c>
    </row>
    <row r="373" spans="1:22" x14ac:dyDescent="0.35">
      <c r="A373">
        <v>372</v>
      </c>
      <c r="B373">
        <v>29</v>
      </c>
      <c r="C373" t="s">
        <v>73</v>
      </c>
      <c r="D373" t="s">
        <v>6</v>
      </c>
      <c r="E373" t="s">
        <v>8</v>
      </c>
      <c r="F373" t="s">
        <v>12</v>
      </c>
      <c r="G373">
        <v>0</v>
      </c>
      <c r="H373">
        <v>23</v>
      </c>
      <c r="I373" t="s">
        <v>17</v>
      </c>
      <c r="J373" s="1">
        <v>35.85</v>
      </c>
      <c r="K373" s="1">
        <v>35.85</v>
      </c>
      <c r="L373">
        <v>1</v>
      </c>
      <c r="M373">
        <v>2</v>
      </c>
      <c r="N373">
        <v>1</v>
      </c>
      <c r="O373">
        <v>1</v>
      </c>
      <c r="P373">
        <v>0</v>
      </c>
      <c r="Q373">
        <v>1</v>
      </c>
      <c r="R373">
        <v>189</v>
      </c>
      <c r="S373" s="5">
        <v>1</v>
      </c>
      <c r="T373" s="5">
        <v>1</v>
      </c>
      <c r="U373" s="5">
        <v>1</v>
      </c>
      <c r="V373" s="5">
        <v>3</v>
      </c>
    </row>
    <row r="374" spans="1:22" x14ac:dyDescent="0.35">
      <c r="A374">
        <v>373</v>
      </c>
      <c r="B374">
        <v>46</v>
      </c>
      <c r="C374" t="s">
        <v>74</v>
      </c>
      <c r="D374" t="s">
        <v>5</v>
      </c>
      <c r="E374" t="s">
        <v>8</v>
      </c>
      <c r="F374" t="s">
        <v>12</v>
      </c>
      <c r="G374">
        <v>0</v>
      </c>
      <c r="H374">
        <v>13</v>
      </c>
      <c r="I374" t="s">
        <v>18</v>
      </c>
      <c r="J374" s="1">
        <v>267.08999999999997</v>
      </c>
      <c r="K374" s="1">
        <v>133.54499999999999</v>
      </c>
      <c r="L374">
        <v>2</v>
      </c>
      <c r="M374">
        <v>1</v>
      </c>
      <c r="N374">
        <v>1</v>
      </c>
      <c r="O374">
        <v>1</v>
      </c>
      <c r="P374">
        <v>0</v>
      </c>
      <c r="Q374">
        <v>0</v>
      </c>
      <c r="R374">
        <v>236</v>
      </c>
      <c r="S374" s="5">
        <v>1</v>
      </c>
      <c r="T374" s="5">
        <v>1</v>
      </c>
      <c r="U374" s="5">
        <v>1</v>
      </c>
      <c r="V374" s="5">
        <v>3</v>
      </c>
    </row>
    <row r="375" spans="1:22" x14ac:dyDescent="0.35">
      <c r="A375">
        <v>374</v>
      </c>
      <c r="B375">
        <v>54</v>
      </c>
      <c r="C375" t="s">
        <v>74</v>
      </c>
      <c r="D375" t="s">
        <v>5</v>
      </c>
      <c r="E375" t="s">
        <v>10</v>
      </c>
      <c r="F375" t="s">
        <v>12</v>
      </c>
      <c r="G375">
        <v>0</v>
      </c>
      <c r="H375">
        <v>47</v>
      </c>
      <c r="I375" t="s">
        <v>18</v>
      </c>
      <c r="J375" s="1">
        <v>2143.59</v>
      </c>
      <c r="K375" s="1">
        <v>238.17666666666668</v>
      </c>
      <c r="L375">
        <v>9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20</v>
      </c>
      <c r="S375" s="5">
        <v>3</v>
      </c>
      <c r="T375" s="5">
        <v>3</v>
      </c>
      <c r="U375" s="5">
        <v>3</v>
      </c>
      <c r="V375" s="5">
        <v>9</v>
      </c>
    </row>
    <row r="376" spans="1:22" x14ac:dyDescent="0.35">
      <c r="A376">
        <v>375</v>
      </c>
      <c r="B376">
        <v>43</v>
      </c>
      <c r="C376" t="s">
        <v>75</v>
      </c>
      <c r="D376" t="s">
        <v>6</v>
      </c>
      <c r="E376" t="s">
        <v>8</v>
      </c>
      <c r="F376" t="s">
        <v>13</v>
      </c>
      <c r="G376">
        <v>0</v>
      </c>
      <c r="H376">
        <v>17</v>
      </c>
      <c r="I376" t="s">
        <v>17</v>
      </c>
      <c r="J376" s="1">
        <v>133.19999999999999</v>
      </c>
      <c r="K376" s="1">
        <v>133.19999999999999</v>
      </c>
      <c r="L376">
        <v>1</v>
      </c>
      <c r="M376">
        <v>1</v>
      </c>
      <c r="N376">
        <v>1</v>
      </c>
      <c r="O376">
        <v>0</v>
      </c>
      <c r="P376">
        <v>0</v>
      </c>
      <c r="Q376">
        <v>1</v>
      </c>
      <c r="R376">
        <v>263</v>
      </c>
      <c r="S376" s="5">
        <v>1</v>
      </c>
      <c r="T376" s="5">
        <v>1</v>
      </c>
      <c r="U376" s="5">
        <v>1</v>
      </c>
      <c r="V376" s="5">
        <v>3</v>
      </c>
    </row>
    <row r="377" spans="1:22" x14ac:dyDescent="0.35">
      <c r="A377">
        <v>376</v>
      </c>
      <c r="B377">
        <v>50</v>
      </c>
      <c r="C377" t="s">
        <v>74</v>
      </c>
      <c r="D377" t="s">
        <v>6</v>
      </c>
      <c r="E377" t="s">
        <v>10</v>
      </c>
      <c r="F377" t="s">
        <v>11</v>
      </c>
      <c r="G377">
        <v>0</v>
      </c>
      <c r="H377">
        <v>31</v>
      </c>
      <c r="I377" t="s">
        <v>17</v>
      </c>
      <c r="J377" s="1">
        <v>1143.8</v>
      </c>
      <c r="K377" s="1">
        <v>285.95</v>
      </c>
      <c r="L377">
        <v>4</v>
      </c>
      <c r="M377">
        <v>1</v>
      </c>
      <c r="N377">
        <v>0</v>
      </c>
      <c r="O377">
        <v>1</v>
      </c>
      <c r="P377">
        <v>0</v>
      </c>
      <c r="Q377">
        <v>0</v>
      </c>
      <c r="R377">
        <v>38</v>
      </c>
      <c r="S377" s="5">
        <v>2</v>
      </c>
      <c r="T377" s="5">
        <v>2</v>
      </c>
      <c r="U377" s="5">
        <v>2</v>
      </c>
      <c r="V377" s="5">
        <v>6</v>
      </c>
    </row>
    <row r="378" spans="1:22" x14ac:dyDescent="0.35">
      <c r="A378">
        <v>377</v>
      </c>
      <c r="B378">
        <v>60</v>
      </c>
      <c r="C378" t="s">
        <v>74</v>
      </c>
      <c r="D378" t="s">
        <v>6</v>
      </c>
      <c r="E378" t="s">
        <v>7</v>
      </c>
      <c r="F378" t="s">
        <v>12</v>
      </c>
      <c r="G378">
        <v>0</v>
      </c>
      <c r="H378">
        <v>10</v>
      </c>
      <c r="I378" t="s">
        <v>18</v>
      </c>
      <c r="J378" s="1">
        <v>2366.2999999999997</v>
      </c>
      <c r="K378" s="1">
        <v>295.78749999999997</v>
      </c>
      <c r="L378">
        <v>8</v>
      </c>
      <c r="M378">
        <v>2</v>
      </c>
      <c r="N378">
        <v>1</v>
      </c>
      <c r="O378">
        <v>0</v>
      </c>
      <c r="P378">
        <v>1</v>
      </c>
      <c r="Q378">
        <v>1</v>
      </c>
      <c r="R378">
        <v>6</v>
      </c>
      <c r="S378" s="5">
        <v>3</v>
      </c>
      <c r="T378" s="5">
        <v>3</v>
      </c>
      <c r="U378" s="5">
        <v>3</v>
      </c>
      <c r="V378" s="5">
        <v>9</v>
      </c>
    </row>
    <row r="379" spans="1:22" x14ac:dyDescent="0.35">
      <c r="A379">
        <v>378</v>
      </c>
      <c r="B379">
        <v>32</v>
      </c>
      <c r="C379" t="s">
        <v>75</v>
      </c>
      <c r="D379" t="s">
        <v>5</v>
      </c>
      <c r="E379" t="s">
        <v>7</v>
      </c>
      <c r="F379" t="s">
        <v>13</v>
      </c>
      <c r="G379">
        <v>0</v>
      </c>
      <c r="H379">
        <v>36</v>
      </c>
      <c r="I379" t="s">
        <v>17</v>
      </c>
      <c r="J379" s="1">
        <v>1333.6</v>
      </c>
      <c r="K379" s="1">
        <v>333.4</v>
      </c>
      <c r="L379">
        <v>4</v>
      </c>
      <c r="M379">
        <v>2</v>
      </c>
      <c r="N379">
        <v>1</v>
      </c>
      <c r="O379">
        <v>1</v>
      </c>
      <c r="P379">
        <v>0</v>
      </c>
      <c r="Q379">
        <v>1</v>
      </c>
      <c r="R379">
        <v>31</v>
      </c>
      <c r="S379" s="5">
        <v>2</v>
      </c>
      <c r="T379" s="5">
        <v>2</v>
      </c>
      <c r="U379" s="5">
        <v>2</v>
      </c>
      <c r="V379" s="5">
        <v>6</v>
      </c>
    </row>
    <row r="380" spans="1:22" x14ac:dyDescent="0.35">
      <c r="A380">
        <v>379</v>
      </c>
      <c r="B380">
        <v>40</v>
      </c>
      <c r="C380" t="s">
        <v>75</v>
      </c>
      <c r="D380" t="s">
        <v>6</v>
      </c>
      <c r="E380" t="s">
        <v>7</v>
      </c>
      <c r="F380" t="s">
        <v>13</v>
      </c>
      <c r="G380">
        <v>0</v>
      </c>
      <c r="H380">
        <v>29</v>
      </c>
      <c r="I380" t="s">
        <v>18</v>
      </c>
      <c r="J380" s="1">
        <v>1582.08</v>
      </c>
      <c r="K380" s="1">
        <v>197.76</v>
      </c>
      <c r="L380">
        <v>8</v>
      </c>
      <c r="M380">
        <v>1</v>
      </c>
      <c r="N380">
        <v>0</v>
      </c>
      <c r="O380">
        <v>1</v>
      </c>
      <c r="P380">
        <v>0</v>
      </c>
      <c r="Q380">
        <v>0</v>
      </c>
      <c r="R380">
        <v>109</v>
      </c>
      <c r="S380" s="5">
        <v>1</v>
      </c>
      <c r="T380" s="5">
        <v>3</v>
      </c>
      <c r="U380" s="5">
        <v>3</v>
      </c>
      <c r="V380" s="5">
        <v>7</v>
      </c>
    </row>
    <row r="381" spans="1:22" x14ac:dyDescent="0.35">
      <c r="A381">
        <v>380</v>
      </c>
      <c r="B381">
        <v>46</v>
      </c>
      <c r="C381" t="s">
        <v>74</v>
      </c>
      <c r="D381" t="s">
        <v>6</v>
      </c>
      <c r="E381" t="s">
        <v>7</v>
      </c>
      <c r="F381" t="s">
        <v>13</v>
      </c>
      <c r="G381">
        <v>0</v>
      </c>
      <c r="H381">
        <v>16</v>
      </c>
      <c r="I381" t="s">
        <v>16</v>
      </c>
      <c r="J381" s="1">
        <v>1172.6600000000001</v>
      </c>
      <c r="K381" s="1">
        <v>195.44333333333336</v>
      </c>
      <c r="L381">
        <v>6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86</v>
      </c>
      <c r="S381" s="5">
        <v>1</v>
      </c>
      <c r="T381" s="5">
        <v>2</v>
      </c>
      <c r="U381" s="5">
        <v>2</v>
      </c>
      <c r="V381" s="5">
        <v>5</v>
      </c>
    </row>
    <row r="382" spans="1:22" x14ac:dyDescent="0.35">
      <c r="A382">
        <v>381</v>
      </c>
      <c r="B382">
        <v>38</v>
      </c>
      <c r="C382" t="s">
        <v>75</v>
      </c>
      <c r="D382" t="s">
        <v>5</v>
      </c>
      <c r="E382" t="s">
        <v>7</v>
      </c>
      <c r="F382" t="s">
        <v>11</v>
      </c>
      <c r="G382">
        <v>1</v>
      </c>
      <c r="H382">
        <v>33</v>
      </c>
      <c r="I382" t="s">
        <v>17</v>
      </c>
      <c r="J382" s="1">
        <v>1087.6199999999999</v>
      </c>
      <c r="K382" s="1">
        <v>271.90499999999997</v>
      </c>
      <c r="L382">
        <v>4</v>
      </c>
      <c r="M382">
        <v>1</v>
      </c>
      <c r="N382">
        <v>0</v>
      </c>
      <c r="O382">
        <v>0</v>
      </c>
      <c r="P382">
        <v>1</v>
      </c>
      <c r="Q382">
        <v>0</v>
      </c>
      <c r="R382">
        <v>47</v>
      </c>
      <c r="S382" s="5">
        <v>2</v>
      </c>
      <c r="T382" s="5">
        <v>2</v>
      </c>
      <c r="U382" s="5">
        <v>2</v>
      </c>
      <c r="V382" s="5">
        <v>6</v>
      </c>
    </row>
    <row r="383" spans="1:22" x14ac:dyDescent="0.35">
      <c r="A383">
        <v>382</v>
      </c>
      <c r="B383">
        <v>36</v>
      </c>
      <c r="C383" t="s">
        <v>75</v>
      </c>
      <c r="D383" t="s">
        <v>6</v>
      </c>
      <c r="E383" t="s">
        <v>10</v>
      </c>
      <c r="F383" t="s">
        <v>13</v>
      </c>
      <c r="G383">
        <v>0</v>
      </c>
      <c r="H383">
        <v>14</v>
      </c>
      <c r="I383" t="s">
        <v>16</v>
      </c>
      <c r="J383" s="1">
        <v>2467.11</v>
      </c>
      <c r="K383" s="1">
        <v>274.12333333333333</v>
      </c>
      <c r="L383">
        <v>9</v>
      </c>
      <c r="M383">
        <v>1</v>
      </c>
      <c r="N383">
        <v>0</v>
      </c>
      <c r="O383">
        <v>0</v>
      </c>
      <c r="P383">
        <v>1</v>
      </c>
      <c r="Q383">
        <v>0</v>
      </c>
      <c r="R383">
        <v>16</v>
      </c>
      <c r="S383" s="5">
        <v>3</v>
      </c>
      <c r="T383" s="5">
        <v>3</v>
      </c>
      <c r="U383" s="5">
        <v>3</v>
      </c>
      <c r="V383" s="5">
        <v>9</v>
      </c>
    </row>
    <row r="384" spans="1:22" x14ac:dyDescent="0.35">
      <c r="A384">
        <v>383</v>
      </c>
      <c r="B384">
        <v>22</v>
      </c>
      <c r="C384" t="s">
        <v>73</v>
      </c>
      <c r="D384" t="s">
        <v>5</v>
      </c>
      <c r="E384" t="s">
        <v>7</v>
      </c>
      <c r="F384" t="s">
        <v>13</v>
      </c>
      <c r="G384">
        <v>0</v>
      </c>
      <c r="H384">
        <v>7</v>
      </c>
      <c r="I384" t="s">
        <v>18</v>
      </c>
      <c r="J384" s="1">
        <v>800.56</v>
      </c>
      <c r="K384" s="1">
        <v>200.14</v>
      </c>
      <c r="L384">
        <v>4</v>
      </c>
      <c r="M384">
        <v>2</v>
      </c>
      <c r="N384">
        <v>1</v>
      </c>
      <c r="O384">
        <v>1</v>
      </c>
      <c r="P384">
        <v>0</v>
      </c>
      <c r="Q384">
        <v>1</v>
      </c>
      <c r="R384">
        <v>85</v>
      </c>
      <c r="S384" s="5">
        <v>1</v>
      </c>
      <c r="T384" s="5">
        <v>2</v>
      </c>
      <c r="U384" s="5">
        <v>1</v>
      </c>
      <c r="V384" s="5">
        <v>4</v>
      </c>
    </row>
    <row r="385" spans="1:22" x14ac:dyDescent="0.35">
      <c r="A385">
        <v>384</v>
      </c>
      <c r="B385">
        <v>40</v>
      </c>
      <c r="C385" t="s">
        <v>75</v>
      </c>
      <c r="D385" t="s">
        <v>6</v>
      </c>
      <c r="E385" t="s">
        <v>8</v>
      </c>
      <c r="F385" t="s">
        <v>11</v>
      </c>
      <c r="G385">
        <v>0</v>
      </c>
      <c r="H385">
        <v>33</v>
      </c>
      <c r="I385" t="s">
        <v>17</v>
      </c>
      <c r="J385" s="1">
        <v>339.16999999999996</v>
      </c>
      <c r="K385" s="1">
        <v>169.58499999999998</v>
      </c>
      <c r="L385">
        <v>2</v>
      </c>
      <c r="M385">
        <v>2</v>
      </c>
      <c r="N385">
        <v>1</v>
      </c>
      <c r="O385">
        <v>1</v>
      </c>
      <c r="P385">
        <v>1</v>
      </c>
      <c r="Q385">
        <v>0</v>
      </c>
      <c r="R385">
        <v>311</v>
      </c>
      <c r="S385" s="5">
        <v>1</v>
      </c>
      <c r="T385" s="5">
        <v>1</v>
      </c>
      <c r="U385" s="5">
        <v>1</v>
      </c>
      <c r="V385" s="5">
        <v>3</v>
      </c>
    </row>
    <row r="386" spans="1:22" x14ac:dyDescent="0.35">
      <c r="A386">
        <v>385</v>
      </c>
      <c r="B386">
        <v>53</v>
      </c>
      <c r="C386" t="s">
        <v>74</v>
      </c>
      <c r="D386" t="s">
        <v>5</v>
      </c>
      <c r="E386" t="s">
        <v>9</v>
      </c>
      <c r="F386" t="s">
        <v>13</v>
      </c>
      <c r="G386">
        <v>1</v>
      </c>
      <c r="H386">
        <v>3</v>
      </c>
      <c r="I386" t="s">
        <v>16</v>
      </c>
      <c r="J386" s="1">
        <v>1338.28</v>
      </c>
      <c r="K386" s="1">
        <v>334.57</v>
      </c>
      <c r="L386">
        <v>4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225</v>
      </c>
      <c r="S386" s="5">
        <v>1</v>
      </c>
      <c r="T386" s="5">
        <v>2</v>
      </c>
      <c r="U386" s="5">
        <v>2</v>
      </c>
      <c r="V386" s="5">
        <v>5</v>
      </c>
    </row>
    <row r="387" spans="1:22" x14ac:dyDescent="0.35">
      <c r="A387">
        <v>386</v>
      </c>
      <c r="B387">
        <v>37</v>
      </c>
      <c r="C387" t="s">
        <v>75</v>
      </c>
      <c r="D387" t="s">
        <v>6</v>
      </c>
      <c r="E387" t="s">
        <v>10</v>
      </c>
      <c r="F387" t="s">
        <v>13</v>
      </c>
      <c r="G387">
        <v>0</v>
      </c>
      <c r="H387">
        <v>26</v>
      </c>
      <c r="I387" t="s">
        <v>17</v>
      </c>
      <c r="J387" s="1">
        <v>773.11</v>
      </c>
      <c r="K387" s="1">
        <v>193.2775</v>
      </c>
      <c r="L387">
        <v>4</v>
      </c>
      <c r="M387">
        <v>1</v>
      </c>
      <c r="N387">
        <v>0</v>
      </c>
      <c r="O387">
        <v>0</v>
      </c>
      <c r="P387">
        <v>1</v>
      </c>
      <c r="Q387">
        <v>0</v>
      </c>
      <c r="R387">
        <v>162</v>
      </c>
      <c r="S387" s="5">
        <v>1</v>
      </c>
      <c r="T387" s="5">
        <v>2</v>
      </c>
      <c r="U387" s="5">
        <v>1</v>
      </c>
      <c r="V387" s="5">
        <v>4</v>
      </c>
    </row>
    <row r="388" spans="1:22" x14ac:dyDescent="0.35">
      <c r="A388">
        <v>387</v>
      </c>
      <c r="B388">
        <v>25</v>
      </c>
      <c r="C388" t="s">
        <v>73</v>
      </c>
      <c r="D388" t="s">
        <v>5</v>
      </c>
      <c r="E388" t="s">
        <v>8</v>
      </c>
      <c r="F388" t="s">
        <v>11</v>
      </c>
      <c r="G388">
        <v>0</v>
      </c>
      <c r="H388">
        <v>39</v>
      </c>
      <c r="I388" t="s">
        <v>17</v>
      </c>
      <c r="J388" s="1">
        <v>47.52</v>
      </c>
      <c r="K388" s="1">
        <v>47.52</v>
      </c>
      <c r="L388">
        <v>1</v>
      </c>
      <c r="M388">
        <v>2</v>
      </c>
      <c r="N388">
        <v>1</v>
      </c>
      <c r="O388">
        <v>1</v>
      </c>
      <c r="P388">
        <v>1</v>
      </c>
      <c r="Q388">
        <v>0</v>
      </c>
      <c r="R388">
        <v>5</v>
      </c>
      <c r="S388" s="5">
        <v>3</v>
      </c>
      <c r="T388" s="5">
        <v>1</v>
      </c>
      <c r="U388" s="5">
        <v>1</v>
      </c>
      <c r="V388" s="5">
        <v>5</v>
      </c>
    </row>
    <row r="389" spans="1:22" x14ac:dyDescent="0.35">
      <c r="A389">
        <v>388</v>
      </c>
      <c r="B389">
        <v>26</v>
      </c>
      <c r="C389" t="s">
        <v>73</v>
      </c>
      <c r="D389" t="s">
        <v>6</v>
      </c>
      <c r="E389" t="s">
        <v>9</v>
      </c>
      <c r="F389" t="s">
        <v>11</v>
      </c>
      <c r="G389">
        <v>1</v>
      </c>
      <c r="H389">
        <v>5</v>
      </c>
      <c r="I389" t="s">
        <v>18</v>
      </c>
      <c r="J389" s="1">
        <v>1787.42</v>
      </c>
      <c r="K389" s="1">
        <v>223.42750000000001</v>
      </c>
      <c r="L389">
        <v>8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34</v>
      </c>
      <c r="S389" s="5">
        <v>2</v>
      </c>
      <c r="T389" s="5">
        <v>3</v>
      </c>
      <c r="U389" s="5">
        <v>3</v>
      </c>
      <c r="V389" s="5">
        <v>8</v>
      </c>
    </row>
    <row r="390" spans="1:22" x14ac:dyDescent="0.35">
      <c r="A390">
        <v>389</v>
      </c>
      <c r="B390">
        <v>31</v>
      </c>
      <c r="C390" t="s">
        <v>75</v>
      </c>
      <c r="D390" t="s">
        <v>6</v>
      </c>
      <c r="E390" t="s">
        <v>9</v>
      </c>
      <c r="F390" t="s">
        <v>11</v>
      </c>
      <c r="G390">
        <v>1</v>
      </c>
      <c r="H390">
        <v>23</v>
      </c>
      <c r="I390" t="s">
        <v>18</v>
      </c>
      <c r="J390" s="1">
        <v>522.89</v>
      </c>
      <c r="K390" s="1">
        <v>174.29666666666665</v>
      </c>
      <c r="L390">
        <v>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123</v>
      </c>
      <c r="S390" s="5">
        <v>1</v>
      </c>
      <c r="T390" s="5">
        <v>2</v>
      </c>
      <c r="U390" s="5">
        <v>1</v>
      </c>
      <c r="V390" s="5">
        <v>4</v>
      </c>
    </row>
    <row r="391" spans="1:22" x14ac:dyDescent="0.35">
      <c r="A391">
        <v>390</v>
      </c>
      <c r="B391">
        <v>23</v>
      </c>
      <c r="C391" t="s">
        <v>73</v>
      </c>
      <c r="D391" t="s">
        <v>5</v>
      </c>
      <c r="E391" t="s">
        <v>10</v>
      </c>
      <c r="F391" t="s">
        <v>12</v>
      </c>
      <c r="G391">
        <v>0</v>
      </c>
      <c r="H391">
        <v>33</v>
      </c>
      <c r="I391" t="s">
        <v>16</v>
      </c>
      <c r="J391" s="1">
        <v>281.95</v>
      </c>
      <c r="K391" s="1">
        <v>281.95</v>
      </c>
      <c r="L391">
        <v>1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43</v>
      </c>
      <c r="S391" s="5">
        <v>2</v>
      </c>
      <c r="T391" s="5">
        <v>1</v>
      </c>
      <c r="U391" s="5">
        <v>1</v>
      </c>
      <c r="V391" s="5">
        <v>4</v>
      </c>
    </row>
    <row r="392" spans="1:22" x14ac:dyDescent="0.35">
      <c r="A392">
        <v>391</v>
      </c>
      <c r="B392">
        <v>18</v>
      </c>
      <c r="C392" t="s">
        <v>73</v>
      </c>
      <c r="D392" t="s">
        <v>6</v>
      </c>
      <c r="E392" t="s">
        <v>8</v>
      </c>
      <c r="F392" t="s">
        <v>11</v>
      </c>
      <c r="G392">
        <v>0</v>
      </c>
      <c r="H392">
        <v>30</v>
      </c>
      <c r="I392" t="s">
        <v>16</v>
      </c>
      <c r="J392" s="1">
        <v>1990.1500000000003</v>
      </c>
      <c r="K392" s="1">
        <v>284.30714285714288</v>
      </c>
      <c r="L392">
        <v>7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55</v>
      </c>
      <c r="S392" s="5">
        <v>2</v>
      </c>
      <c r="T392" s="5">
        <v>2</v>
      </c>
      <c r="U392" s="5">
        <v>3</v>
      </c>
      <c r="V392" s="5">
        <v>7</v>
      </c>
    </row>
    <row r="393" spans="1:22" x14ac:dyDescent="0.35">
      <c r="A393">
        <v>392</v>
      </c>
      <c r="B393">
        <v>26</v>
      </c>
      <c r="C393" t="s">
        <v>73</v>
      </c>
      <c r="D393" t="s">
        <v>6</v>
      </c>
      <c r="E393" t="s">
        <v>9</v>
      </c>
      <c r="F393" t="s">
        <v>12</v>
      </c>
      <c r="G393">
        <v>0</v>
      </c>
      <c r="H393">
        <v>33</v>
      </c>
      <c r="I393" t="s">
        <v>16</v>
      </c>
      <c r="J393" s="1">
        <v>1533.3400000000001</v>
      </c>
      <c r="K393" s="1">
        <v>219.04857142857145</v>
      </c>
      <c r="L393">
        <v>7</v>
      </c>
      <c r="M393">
        <v>1</v>
      </c>
      <c r="N393">
        <v>0</v>
      </c>
      <c r="O393">
        <v>0</v>
      </c>
      <c r="P393">
        <v>1</v>
      </c>
      <c r="Q393">
        <v>0</v>
      </c>
      <c r="R393">
        <v>14</v>
      </c>
      <c r="S393" s="5">
        <v>3</v>
      </c>
      <c r="T393" s="5">
        <v>2</v>
      </c>
      <c r="U393" s="5">
        <v>2</v>
      </c>
      <c r="V393" s="5">
        <v>7</v>
      </c>
    </row>
    <row r="394" spans="1:22" x14ac:dyDescent="0.35">
      <c r="A394">
        <v>393</v>
      </c>
      <c r="B394">
        <v>33</v>
      </c>
      <c r="C394" t="s">
        <v>75</v>
      </c>
      <c r="D394" t="s">
        <v>5</v>
      </c>
      <c r="E394" t="s">
        <v>9</v>
      </c>
      <c r="F394" t="s">
        <v>12</v>
      </c>
      <c r="G394">
        <v>0</v>
      </c>
      <c r="H394">
        <v>43</v>
      </c>
      <c r="I394" t="s">
        <v>17</v>
      </c>
      <c r="J394" s="1">
        <v>1960.83</v>
      </c>
      <c r="K394" s="1">
        <v>245.10374999999999</v>
      </c>
      <c r="L394">
        <v>8</v>
      </c>
      <c r="M394">
        <v>1</v>
      </c>
      <c r="N394">
        <v>0</v>
      </c>
      <c r="O394">
        <v>0</v>
      </c>
      <c r="P394">
        <v>1</v>
      </c>
      <c r="Q394">
        <v>0</v>
      </c>
      <c r="R394">
        <v>86</v>
      </c>
      <c r="S394" s="5">
        <v>1</v>
      </c>
      <c r="T394" s="5">
        <v>3</v>
      </c>
      <c r="U394" s="5">
        <v>3</v>
      </c>
      <c r="V394" s="5">
        <v>7</v>
      </c>
    </row>
    <row r="395" spans="1:22" x14ac:dyDescent="0.35">
      <c r="A395">
        <v>394</v>
      </c>
      <c r="B395">
        <v>33</v>
      </c>
      <c r="C395" t="s">
        <v>75</v>
      </c>
      <c r="D395" t="s">
        <v>5</v>
      </c>
      <c r="E395" t="s">
        <v>10</v>
      </c>
      <c r="F395" t="s">
        <v>11</v>
      </c>
      <c r="G395">
        <v>0</v>
      </c>
      <c r="H395">
        <v>25</v>
      </c>
      <c r="I395" t="s">
        <v>18</v>
      </c>
      <c r="J395" s="1">
        <v>2346.48</v>
      </c>
      <c r="K395" s="1">
        <v>293.31</v>
      </c>
      <c r="L395">
        <v>8</v>
      </c>
      <c r="M395">
        <v>2</v>
      </c>
      <c r="N395">
        <v>1</v>
      </c>
      <c r="O395">
        <v>1</v>
      </c>
      <c r="P395">
        <v>0</v>
      </c>
      <c r="Q395">
        <v>1</v>
      </c>
      <c r="R395">
        <v>6</v>
      </c>
      <c r="S395" s="5">
        <v>3</v>
      </c>
      <c r="T395" s="5">
        <v>3</v>
      </c>
      <c r="U395" s="5">
        <v>3</v>
      </c>
      <c r="V395" s="5">
        <v>9</v>
      </c>
    </row>
    <row r="396" spans="1:22" x14ac:dyDescent="0.35">
      <c r="A396">
        <v>395</v>
      </c>
      <c r="B396">
        <v>29</v>
      </c>
      <c r="C396" t="s">
        <v>73</v>
      </c>
      <c r="D396" t="s">
        <v>6</v>
      </c>
      <c r="E396" t="s">
        <v>7</v>
      </c>
      <c r="F396" t="s">
        <v>12</v>
      </c>
      <c r="G396">
        <v>1</v>
      </c>
      <c r="H396">
        <v>22</v>
      </c>
      <c r="I396" t="s">
        <v>18</v>
      </c>
      <c r="J396" s="1">
        <v>680.27</v>
      </c>
      <c r="K396" s="1">
        <v>340.13499999999999</v>
      </c>
      <c r="L396">
        <v>2</v>
      </c>
      <c r="M396">
        <v>2</v>
      </c>
      <c r="N396">
        <v>1</v>
      </c>
      <c r="O396">
        <v>1</v>
      </c>
      <c r="P396">
        <v>0</v>
      </c>
      <c r="Q396">
        <v>1</v>
      </c>
      <c r="R396">
        <v>14</v>
      </c>
      <c r="S396" s="5">
        <v>3</v>
      </c>
      <c r="T396" s="5">
        <v>1</v>
      </c>
      <c r="U396" s="5">
        <v>1</v>
      </c>
      <c r="V396" s="5">
        <v>5</v>
      </c>
    </row>
    <row r="397" spans="1:22" x14ac:dyDescent="0.35">
      <c r="A397">
        <v>396</v>
      </c>
      <c r="B397">
        <v>22</v>
      </c>
      <c r="C397" t="s">
        <v>73</v>
      </c>
      <c r="D397" t="s">
        <v>5</v>
      </c>
      <c r="E397" t="s">
        <v>9</v>
      </c>
      <c r="F397" t="s">
        <v>13</v>
      </c>
      <c r="G397">
        <v>1</v>
      </c>
      <c r="H397">
        <v>1</v>
      </c>
      <c r="I397" t="s">
        <v>18</v>
      </c>
      <c r="J397" s="1">
        <v>865.73</v>
      </c>
      <c r="K397" s="1">
        <v>288.57666666666665</v>
      </c>
      <c r="L397">
        <v>3</v>
      </c>
      <c r="M397">
        <v>2</v>
      </c>
      <c r="N397">
        <v>1</v>
      </c>
      <c r="O397">
        <v>1</v>
      </c>
      <c r="P397">
        <v>0</v>
      </c>
      <c r="Q397">
        <v>0</v>
      </c>
      <c r="R397">
        <v>25</v>
      </c>
      <c r="S397" s="5">
        <v>3</v>
      </c>
      <c r="T397" s="5">
        <v>2</v>
      </c>
      <c r="U397" s="5">
        <v>2</v>
      </c>
      <c r="V397" s="5">
        <v>7</v>
      </c>
    </row>
    <row r="398" spans="1:22" x14ac:dyDescent="0.35">
      <c r="A398">
        <v>397</v>
      </c>
      <c r="B398">
        <v>57</v>
      </c>
      <c r="C398" t="s">
        <v>74</v>
      </c>
      <c r="D398" t="s">
        <v>6</v>
      </c>
      <c r="E398" t="s">
        <v>10</v>
      </c>
      <c r="F398" t="s">
        <v>13</v>
      </c>
      <c r="G398">
        <v>0</v>
      </c>
      <c r="H398">
        <v>10</v>
      </c>
      <c r="I398" t="s">
        <v>18</v>
      </c>
      <c r="J398" s="1">
        <v>2322.9799999999996</v>
      </c>
      <c r="K398" s="1">
        <v>258.10888888888883</v>
      </c>
      <c r="L398">
        <v>9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14</v>
      </c>
      <c r="S398" s="5">
        <v>3</v>
      </c>
      <c r="T398" s="5">
        <v>3</v>
      </c>
      <c r="U398" s="5">
        <v>3</v>
      </c>
      <c r="V398" s="5">
        <v>9</v>
      </c>
    </row>
    <row r="399" spans="1:22" x14ac:dyDescent="0.35">
      <c r="A399">
        <v>398</v>
      </c>
      <c r="B399">
        <v>46</v>
      </c>
      <c r="C399" t="s">
        <v>74</v>
      </c>
      <c r="D399" t="s">
        <v>6</v>
      </c>
      <c r="E399" t="s">
        <v>10</v>
      </c>
      <c r="F399" t="s">
        <v>11</v>
      </c>
      <c r="G399">
        <v>0</v>
      </c>
      <c r="H399">
        <v>23</v>
      </c>
      <c r="I399" t="s">
        <v>18</v>
      </c>
      <c r="J399" s="1">
        <v>1678.12</v>
      </c>
      <c r="K399" s="1">
        <v>279.68666666666667</v>
      </c>
      <c r="L399">
        <v>6</v>
      </c>
      <c r="M399">
        <v>1</v>
      </c>
      <c r="N399">
        <v>0</v>
      </c>
      <c r="O399">
        <v>0</v>
      </c>
      <c r="P399">
        <v>0</v>
      </c>
      <c r="Q399">
        <v>1</v>
      </c>
      <c r="R399">
        <v>35</v>
      </c>
      <c r="S399" s="5">
        <v>2</v>
      </c>
      <c r="T399" s="5">
        <v>2</v>
      </c>
      <c r="U399" s="5">
        <v>3</v>
      </c>
      <c r="V399" s="5">
        <v>7</v>
      </c>
    </row>
    <row r="400" spans="1:22" x14ac:dyDescent="0.35">
      <c r="A400">
        <v>399</v>
      </c>
      <c r="B400">
        <v>63</v>
      </c>
      <c r="C400" t="s">
        <v>72</v>
      </c>
      <c r="D400" t="s">
        <v>5</v>
      </c>
      <c r="E400" t="s">
        <v>8</v>
      </c>
      <c r="F400" t="s">
        <v>12</v>
      </c>
      <c r="G400">
        <v>0</v>
      </c>
      <c r="H400">
        <v>33</v>
      </c>
      <c r="I400" t="s">
        <v>17</v>
      </c>
      <c r="J400" s="1">
        <v>568.35</v>
      </c>
      <c r="K400" s="1">
        <v>284.17500000000001</v>
      </c>
      <c r="L400">
        <v>2</v>
      </c>
      <c r="M400">
        <v>1</v>
      </c>
      <c r="N400">
        <v>0</v>
      </c>
      <c r="O400">
        <v>0</v>
      </c>
      <c r="P400">
        <v>1</v>
      </c>
      <c r="Q400">
        <v>0</v>
      </c>
      <c r="R400">
        <v>4</v>
      </c>
      <c r="S400" s="5">
        <v>3</v>
      </c>
      <c r="T400" s="5">
        <v>1</v>
      </c>
      <c r="U400" s="5">
        <v>1</v>
      </c>
      <c r="V400" s="5">
        <v>5</v>
      </c>
    </row>
    <row r="401" spans="1:22" x14ac:dyDescent="0.35">
      <c r="A401">
        <v>400</v>
      </c>
      <c r="B401">
        <v>44</v>
      </c>
      <c r="C401" t="s">
        <v>75</v>
      </c>
      <c r="D401" t="s">
        <v>5</v>
      </c>
      <c r="E401" t="s">
        <v>10</v>
      </c>
      <c r="F401" t="s">
        <v>13</v>
      </c>
      <c r="G401">
        <v>0</v>
      </c>
      <c r="H401">
        <v>39</v>
      </c>
      <c r="I401" t="s">
        <v>18</v>
      </c>
      <c r="J401" s="1">
        <v>2309.85</v>
      </c>
      <c r="K401" s="1">
        <v>288.73124999999999</v>
      </c>
      <c r="L401">
        <v>8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37</v>
      </c>
      <c r="S401" s="5">
        <v>2</v>
      </c>
      <c r="T401" s="5">
        <v>3</v>
      </c>
      <c r="U401" s="5">
        <v>3</v>
      </c>
      <c r="V401" s="5">
        <v>8</v>
      </c>
    </row>
    <row r="402" spans="1:22" x14ac:dyDescent="0.35">
      <c r="A402">
        <v>401</v>
      </c>
      <c r="B402">
        <v>28</v>
      </c>
      <c r="C402" t="s">
        <v>73</v>
      </c>
      <c r="D402" t="s">
        <v>6</v>
      </c>
      <c r="E402" t="s">
        <v>10</v>
      </c>
      <c r="F402" t="s">
        <v>12</v>
      </c>
      <c r="G402">
        <v>0</v>
      </c>
      <c r="H402">
        <v>28</v>
      </c>
      <c r="I402" t="s">
        <v>17</v>
      </c>
      <c r="J402" s="1">
        <v>1273.3600000000001</v>
      </c>
      <c r="K402" s="1">
        <v>318.34000000000003</v>
      </c>
      <c r="L402">
        <v>4</v>
      </c>
      <c r="M402">
        <v>2</v>
      </c>
      <c r="N402">
        <v>1</v>
      </c>
      <c r="O402">
        <v>1</v>
      </c>
      <c r="P402">
        <v>0</v>
      </c>
      <c r="Q402">
        <v>1</v>
      </c>
      <c r="R402">
        <v>56</v>
      </c>
      <c r="S402" s="5">
        <v>2</v>
      </c>
      <c r="T402" s="5">
        <v>2</v>
      </c>
      <c r="U402" s="5">
        <v>2</v>
      </c>
      <c r="V402" s="5">
        <v>6</v>
      </c>
    </row>
    <row r="403" spans="1:22" x14ac:dyDescent="0.35">
      <c r="A403">
        <v>402</v>
      </c>
      <c r="B403">
        <v>64</v>
      </c>
      <c r="C403" t="s">
        <v>72</v>
      </c>
      <c r="D403" t="s">
        <v>5</v>
      </c>
      <c r="E403" t="s">
        <v>7</v>
      </c>
      <c r="F403" t="s">
        <v>12</v>
      </c>
      <c r="G403">
        <v>1</v>
      </c>
      <c r="H403">
        <v>43</v>
      </c>
      <c r="I403" t="s">
        <v>16</v>
      </c>
      <c r="J403" s="1">
        <v>609.57999999999993</v>
      </c>
      <c r="K403" s="1">
        <v>304.78999999999996</v>
      </c>
      <c r="L403">
        <v>2</v>
      </c>
      <c r="M403">
        <v>2</v>
      </c>
      <c r="N403">
        <v>1</v>
      </c>
      <c r="O403">
        <v>0</v>
      </c>
      <c r="P403">
        <v>1</v>
      </c>
      <c r="Q403">
        <v>1</v>
      </c>
      <c r="R403">
        <v>186</v>
      </c>
      <c r="S403" s="5">
        <v>1</v>
      </c>
      <c r="T403" s="5">
        <v>1</v>
      </c>
      <c r="U403" s="5">
        <v>1</v>
      </c>
      <c r="V403" s="5">
        <v>3</v>
      </c>
    </row>
    <row r="404" spans="1:22" x14ac:dyDescent="0.35">
      <c r="A404">
        <v>403</v>
      </c>
      <c r="B404">
        <v>67</v>
      </c>
      <c r="C404" t="s">
        <v>72</v>
      </c>
      <c r="D404" t="s">
        <v>6</v>
      </c>
      <c r="E404" t="s">
        <v>9</v>
      </c>
      <c r="F404" t="s">
        <v>13</v>
      </c>
      <c r="G404">
        <v>0</v>
      </c>
      <c r="H404">
        <v>8</v>
      </c>
      <c r="I404" t="s">
        <v>18</v>
      </c>
      <c r="J404" s="1">
        <v>1645.7599999999998</v>
      </c>
      <c r="K404" s="1">
        <v>235.10857142857139</v>
      </c>
      <c r="L404">
        <v>7</v>
      </c>
      <c r="M404">
        <v>2</v>
      </c>
      <c r="N404">
        <v>0</v>
      </c>
      <c r="O404">
        <v>1</v>
      </c>
      <c r="P404">
        <v>0</v>
      </c>
      <c r="Q404">
        <v>1</v>
      </c>
      <c r="R404">
        <v>14</v>
      </c>
      <c r="S404" s="5">
        <v>3</v>
      </c>
      <c r="T404" s="5">
        <v>2</v>
      </c>
      <c r="U404" s="5">
        <v>3</v>
      </c>
      <c r="V404" s="5">
        <v>8</v>
      </c>
    </row>
    <row r="405" spans="1:22" x14ac:dyDescent="0.35">
      <c r="A405">
        <v>404</v>
      </c>
      <c r="B405">
        <v>45</v>
      </c>
      <c r="C405" t="s">
        <v>75</v>
      </c>
      <c r="D405" t="s">
        <v>5</v>
      </c>
      <c r="E405" t="s">
        <v>8</v>
      </c>
      <c r="F405" t="s">
        <v>11</v>
      </c>
      <c r="G405">
        <v>1</v>
      </c>
      <c r="H405">
        <v>27</v>
      </c>
      <c r="I405" t="s">
        <v>16</v>
      </c>
      <c r="J405" s="1">
        <v>2787.0999999999995</v>
      </c>
      <c r="K405" s="1">
        <v>309.67777777777769</v>
      </c>
      <c r="L405">
        <v>9</v>
      </c>
      <c r="M405">
        <v>1</v>
      </c>
      <c r="N405">
        <v>0</v>
      </c>
      <c r="O405">
        <v>1</v>
      </c>
      <c r="P405">
        <v>0</v>
      </c>
      <c r="Q405">
        <v>0</v>
      </c>
      <c r="R405">
        <v>14</v>
      </c>
      <c r="S405" s="5">
        <v>3</v>
      </c>
      <c r="T405" s="5">
        <v>3</v>
      </c>
      <c r="U405" s="5">
        <v>3</v>
      </c>
      <c r="V405" s="5">
        <v>9</v>
      </c>
    </row>
    <row r="406" spans="1:22" x14ac:dyDescent="0.35">
      <c r="A406">
        <v>405</v>
      </c>
      <c r="B406">
        <v>69</v>
      </c>
      <c r="C406" t="s">
        <v>72</v>
      </c>
      <c r="D406" t="s">
        <v>6</v>
      </c>
      <c r="E406" t="s">
        <v>10</v>
      </c>
      <c r="F406" t="s">
        <v>12</v>
      </c>
      <c r="G406">
        <v>0</v>
      </c>
      <c r="H406">
        <v>5</v>
      </c>
      <c r="I406" t="s">
        <v>18</v>
      </c>
      <c r="J406" s="1">
        <v>508.49</v>
      </c>
      <c r="K406" s="1">
        <v>169.49666666666667</v>
      </c>
      <c r="L406">
        <v>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73</v>
      </c>
      <c r="S406" s="5">
        <v>2</v>
      </c>
      <c r="T406" s="5">
        <v>2</v>
      </c>
      <c r="U406" s="5">
        <v>1</v>
      </c>
      <c r="V406" s="5">
        <v>5</v>
      </c>
    </row>
    <row r="407" spans="1:22" x14ac:dyDescent="0.35">
      <c r="A407">
        <v>406</v>
      </c>
      <c r="B407">
        <v>53</v>
      </c>
      <c r="C407" t="s">
        <v>74</v>
      </c>
      <c r="D407" t="s">
        <v>6</v>
      </c>
      <c r="E407" t="s">
        <v>8</v>
      </c>
      <c r="F407" t="s">
        <v>13</v>
      </c>
      <c r="G407">
        <v>0</v>
      </c>
      <c r="H407">
        <v>15</v>
      </c>
      <c r="I407" t="s">
        <v>17</v>
      </c>
      <c r="J407" s="1">
        <v>2017.7800000000002</v>
      </c>
      <c r="K407" s="1">
        <v>252.22250000000003</v>
      </c>
      <c r="L407">
        <v>8</v>
      </c>
      <c r="M407">
        <v>2</v>
      </c>
      <c r="N407">
        <v>1</v>
      </c>
      <c r="O407">
        <v>1</v>
      </c>
      <c r="P407">
        <v>0</v>
      </c>
      <c r="Q407">
        <v>0</v>
      </c>
      <c r="R407">
        <v>113</v>
      </c>
      <c r="S407" s="5">
        <v>1</v>
      </c>
      <c r="T407" s="5">
        <v>3</v>
      </c>
      <c r="U407" s="5">
        <v>3</v>
      </c>
      <c r="V407" s="5">
        <v>7</v>
      </c>
    </row>
    <row r="408" spans="1:22" x14ac:dyDescent="0.35">
      <c r="A408">
        <v>407</v>
      </c>
      <c r="B408">
        <v>59</v>
      </c>
      <c r="C408" t="s">
        <v>74</v>
      </c>
      <c r="D408" t="s">
        <v>6</v>
      </c>
      <c r="E408" t="s">
        <v>9</v>
      </c>
      <c r="F408" t="s">
        <v>11</v>
      </c>
      <c r="G408">
        <v>1</v>
      </c>
      <c r="H408">
        <v>48</v>
      </c>
      <c r="I408" t="s">
        <v>16</v>
      </c>
      <c r="J408" s="1">
        <v>2722.7400000000002</v>
      </c>
      <c r="K408" s="1">
        <v>302.5266666666667</v>
      </c>
      <c r="L408">
        <v>9</v>
      </c>
      <c r="M408">
        <v>1</v>
      </c>
      <c r="N408">
        <v>1</v>
      </c>
      <c r="O408">
        <v>1</v>
      </c>
      <c r="P408">
        <v>0</v>
      </c>
      <c r="Q408">
        <v>0</v>
      </c>
      <c r="R408">
        <v>23</v>
      </c>
      <c r="S408" s="5">
        <v>3</v>
      </c>
      <c r="T408" s="5">
        <v>3</v>
      </c>
      <c r="U408" s="5">
        <v>3</v>
      </c>
      <c r="V408" s="5">
        <v>9</v>
      </c>
    </row>
    <row r="409" spans="1:22" x14ac:dyDescent="0.35">
      <c r="A409">
        <v>408</v>
      </c>
      <c r="B409">
        <v>36</v>
      </c>
      <c r="C409" t="s">
        <v>75</v>
      </c>
      <c r="D409" t="s">
        <v>6</v>
      </c>
      <c r="E409" t="s">
        <v>10</v>
      </c>
      <c r="F409" t="s">
        <v>12</v>
      </c>
      <c r="G409">
        <v>0</v>
      </c>
      <c r="H409">
        <v>22</v>
      </c>
      <c r="I409" t="s">
        <v>18</v>
      </c>
      <c r="J409" s="1">
        <v>2101.4</v>
      </c>
      <c r="K409" s="1">
        <v>300.2</v>
      </c>
      <c r="L409">
        <v>7</v>
      </c>
      <c r="M409">
        <v>2</v>
      </c>
      <c r="N409">
        <v>1</v>
      </c>
      <c r="O409">
        <v>1</v>
      </c>
      <c r="P409">
        <v>0</v>
      </c>
      <c r="Q409">
        <v>1</v>
      </c>
      <c r="R409">
        <v>33</v>
      </c>
      <c r="S409" s="5">
        <v>2</v>
      </c>
      <c r="T409" s="5">
        <v>2</v>
      </c>
      <c r="U409" s="5">
        <v>3</v>
      </c>
      <c r="V409" s="5">
        <v>7</v>
      </c>
    </row>
    <row r="410" spans="1:22" x14ac:dyDescent="0.35">
      <c r="A410">
        <v>409</v>
      </c>
      <c r="B410">
        <v>52</v>
      </c>
      <c r="C410" t="s">
        <v>74</v>
      </c>
      <c r="D410" t="s">
        <v>6</v>
      </c>
      <c r="E410" t="s">
        <v>10</v>
      </c>
      <c r="F410" t="s">
        <v>12</v>
      </c>
      <c r="G410">
        <v>0</v>
      </c>
      <c r="H410">
        <v>35</v>
      </c>
      <c r="I410" t="s">
        <v>16</v>
      </c>
      <c r="J410" s="1">
        <v>1524.8400000000001</v>
      </c>
      <c r="K410" s="1">
        <v>169.42666666666668</v>
      </c>
      <c r="L410">
        <v>9</v>
      </c>
      <c r="M410">
        <v>1</v>
      </c>
      <c r="N410">
        <v>1</v>
      </c>
      <c r="O410">
        <v>0</v>
      </c>
      <c r="P410">
        <v>0</v>
      </c>
      <c r="Q410">
        <v>1</v>
      </c>
      <c r="R410">
        <v>49</v>
      </c>
      <c r="S410" s="5">
        <v>2</v>
      </c>
      <c r="T410" s="5">
        <v>3</v>
      </c>
      <c r="U410" s="5">
        <v>2</v>
      </c>
      <c r="V410" s="5">
        <v>7</v>
      </c>
    </row>
    <row r="411" spans="1:22" x14ac:dyDescent="0.35">
      <c r="A411">
        <v>410</v>
      </c>
      <c r="B411">
        <v>69</v>
      </c>
      <c r="C411" t="s">
        <v>72</v>
      </c>
      <c r="D411" t="s">
        <v>6</v>
      </c>
      <c r="E411" t="s">
        <v>8</v>
      </c>
      <c r="F411" t="s">
        <v>12</v>
      </c>
      <c r="G411">
        <v>0</v>
      </c>
      <c r="H411">
        <v>30</v>
      </c>
      <c r="I411" t="s">
        <v>18</v>
      </c>
      <c r="J411" s="1">
        <v>1426.2</v>
      </c>
      <c r="K411" s="1">
        <v>237.70000000000002</v>
      </c>
      <c r="L411">
        <v>6</v>
      </c>
      <c r="M411">
        <v>1</v>
      </c>
      <c r="N411">
        <v>1</v>
      </c>
      <c r="O411">
        <v>0</v>
      </c>
      <c r="P411">
        <v>1</v>
      </c>
      <c r="Q411">
        <v>0</v>
      </c>
      <c r="R411">
        <v>77</v>
      </c>
      <c r="S411" s="5">
        <v>2</v>
      </c>
      <c r="T411" s="5">
        <v>2</v>
      </c>
      <c r="U411" s="5">
        <v>2</v>
      </c>
      <c r="V411" s="5">
        <v>6</v>
      </c>
    </row>
    <row r="412" spans="1:22" x14ac:dyDescent="0.35">
      <c r="A412">
        <v>411</v>
      </c>
      <c r="B412">
        <v>48</v>
      </c>
      <c r="C412" t="s">
        <v>74</v>
      </c>
      <c r="D412" t="s">
        <v>6</v>
      </c>
      <c r="E412" t="s">
        <v>7</v>
      </c>
      <c r="F412" t="s">
        <v>12</v>
      </c>
      <c r="G412">
        <v>1</v>
      </c>
      <c r="H412">
        <v>48</v>
      </c>
      <c r="I412" t="s">
        <v>17</v>
      </c>
      <c r="J412" s="1">
        <v>87.02</v>
      </c>
      <c r="K412" s="1">
        <v>87.02</v>
      </c>
      <c r="L412">
        <v>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257</v>
      </c>
      <c r="S412" s="5">
        <v>1</v>
      </c>
      <c r="T412" s="5">
        <v>1</v>
      </c>
      <c r="U412" s="5">
        <v>1</v>
      </c>
      <c r="V412" s="5">
        <v>3</v>
      </c>
    </row>
    <row r="413" spans="1:22" x14ac:dyDescent="0.35">
      <c r="A413">
        <v>412</v>
      </c>
      <c r="B413">
        <v>61</v>
      </c>
      <c r="C413" t="s">
        <v>72</v>
      </c>
      <c r="D413" t="s">
        <v>5</v>
      </c>
      <c r="E413" t="s">
        <v>9</v>
      </c>
      <c r="F413" t="s">
        <v>11</v>
      </c>
      <c r="G413">
        <v>0</v>
      </c>
      <c r="H413">
        <v>44</v>
      </c>
      <c r="I413" t="s">
        <v>17</v>
      </c>
      <c r="J413" s="1">
        <v>184.86</v>
      </c>
      <c r="K413" s="1">
        <v>184.86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317</v>
      </c>
      <c r="S413" s="5">
        <v>1</v>
      </c>
      <c r="T413" s="5">
        <v>1</v>
      </c>
      <c r="U413" s="5">
        <v>1</v>
      </c>
      <c r="V413" s="5">
        <v>3</v>
      </c>
    </row>
    <row r="414" spans="1:22" x14ac:dyDescent="0.35">
      <c r="A414">
        <v>413</v>
      </c>
      <c r="B414">
        <v>36</v>
      </c>
      <c r="C414" t="s">
        <v>75</v>
      </c>
      <c r="D414" t="s">
        <v>5</v>
      </c>
      <c r="E414" t="s">
        <v>9</v>
      </c>
      <c r="F414" t="s">
        <v>12</v>
      </c>
      <c r="G414">
        <v>0</v>
      </c>
      <c r="H414">
        <v>33</v>
      </c>
      <c r="I414" t="s">
        <v>17</v>
      </c>
      <c r="J414" s="1">
        <v>1592.61</v>
      </c>
      <c r="K414" s="1">
        <v>318.52199999999999</v>
      </c>
      <c r="L414">
        <v>5</v>
      </c>
      <c r="M414">
        <v>2</v>
      </c>
      <c r="N414">
        <v>1</v>
      </c>
      <c r="O414">
        <v>0</v>
      </c>
      <c r="P414">
        <v>1</v>
      </c>
      <c r="Q414">
        <v>1</v>
      </c>
      <c r="R414">
        <v>215</v>
      </c>
      <c r="S414" s="5">
        <v>1</v>
      </c>
      <c r="T414" s="5">
        <v>2</v>
      </c>
      <c r="U414" s="5">
        <v>3</v>
      </c>
      <c r="V414" s="5">
        <v>6</v>
      </c>
    </row>
    <row r="415" spans="1:22" x14ac:dyDescent="0.35">
      <c r="A415">
        <v>414</v>
      </c>
      <c r="B415">
        <v>63</v>
      </c>
      <c r="C415" t="s">
        <v>72</v>
      </c>
      <c r="D415" t="s">
        <v>5</v>
      </c>
      <c r="E415" t="s">
        <v>9</v>
      </c>
      <c r="F415" t="s">
        <v>13</v>
      </c>
      <c r="G415">
        <v>0</v>
      </c>
      <c r="H415">
        <v>30</v>
      </c>
      <c r="I415" t="s">
        <v>18</v>
      </c>
      <c r="J415" s="1">
        <v>1497.8899999999999</v>
      </c>
      <c r="K415" s="1">
        <v>213.9842857142857</v>
      </c>
      <c r="L415">
        <v>7</v>
      </c>
      <c r="M415">
        <v>1</v>
      </c>
      <c r="N415">
        <v>0</v>
      </c>
      <c r="O415">
        <v>0</v>
      </c>
      <c r="P415">
        <v>0</v>
      </c>
      <c r="Q415">
        <v>1</v>
      </c>
      <c r="R415">
        <v>17</v>
      </c>
      <c r="S415" s="5">
        <v>3</v>
      </c>
      <c r="T415" s="5">
        <v>2</v>
      </c>
      <c r="U415" s="5">
        <v>2</v>
      </c>
      <c r="V415" s="5">
        <v>7</v>
      </c>
    </row>
    <row r="416" spans="1:22" x14ac:dyDescent="0.35">
      <c r="A416">
        <v>415</v>
      </c>
      <c r="B416">
        <v>41</v>
      </c>
      <c r="C416" t="s">
        <v>75</v>
      </c>
      <c r="D416" t="s">
        <v>6</v>
      </c>
      <c r="E416" t="s">
        <v>10</v>
      </c>
      <c r="F416" t="s">
        <v>13</v>
      </c>
      <c r="G416">
        <v>0</v>
      </c>
      <c r="H416">
        <v>36</v>
      </c>
      <c r="I416" t="s">
        <v>18</v>
      </c>
      <c r="J416" s="1">
        <v>354.64</v>
      </c>
      <c r="K416" s="1">
        <v>354.64</v>
      </c>
      <c r="L416">
        <v>1</v>
      </c>
      <c r="M416">
        <v>1</v>
      </c>
      <c r="N416">
        <v>0</v>
      </c>
      <c r="O416">
        <v>0</v>
      </c>
      <c r="P416">
        <v>1</v>
      </c>
      <c r="Q416">
        <v>0</v>
      </c>
      <c r="R416">
        <v>173</v>
      </c>
      <c r="S416" s="5">
        <v>1</v>
      </c>
      <c r="T416" s="5">
        <v>1</v>
      </c>
      <c r="U416" s="5">
        <v>1</v>
      </c>
      <c r="V416" s="5">
        <v>3</v>
      </c>
    </row>
    <row r="417" spans="1:22" x14ac:dyDescent="0.35">
      <c r="A417">
        <v>416</v>
      </c>
      <c r="B417">
        <v>19</v>
      </c>
      <c r="C417" t="s">
        <v>73</v>
      </c>
      <c r="D417" t="s">
        <v>5</v>
      </c>
      <c r="E417" t="s">
        <v>10</v>
      </c>
      <c r="F417" t="s">
        <v>13</v>
      </c>
      <c r="G417">
        <v>0</v>
      </c>
      <c r="H417">
        <v>16</v>
      </c>
      <c r="I417" t="s">
        <v>18</v>
      </c>
      <c r="J417" s="1">
        <v>1442.26</v>
      </c>
      <c r="K417" s="1">
        <v>288.452</v>
      </c>
      <c r="L417">
        <v>5</v>
      </c>
      <c r="M417">
        <v>2</v>
      </c>
      <c r="N417">
        <v>1</v>
      </c>
      <c r="O417">
        <v>1</v>
      </c>
      <c r="P417">
        <v>0</v>
      </c>
      <c r="Q417">
        <v>1</v>
      </c>
      <c r="R417">
        <v>55</v>
      </c>
      <c r="S417" s="5">
        <v>2</v>
      </c>
      <c r="T417" s="5">
        <v>2</v>
      </c>
      <c r="U417" s="5">
        <v>2</v>
      </c>
      <c r="V417" s="5">
        <v>6</v>
      </c>
    </row>
    <row r="418" spans="1:22" x14ac:dyDescent="0.35">
      <c r="A418">
        <v>417</v>
      </c>
      <c r="B418">
        <v>24</v>
      </c>
      <c r="C418" t="s">
        <v>73</v>
      </c>
      <c r="D418" t="s">
        <v>5</v>
      </c>
      <c r="E418" t="s">
        <v>10</v>
      </c>
      <c r="F418" t="s">
        <v>11</v>
      </c>
      <c r="G418">
        <v>0</v>
      </c>
      <c r="H418">
        <v>38</v>
      </c>
      <c r="I418" t="s">
        <v>17</v>
      </c>
      <c r="J418" s="1">
        <v>873.63</v>
      </c>
      <c r="K418" s="1">
        <v>291.20999999999998</v>
      </c>
      <c r="L418">
        <v>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65</v>
      </c>
      <c r="S418" s="5">
        <v>2</v>
      </c>
      <c r="T418" s="5">
        <v>2</v>
      </c>
      <c r="U418" s="5">
        <v>2</v>
      </c>
      <c r="V418" s="5">
        <v>6</v>
      </c>
    </row>
    <row r="419" spans="1:22" x14ac:dyDescent="0.35">
      <c r="A419">
        <v>418</v>
      </c>
      <c r="B419">
        <v>60</v>
      </c>
      <c r="C419" t="s">
        <v>74</v>
      </c>
      <c r="D419" t="s">
        <v>5</v>
      </c>
      <c r="E419" t="s">
        <v>8</v>
      </c>
      <c r="F419" t="s">
        <v>13</v>
      </c>
      <c r="G419">
        <v>0</v>
      </c>
      <c r="H419">
        <v>23</v>
      </c>
      <c r="I419" t="s">
        <v>18</v>
      </c>
      <c r="J419" s="1">
        <v>1282.72</v>
      </c>
      <c r="K419" s="1">
        <v>427.57333333333332</v>
      </c>
      <c r="L419">
        <v>3</v>
      </c>
      <c r="M419">
        <v>2</v>
      </c>
      <c r="N419">
        <v>1</v>
      </c>
      <c r="O419">
        <v>1</v>
      </c>
      <c r="P419">
        <v>1</v>
      </c>
      <c r="Q419">
        <v>0</v>
      </c>
      <c r="R419">
        <v>76</v>
      </c>
      <c r="S419" s="5">
        <v>2</v>
      </c>
      <c r="T419" s="5">
        <v>2</v>
      </c>
      <c r="U419" s="5">
        <v>2</v>
      </c>
      <c r="V419" s="5">
        <v>6</v>
      </c>
    </row>
    <row r="420" spans="1:22" x14ac:dyDescent="0.35">
      <c r="A420">
        <v>419</v>
      </c>
      <c r="B420">
        <v>66</v>
      </c>
      <c r="C420" t="s">
        <v>72</v>
      </c>
      <c r="D420" t="s">
        <v>5</v>
      </c>
      <c r="E420" t="s">
        <v>9</v>
      </c>
      <c r="F420" t="s">
        <v>12</v>
      </c>
      <c r="G420">
        <v>1</v>
      </c>
      <c r="H420">
        <v>37</v>
      </c>
      <c r="I420" t="s">
        <v>18</v>
      </c>
      <c r="J420" s="1">
        <v>1254.43</v>
      </c>
      <c r="K420" s="1">
        <v>250.88600000000002</v>
      </c>
      <c r="L420">
        <v>5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50</v>
      </c>
      <c r="S420" s="5">
        <v>2</v>
      </c>
      <c r="T420" s="5">
        <v>2</v>
      </c>
      <c r="U420" s="5">
        <v>2</v>
      </c>
      <c r="V420" s="5">
        <v>6</v>
      </c>
    </row>
    <row r="421" spans="1:22" x14ac:dyDescent="0.35">
      <c r="A421">
        <v>420</v>
      </c>
      <c r="B421">
        <v>48</v>
      </c>
      <c r="C421" t="s">
        <v>74</v>
      </c>
      <c r="D421" t="s">
        <v>6</v>
      </c>
      <c r="E421" t="s">
        <v>9</v>
      </c>
      <c r="F421" t="s">
        <v>12</v>
      </c>
      <c r="G421">
        <v>0</v>
      </c>
      <c r="H421">
        <v>37</v>
      </c>
      <c r="I421" t="s">
        <v>17</v>
      </c>
      <c r="J421" s="1">
        <v>2140.54</v>
      </c>
      <c r="K421" s="1">
        <v>267.5675</v>
      </c>
      <c r="L421">
        <v>8</v>
      </c>
      <c r="M421">
        <v>2</v>
      </c>
      <c r="N421">
        <v>0</v>
      </c>
      <c r="O421">
        <v>1</v>
      </c>
      <c r="P421">
        <v>0</v>
      </c>
      <c r="Q421">
        <v>1</v>
      </c>
      <c r="R421">
        <v>73</v>
      </c>
      <c r="S421" s="5">
        <v>2</v>
      </c>
      <c r="T421" s="5">
        <v>3</v>
      </c>
      <c r="U421" s="5">
        <v>3</v>
      </c>
      <c r="V421" s="5">
        <v>8</v>
      </c>
    </row>
    <row r="422" spans="1:22" x14ac:dyDescent="0.35">
      <c r="A422">
        <v>421</v>
      </c>
      <c r="B422">
        <v>34</v>
      </c>
      <c r="C422" t="s">
        <v>75</v>
      </c>
      <c r="D422" t="s">
        <v>6</v>
      </c>
      <c r="E422" t="s">
        <v>9</v>
      </c>
      <c r="F422" t="s">
        <v>13</v>
      </c>
      <c r="G422">
        <v>0</v>
      </c>
      <c r="H422">
        <v>28</v>
      </c>
      <c r="I422" t="s">
        <v>16</v>
      </c>
      <c r="J422" s="1">
        <v>594.42000000000007</v>
      </c>
      <c r="K422" s="1">
        <v>297.21000000000004</v>
      </c>
      <c r="L422">
        <v>2</v>
      </c>
      <c r="M422">
        <v>1</v>
      </c>
      <c r="N422">
        <v>1</v>
      </c>
      <c r="O422">
        <v>1</v>
      </c>
      <c r="P422">
        <v>0</v>
      </c>
      <c r="Q422">
        <v>0</v>
      </c>
      <c r="R422">
        <v>25</v>
      </c>
      <c r="S422" s="5">
        <v>3</v>
      </c>
      <c r="T422" s="5">
        <v>1</v>
      </c>
      <c r="U422" s="5">
        <v>1</v>
      </c>
      <c r="V422" s="5">
        <v>5</v>
      </c>
    </row>
    <row r="423" spans="1:22" x14ac:dyDescent="0.35">
      <c r="A423">
        <v>422</v>
      </c>
      <c r="B423">
        <v>44</v>
      </c>
      <c r="C423" t="s">
        <v>75</v>
      </c>
      <c r="D423" t="s">
        <v>5</v>
      </c>
      <c r="E423" t="s">
        <v>7</v>
      </c>
      <c r="F423" t="s">
        <v>11</v>
      </c>
      <c r="G423">
        <v>1</v>
      </c>
      <c r="H423">
        <v>14</v>
      </c>
      <c r="I423" t="s">
        <v>16</v>
      </c>
      <c r="J423" s="1">
        <v>1770.89</v>
      </c>
      <c r="K423" s="1">
        <v>252.98428571428573</v>
      </c>
      <c r="L423">
        <v>7</v>
      </c>
      <c r="M423">
        <v>1</v>
      </c>
      <c r="N423">
        <v>0</v>
      </c>
      <c r="O423">
        <v>0</v>
      </c>
      <c r="P423">
        <v>0</v>
      </c>
      <c r="Q423">
        <v>1</v>
      </c>
      <c r="R423">
        <v>9</v>
      </c>
      <c r="S423" s="5">
        <v>3</v>
      </c>
      <c r="T423" s="5">
        <v>2</v>
      </c>
      <c r="U423" s="5">
        <v>3</v>
      </c>
      <c r="V423" s="5">
        <v>8</v>
      </c>
    </row>
    <row r="424" spans="1:22" x14ac:dyDescent="0.35">
      <c r="A424">
        <v>423</v>
      </c>
      <c r="B424">
        <v>53</v>
      </c>
      <c r="C424" t="s">
        <v>74</v>
      </c>
      <c r="D424" t="s">
        <v>6</v>
      </c>
      <c r="E424" t="s">
        <v>10</v>
      </c>
      <c r="F424" t="s">
        <v>11</v>
      </c>
      <c r="G424">
        <v>0</v>
      </c>
      <c r="H424">
        <v>4</v>
      </c>
      <c r="I424" t="s">
        <v>16</v>
      </c>
      <c r="J424" s="1">
        <v>1329.45</v>
      </c>
      <c r="K424" s="1">
        <v>265.89</v>
      </c>
      <c r="L424">
        <v>5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32</v>
      </c>
      <c r="S424" s="5">
        <v>2</v>
      </c>
      <c r="T424" s="5">
        <v>2</v>
      </c>
      <c r="U424" s="5">
        <v>2</v>
      </c>
      <c r="V424" s="5">
        <v>6</v>
      </c>
    </row>
    <row r="425" spans="1:22" x14ac:dyDescent="0.35">
      <c r="A425">
        <v>424</v>
      </c>
      <c r="B425">
        <v>67</v>
      </c>
      <c r="C425" t="s">
        <v>72</v>
      </c>
      <c r="D425" t="s">
        <v>6</v>
      </c>
      <c r="E425" t="s">
        <v>9</v>
      </c>
      <c r="F425" t="s">
        <v>12</v>
      </c>
      <c r="G425">
        <v>0</v>
      </c>
      <c r="H425">
        <v>39</v>
      </c>
      <c r="I425" t="s">
        <v>17</v>
      </c>
      <c r="J425" s="1">
        <v>965.41</v>
      </c>
      <c r="K425" s="1">
        <v>137.91571428571427</v>
      </c>
      <c r="L425">
        <v>7</v>
      </c>
      <c r="M425">
        <v>1</v>
      </c>
      <c r="N425">
        <v>1</v>
      </c>
      <c r="O425">
        <v>0</v>
      </c>
      <c r="P425">
        <v>1</v>
      </c>
      <c r="Q425">
        <v>0</v>
      </c>
      <c r="R425">
        <v>86</v>
      </c>
      <c r="S425" s="5">
        <v>1</v>
      </c>
      <c r="T425" s="5">
        <v>2</v>
      </c>
      <c r="U425" s="5">
        <v>2</v>
      </c>
      <c r="V425" s="5">
        <v>5</v>
      </c>
    </row>
    <row r="426" spans="1:22" x14ac:dyDescent="0.35">
      <c r="A426">
        <v>425</v>
      </c>
      <c r="B426">
        <v>60</v>
      </c>
      <c r="C426" t="s">
        <v>74</v>
      </c>
      <c r="D426" t="s">
        <v>6</v>
      </c>
      <c r="E426" t="s">
        <v>9</v>
      </c>
      <c r="F426" t="s">
        <v>12</v>
      </c>
      <c r="G426">
        <v>0</v>
      </c>
      <c r="H426">
        <v>33</v>
      </c>
      <c r="I426" t="s">
        <v>17</v>
      </c>
      <c r="J426" s="1">
        <v>1768.53</v>
      </c>
      <c r="K426" s="1">
        <v>196.50333333333333</v>
      </c>
      <c r="L426">
        <v>9</v>
      </c>
      <c r="M426">
        <v>2</v>
      </c>
      <c r="N426">
        <v>1</v>
      </c>
      <c r="O426">
        <v>1</v>
      </c>
      <c r="P426">
        <v>1</v>
      </c>
      <c r="Q426">
        <v>0</v>
      </c>
      <c r="R426">
        <v>89</v>
      </c>
      <c r="S426" s="5">
        <v>1</v>
      </c>
      <c r="T426" s="5">
        <v>3</v>
      </c>
      <c r="U426" s="5">
        <v>3</v>
      </c>
      <c r="V426" s="5">
        <v>7</v>
      </c>
    </row>
    <row r="427" spans="1:22" x14ac:dyDescent="0.35">
      <c r="A427">
        <v>426</v>
      </c>
      <c r="B427">
        <v>27</v>
      </c>
      <c r="C427" t="s">
        <v>73</v>
      </c>
      <c r="D427" t="s">
        <v>6</v>
      </c>
      <c r="E427" t="s">
        <v>10</v>
      </c>
      <c r="F427" t="s">
        <v>13</v>
      </c>
      <c r="G427">
        <v>0</v>
      </c>
      <c r="H427">
        <v>31</v>
      </c>
      <c r="I427" t="s">
        <v>17</v>
      </c>
      <c r="J427" s="1">
        <v>1465.9299999999998</v>
      </c>
      <c r="K427" s="1">
        <v>209.4185714285714</v>
      </c>
      <c r="L427">
        <v>7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40</v>
      </c>
      <c r="S427" s="5">
        <v>2</v>
      </c>
      <c r="T427" s="5">
        <v>2</v>
      </c>
      <c r="U427" s="5">
        <v>2</v>
      </c>
      <c r="V427" s="5">
        <v>6</v>
      </c>
    </row>
    <row r="428" spans="1:22" x14ac:dyDescent="0.35">
      <c r="A428">
        <v>427</v>
      </c>
      <c r="B428">
        <v>62</v>
      </c>
      <c r="C428" t="s">
        <v>72</v>
      </c>
      <c r="D428" t="s">
        <v>6</v>
      </c>
      <c r="E428" t="s">
        <v>10</v>
      </c>
      <c r="F428" t="s">
        <v>11</v>
      </c>
      <c r="G428">
        <v>0</v>
      </c>
      <c r="H428">
        <v>13</v>
      </c>
      <c r="I428" t="s">
        <v>18</v>
      </c>
      <c r="J428" s="1">
        <v>521.55999999999995</v>
      </c>
      <c r="K428" s="1">
        <v>173.85333333333332</v>
      </c>
      <c r="L428">
        <v>3</v>
      </c>
      <c r="M428">
        <v>2</v>
      </c>
      <c r="N428">
        <v>0</v>
      </c>
      <c r="O428">
        <v>0</v>
      </c>
      <c r="P428">
        <v>1</v>
      </c>
      <c r="Q428">
        <v>1</v>
      </c>
      <c r="R428">
        <v>28</v>
      </c>
      <c r="S428" s="5">
        <v>3</v>
      </c>
      <c r="T428" s="5">
        <v>2</v>
      </c>
      <c r="U428" s="5">
        <v>1</v>
      </c>
      <c r="V428" s="5">
        <v>6</v>
      </c>
    </row>
    <row r="429" spans="1:22" x14ac:dyDescent="0.35">
      <c r="A429">
        <v>428</v>
      </c>
      <c r="B429">
        <v>31</v>
      </c>
      <c r="C429" t="s">
        <v>75</v>
      </c>
      <c r="D429" t="s">
        <v>5</v>
      </c>
      <c r="E429" t="s">
        <v>9</v>
      </c>
      <c r="F429" t="s">
        <v>13</v>
      </c>
      <c r="G429">
        <v>0</v>
      </c>
      <c r="H429">
        <v>36</v>
      </c>
      <c r="I429" t="s">
        <v>16</v>
      </c>
      <c r="J429" s="1">
        <v>2414.1499999999996</v>
      </c>
      <c r="K429" s="1">
        <v>301.76874999999995</v>
      </c>
      <c r="L429">
        <v>8</v>
      </c>
      <c r="M429">
        <v>2</v>
      </c>
      <c r="N429">
        <v>1</v>
      </c>
      <c r="O429">
        <v>1</v>
      </c>
      <c r="P429">
        <v>0</v>
      </c>
      <c r="Q429">
        <v>1</v>
      </c>
      <c r="R429">
        <v>203</v>
      </c>
      <c r="S429" s="5">
        <v>1</v>
      </c>
      <c r="T429" s="5">
        <v>3</v>
      </c>
      <c r="U429" s="5">
        <v>3</v>
      </c>
      <c r="V429" s="5">
        <v>7</v>
      </c>
    </row>
    <row r="430" spans="1:22" x14ac:dyDescent="0.35">
      <c r="A430">
        <v>429</v>
      </c>
      <c r="B430">
        <v>24</v>
      </c>
      <c r="C430" t="s">
        <v>73</v>
      </c>
      <c r="D430" t="s">
        <v>6</v>
      </c>
      <c r="E430" t="s">
        <v>8</v>
      </c>
      <c r="F430" t="s">
        <v>12</v>
      </c>
      <c r="G430">
        <v>0</v>
      </c>
      <c r="H430">
        <v>10</v>
      </c>
      <c r="I430" t="s">
        <v>16</v>
      </c>
      <c r="J430" s="1">
        <v>1361.39</v>
      </c>
      <c r="K430" s="1">
        <v>272.27800000000002</v>
      </c>
      <c r="L430">
        <v>5</v>
      </c>
      <c r="M430">
        <v>2</v>
      </c>
      <c r="N430">
        <v>1</v>
      </c>
      <c r="O430">
        <v>1</v>
      </c>
      <c r="P430">
        <v>0</v>
      </c>
      <c r="Q430">
        <v>0</v>
      </c>
      <c r="R430">
        <v>11</v>
      </c>
      <c r="S430" s="5">
        <v>3</v>
      </c>
      <c r="T430" s="5">
        <v>2</v>
      </c>
      <c r="U430" s="5">
        <v>2</v>
      </c>
      <c r="V430" s="5">
        <v>7</v>
      </c>
    </row>
    <row r="431" spans="1:22" x14ac:dyDescent="0.35">
      <c r="A431">
        <v>430</v>
      </c>
      <c r="B431">
        <v>56</v>
      </c>
      <c r="C431" t="s">
        <v>74</v>
      </c>
      <c r="D431" t="s">
        <v>5</v>
      </c>
      <c r="E431" t="s">
        <v>8</v>
      </c>
      <c r="F431" t="s">
        <v>12</v>
      </c>
      <c r="G431">
        <v>0</v>
      </c>
      <c r="H431">
        <v>47</v>
      </c>
      <c r="I431" t="s">
        <v>18</v>
      </c>
      <c r="J431" s="1">
        <v>148.97999999999999</v>
      </c>
      <c r="K431" s="1">
        <v>148.97999999999999</v>
      </c>
      <c r="L431">
        <v>1</v>
      </c>
      <c r="M431">
        <v>2</v>
      </c>
      <c r="N431">
        <v>1</v>
      </c>
      <c r="O431">
        <v>0</v>
      </c>
      <c r="P431">
        <v>1</v>
      </c>
      <c r="Q431">
        <v>1</v>
      </c>
      <c r="R431">
        <v>39</v>
      </c>
      <c r="S431" s="5">
        <v>2</v>
      </c>
      <c r="T431" s="5">
        <v>1</v>
      </c>
      <c r="U431" s="5">
        <v>1</v>
      </c>
      <c r="V431" s="5">
        <v>4</v>
      </c>
    </row>
    <row r="432" spans="1:22" x14ac:dyDescent="0.35">
      <c r="A432">
        <v>431</v>
      </c>
      <c r="B432">
        <v>57</v>
      </c>
      <c r="C432" t="s">
        <v>74</v>
      </c>
      <c r="D432" t="s">
        <v>6</v>
      </c>
      <c r="E432" t="s">
        <v>8</v>
      </c>
      <c r="F432" t="s">
        <v>13</v>
      </c>
      <c r="G432">
        <v>0</v>
      </c>
      <c r="H432">
        <v>31</v>
      </c>
      <c r="I432" t="s">
        <v>17</v>
      </c>
      <c r="J432" s="1">
        <v>233.87</v>
      </c>
      <c r="K432" s="1">
        <v>116.935</v>
      </c>
      <c r="L432">
        <v>2</v>
      </c>
      <c r="M432">
        <v>1</v>
      </c>
      <c r="N432">
        <v>0</v>
      </c>
      <c r="O432">
        <v>0</v>
      </c>
      <c r="P432">
        <v>0</v>
      </c>
      <c r="Q432">
        <v>1</v>
      </c>
      <c r="R432">
        <v>22</v>
      </c>
      <c r="S432" s="5">
        <v>3</v>
      </c>
      <c r="T432" s="5">
        <v>1</v>
      </c>
      <c r="U432" s="5">
        <v>1</v>
      </c>
      <c r="V432" s="5">
        <v>5</v>
      </c>
    </row>
    <row r="433" spans="1:22" x14ac:dyDescent="0.35">
      <c r="A433">
        <v>432</v>
      </c>
      <c r="B433">
        <v>26</v>
      </c>
      <c r="C433" t="s">
        <v>73</v>
      </c>
      <c r="D433" t="s">
        <v>5</v>
      </c>
      <c r="E433" t="s">
        <v>8</v>
      </c>
      <c r="F433" t="s">
        <v>11</v>
      </c>
      <c r="G433">
        <v>0</v>
      </c>
      <c r="H433">
        <v>26</v>
      </c>
      <c r="I433" t="s">
        <v>16</v>
      </c>
      <c r="J433" s="1">
        <v>1834.4799999999998</v>
      </c>
      <c r="K433" s="1">
        <v>262.06857142857137</v>
      </c>
      <c r="L433">
        <v>7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31</v>
      </c>
      <c r="S433" s="5">
        <v>2</v>
      </c>
      <c r="T433" s="5">
        <v>2</v>
      </c>
      <c r="U433" s="5">
        <v>3</v>
      </c>
      <c r="V433" s="5">
        <v>7</v>
      </c>
    </row>
    <row r="434" spans="1:22" x14ac:dyDescent="0.35">
      <c r="A434">
        <v>433</v>
      </c>
      <c r="B434">
        <v>31</v>
      </c>
      <c r="C434" t="s">
        <v>75</v>
      </c>
      <c r="D434" t="s">
        <v>5</v>
      </c>
      <c r="E434" t="s">
        <v>7</v>
      </c>
      <c r="F434" t="s">
        <v>12</v>
      </c>
      <c r="G434">
        <v>1</v>
      </c>
      <c r="H434">
        <v>14</v>
      </c>
      <c r="I434" t="s">
        <v>16</v>
      </c>
      <c r="J434" s="1">
        <v>1302.43</v>
      </c>
      <c r="K434" s="1">
        <v>260.48599999999999</v>
      </c>
      <c r="L434">
        <v>5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84</v>
      </c>
      <c r="S434" s="5">
        <v>1</v>
      </c>
      <c r="T434" s="5">
        <v>2</v>
      </c>
      <c r="U434" s="5">
        <v>2</v>
      </c>
      <c r="V434" s="5">
        <v>5</v>
      </c>
    </row>
    <row r="435" spans="1:22" x14ac:dyDescent="0.35">
      <c r="A435">
        <v>434</v>
      </c>
      <c r="B435">
        <v>25</v>
      </c>
      <c r="C435" t="s">
        <v>73</v>
      </c>
      <c r="D435" t="s">
        <v>6</v>
      </c>
      <c r="E435" t="s">
        <v>8</v>
      </c>
      <c r="F435" t="s">
        <v>12</v>
      </c>
      <c r="G435">
        <v>0</v>
      </c>
      <c r="H435">
        <v>4</v>
      </c>
      <c r="I435" t="s">
        <v>16</v>
      </c>
      <c r="J435" s="1">
        <v>41.19</v>
      </c>
      <c r="K435" s="1">
        <v>41.19</v>
      </c>
      <c r="L435">
        <v>1</v>
      </c>
      <c r="M435">
        <v>2</v>
      </c>
      <c r="N435">
        <v>1</v>
      </c>
      <c r="O435">
        <v>0</v>
      </c>
      <c r="P435">
        <v>0</v>
      </c>
      <c r="Q435">
        <v>1</v>
      </c>
      <c r="R435">
        <v>215</v>
      </c>
      <c r="S435" s="5">
        <v>1</v>
      </c>
      <c r="T435" s="5">
        <v>1</v>
      </c>
      <c r="U435" s="5">
        <v>1</v>
      </c>
      <c r="V435" s="5">
        <v>3</v>
      </c>
    </row>
    <row r="436" spans="1:22" x14ac:dyDescent="0.35">
      <c r="A436">
        <v>435</v>
      </c>
      <c r="B436">
        <v>34</v>
      </c>
      <c r="C436" t="s">
        <v>75</v>
      </c>
      <c r="D436" t="s">
        <v>5</v>
      </c>
      <c r="E436" t="s">
        <v>9</v>
      </c>
      <c r="F436" t="s">
        <v>11</v>
      </c>
      <c r="G436">
        <v>0</v>
      </c>
      <c r="H436">
        <v>33</v>
      </c>
      <c r="I436" t="s">
        <v>18</v>
      </c>
      <c r="J436" s="1">
        <v>488.45</v>
      </c>
      <c r="K436" s="1">
        <v>488.45</v>
      </c>
      <c r="L436">
        <v>1</v>
      </c>
      <c r="M436">
        <v>1</v>
      </c>
      <c r="N436">
        <v>0</v>
      </c>
      <c r="O436">
        <v>1</v>
      </c>
      <c r="P436">
        <v>0</v>
      </c>
      <c r="Q436">
        <v>0</v>
      </c>
      <c r="R436">
        <v>334</v>
      </c>
      <c r="S436" s="5">
        <v>1</v>
      </c>
      <c r="T436" s="5">
        <v>1</v>
      </c>
      <c r="U436" s="5">
        <v>1</v>
      </c>
      <c r="V436" s="5">
        <v>3</v>
      </c>
    </row>
    <row r="437" spans="1:22" x14ac:dyDescent="0.35">
      <c r="A437">
        <v>436</v>
      </c>
      <c r="B437">
        <v>40</v>
      </c>
      <c r="C437" t="s">
        <v>75</v>
      </c>
      <c r="D437" t="s">
        <v>6</v>
      </c>
      <c r="E437" t="s">
        <v>9</v>
      </c>
      <c r="F437" t="s">
        <v>12</v>
      </c>
      <c r="G437">
        <v>0</v>
      </c>
      <c r="H437">
        <v>47</v>
      </c>
      <c r="I437" t="s">
        <v>17</v>
      </c>
      <c r="J437" s="1">
        <v>543.99</v>
      </c>
      <c r="K437" s="1">
        <v>181.33</v>
      </c>
      <c r="L437">
        <v>3</v>
      </c>
      <c r="M437">
        <v>2</v>
      </c>
      <c r="N437">
        <v>1</v>
      </c>
      <c r="O437">
        <v>0</v>
      </c>
      <c r="P437">
        <v>0</v>
      </c>
      <c r="Q437">
        <v>1</v>
      </c>
      <c r="R437">
        <v>119</v>
      </c>
      <c r="S437" s="5">
        <v>1</v>
      </c>
      <c r="T437" s="5">
        <v>2</v>
      </c>
      <c r="U437" s="5">
        <v>1</v>
      </c>
      <c r="V437" s="5">
        <v>4</v>
      </c>
    </row>
    <row r="438" spans="1:22" x14ac:dyDescent="0.35">
      <c r="A438">
        <v>437</v>
      </c>
      <c r="B438">
        <v>33</v>
      </c>
      <c r="C438" t="s">
        <v>75</v>
      </c>
      <c r="D438" t="s">
        <v>5</v>
      </c>
      <c r="E438" t="s">
        <v>9</v>
      </c>
      <c r="F438" t="s">
        <v>11</v>
      </c>
      <c r="G438">
        <v>0</v>
      </c>
      <c r="H438">
        <v>13</v>
      </c>
      <c r="I438" t="s">
        <v>17</v>
      </c>
      <c r="J438" s="1">
        <v>1698.21</v>
      </c>
      <c r="K438" s="1">
        <v>212.27625</v>
      </c>
      <c r="L438">
        <v>8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39</v>
      </c>
      <c r="S438" s="5">
        <v>2</v>
      </c>
      <c r="T438" s="5">
        <v>3</v>
      </c>
      <c r="U438" s="5">
        <v>3</v>
      </c>
      <c r="V438" s="5">
        <v>8</v>
      </c>
    </row>
    <row r="439" spans="1:22" x14ac:dyDescent="0.35">
      <c r="A439">
        <v>438</v>
      </c>
      <c r="B439">
        <v>43</v>
      </c>
      <c r="C439" t="s">
        <v>75</v>
      </c>
      <c r="D439" t="s">
        <v>5</v>
      </c>
      <c r="E439" t="s">
        <v>8</v>
      </c>
      <c r="F439" t="s">
        <v>11</v>
      </c>
      <c r="G439">
        <v>0</v>
      </c>
      <c r="H439">
        <v>48</v>
      </c>
      <c r="I439" t="s">
        <v>17</v>
      </c>
      <c r="J439" s="1">
        <v>2131.0099999999998</v>
      </c>
      <c r="K439" s="1">
        <v>304.42999999999995</v>
      </c>
      <c r="L439">
        <v>7</v>
      </c>
      <c r="M439">
        <v>1</v>
      </c>
      <c r="N439">
        <v>0</v>
      </c>
      <c r="O439">
        <v>1</v>
      </c>
      <c r="P439">
        <v>0</v>
      </c>
      <c r="Q439">
        <v>0</v>
      </c>
      <c r="R439">
        <v>25</v>
      </c>
      <c r="S439" s="5">
        <v>3</v>
      </c>
      <c r="T439" s="5">
        <v>2</v>
      </c>
      <c r="U439" s="5">
        <v>3</v>
      </c>
      <c r="V439" s="5">
        <v>8</v>
      </c>
    </row>
    <row r="440" spans="1:22" x14ac:dyDescent="0.35">
      <c r="A440">
        <v>439</v>
      </c>
      <c r="B440">
        <v>26</v>
      </c>
      <c r="C440" t="s">
        <v>73</v>
      </c>
      <c r="D440" t="s">
        <v>6</v>
      </c>
      <c r="E440" t="s">
        <v>10</v>
      </c>
      <c r="F440" t="s">
        <v>12</v>
      </c>
      <c r="G440">
        <v>0</v>
      </c>
      <c r="H440">
        <v>41</v>
      </c>
      <c r="I440" t="s">
        <v>18</v>
      </c>
      <c r="J440" s="1">
        <v>1373.5399999999997</v>
      </c>
      <c r="K440" s="1">
        <v>196.21999999999997</v>
      </c>
      <c r="L440">
        <v>7</v>
      </c>
      <c r="M440">
        <v>2</v>
      </c>
      <c r="N440">
        <v>1</v>
      </c>
      <c r="O440">
        <v>1</v>
      </c>
      <c r="P440">
        <v>1</v>
      </c>
      <c r="Q440">
        <v>0</v>
      </c>
      <c r="R440">
        <v>39</v>
      </c>
      <c r="S440" s="5">
        <v>2</v>
      </c>
      <c r="T440" s="5">
        <v>2</v>
      </c>
      <c r="U440" s="5">
        <v>2</v>
      </c>
      <c r="V440" s="5">
        <v>6</v>
      </c>
    </row>
    <row r="441" spans="1:22" x14ac:dyDescent="0.35">
      <c r="A441">
        <v>440</v>
      </c>
      <c r="B441">
        <v>53</v>
      </c>
      <c r="C441" t="s">
        <v>74</v>
      </c>
      <c r="D441" t="s">
        <v>5</v>
      </c>
      <c r="E441" t="s">
        <v>9</v>
      </c>
      <c r="F441" t="s">
        <v>13</v>
      </c>
      <c r="G441">
        <v>0</v>
      </c>
      <c r="H441">
        <v>34</v>
      </c>
      <c r="I441" t="s">
        <v>18</v>
      </c>
      <c r="J441" s="1">
        <v>1920.61</v>
      </c>
      <c r="K441" s="1">
        <v>240.07624999999999</v>
      </c>
      <c r="L441">
        <v>8</v>
      </c>
      <c r="M441">
        <v>2</v>
      </c>
      <c r="N441">
        <v>1</v>
      </c>
      <c r="O441">
        <v>0</v>
      </c>
      <c r="P441">
        <v>1</v>
      </c>
      <c r="Q441">
        <v>1</v>
      </c>
      <c r="R441">
        <v>24</v>
      </c>
      <c r="S441" s="5">
        <v>3</v>
      </c>
      <c r="T441" s="5">
        <v>3</v>
      </c>
      <c r="U441" s="5">
        <v>3</v>
      </c>
      <c r="V441" s="5">
        <v>9</v>
      </c>
    </row>
    <row r="442" spans="1:22" x14ac:dyDescent="0.35">
      <c r="A442">
        <v>441</v>
      </c>
      <c r="B442">
        <v>24</v>
      </c>
      <c r="C442" t="s">
        <v>73</v>
      </c>
      <c r="D442" t="s">
        <v>6</v>
      </c>
      <c r="E442" t="s">
        <v>8</v>
      </c>
      <c r="F442" t="s">
        <v>12</v>
      </c>
      <c r="G442">
        <v>1</v>
      </c>
      <c r="H442">
        <v>43</v>
      </c>
      <c r="I442" t="s">
        <v>16</v>
      </c>
      <c r="J442" s="1">
        <v>2560.3600000000006</v>
      </c>
      <c r="K442" s="1">
        <v>320.04500000000007</v>
      </c>
      <c r="L442">
        <v>8</v>
      </c>
      <c r="M442">
        <v>1</v>
      </c>
      <c r="N442">
        <v>1</v>
      </c>
      <c r="O442">
        <v>1</v>
      </c>
      <c r="P442">
        <v>0</v>
      </c>
      <c r="Q442">
        <v>0</v>
      </c>
      <c r="R442">
        <v>0</v>
      </c>
      <c r="S442" s="5">
        <v>3</v>
      </c>
      <c r="T442" s="5">
        <v>3</v>
      </c>
      <c r="U442" s="5">
        <v>3</v>
      </c>
      <c r="V442" s="5">
        <v>9</v>
      </c>
    </row>
    <row r="443" spans="1:22" x14ac:dyDescent="0.35">
      <c r="A443">
        <v>442</v>
      </c>
      <c r="B443">
        <v>35</v>
      </c>
      <c r="C443" t="s">
        <v>75</v>
      </c>
      <c r="D443" t="s">
        <v>5</v>
      </c>
      <c r="E443" t="s">
        <v>7</v>
      </c>
      <c r="F443" t="s">
        <v>12</v>
      </c>
      <c r="G443">
        <v>0</v>
      </c>
      <c r="H443">
        <v>35</v>
      </c>
      <c r="I443" t="s">
        <v>16</v>
      </c>
      <c r="J443" s="1">
        <v>412.55</v>
      </c>
      <c r="K443" s="1">
        <v>412.55</v>
      </c>
      <c r="L443">
        <v>1</v>
      </c>
      <c r="M443">
        <v>1</v>
      </c>
      <c r="N443">
        <v>0</v>
      </c>
      <c r="O443">
        <v>0</v>
      </c>
      <c r="P443">
        <v>1</v>
      </c>
      <c r="Q443">
        <v>0</v>
      </c>
      <c r="R443">
        <v>93</v>
      </c>
      <c r="S443" s="5">
        <v>1</v>
      </c>
      <c r="T443" s="5">
        <v>1</v>
      </c>
      <c r="U443" s="5">
        <v>1</v>
      </c>
      <c r="V443" s="5">
        <v>3</v>
      </c>
    </row>
    <row r="444" spans="1:22" x14ac:dyDescent="0.35">
      <c r="A444">
        <v>443</v>
      </c>
      <c r="B444">
        <v>25</v>
      </c>
      <c r="C444" t="s">
        <v>73</v>
      </c>
      <c r="D444" t="s">
        <v>6</v>
      </c>
      <c r="E444" t="s">
        <v>7</v>
      </c>
      <c r="F444" t="s">
        <v>12</v>
      </c>
      <c r="G444">
        <v>0</v>
      </c>
      <c r="H444">
        <v>28</v>
      </c>
      <c r="I444" t="s">
        <v>17</v>
      </c>
      <c r="J444" s="1">
        <v>1115.6399999999999</v>
      </c>
      <c r="K444" s="1">
        <v>223.12799999999999</v>
      </c>
      <c r="L444">
        <v>5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122</v>
      </c>
      <c r="S444" s="5">
        <v>1</v>
      </c>
      <c r="T444" s="5">
        <v>2</v>
      </c>
      <c r="U444" s="5">
        <v>2</v>
      </c>
      <c r="V444" s="5">
        <v>5</v>
      </c>
    </row>
    <row r="445" spans="1:22" x14ac:dyDescent="0.35">
      <c r="A445">
        <v>444</v>
      </c>
      <c r="B445">
        <v>38</v>
      </c>
      <c r="C445" t="s">
        <v>75</v>
      </c>
      <c r="D445" t="s">
        <v>5</v>
      </c>
      <c r="E445" t="s">
        <v>9</v>
      </c>
      <c r="F445" t="s">
        <v>12</v>
      </c>
      <c r="G445">
        <v>0</v>
      </c>
      <c r="H445">
        <v>31</v>
      </c>
      <c r="I445" t="s">
        <v>16</v>
      </c>
      <c r="J445" s="1">
        <v>387.51</v>
      </c>
      <c r="K445" s="1">
        <v>193.755</v>
      </c>
      <c r="L445">
        <v>2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21</v>
      </c>
      <c r="S445" s="5">
        <v>3</v>
      </c>
      <c r="T445" s="5">
        <v>1</v>
      </c>
      <c r="U445" s="5">
        <v>1</v>
      </c>
      <c r="V445" s="5">
        <v>5</v>
      </c>
    </row>
    <row r="446" spans="1:22" x14ac:dyDescent="0.35">
      <c r="A446">
        <v>445</v>
      </c>
      <c r="B446">
        <v>43</v>
      </c>
      <c r="C446" t="s">
        <v>75</v>
      </c>
      <c r="D446" t="s">
        <v>5</v>
      </c>
      <c r="E446" t="s">
        <v>10</v>
      </c>
      <c r="F446" t="s">
        <v>13</v>
      </c>
      <c r="G446">
        <v>0</v>
      </c>
      <c r="H446">
        <v>30</v>
      </c>
      <c r="I446" t="s">
        <v>18</v>
      </c>
      <c r="J446" s="1">
        <v>1002.46</v>
      </c>
      <c r="K446" s="1">
        <v>200.49200000000002</v>
      </c>
      <c r="L446">
        <v>5</v>
      </c>
      <c r="M446">
        <v>2</v>
      </c>
      <c r="N446">
        <v>1</v>
      </c>
      <c r="O446">
        <v>0</v>
      </c>
      <c r="P446">
        <v>1</v>
      </c>
      <c r="Q446">
        <v>1</v>
      </c>
      <c r="R446">
        <v>65</v>
      </c>
      <c r="S446" s="5">
        <v>2</v>
      </c>
      <c r="T446" s="5">
        <v>2</v>
      </c>
      <c r="U446" s="5">
        <v>2</v>
      </c>
      <c r="V446" s="5">
        <v>6</v>
      </c>
    </row>
    <row r="447" spans="1:22" x14ac:dyDescent="0.35">
      <c r="A447">
        <v>446</v>
      </c>
      <c r="B447">
        <v>20</v>
      </c>
      <c r="C447" t="s">
        <v>73</v>
      </c>
      <c r="D447" t="s">
        <v>6</v>
      </c>
      <c r="E447" t="s">
        <v>7</v>
      </c>
      <c r="F447" t="s">
        <v>13</v>
      </c>
      <c r="G447">
        <v>0</v>
      </c>
      <c r="H447">
        <v>32</v>
      </c>
      <c r="I447" t="s">
        <v>16</v>
      </c>
      <c r="J447" s="1">
        <v>1516.93</v>
      </c>
      <c r="K447" s="1">
        <v>252.82166666666669</v>
      </c>
      <c r="L447">
        <v>6</v>
      </c>
      <c r="M447">
        <v>2</v>
      </c>
      <c r="N447">
        <v>1</v>
      </c>
      <c r="O447">
        <v>0</v>
      </c>
      <c r="P447">
        <v>1</v>
      </c>
      <c r="Q447">
        <v>1</v>
      </c>
      <c r="R447">
        <v>110</v>
      </c>
      <c r="S447" s="5">
        <v>1</v>
      </c>
      <c r="T447" s="5">
        <v>2</v>
      </c>
      <c r="U447" s="5">
        <v>2</v>
      </c>
      <c r="V447" s="5">
        <v>5</v>
      </c>
    </row>
    <row r="448" spans="1:22" x14ac:dyDescent="0.35">
      <c r="A448">
        <v>447</v>
      </c>
      <c r="B448">
        <v>34</v>
      </c>
      <c r="C448" t="s">
        <v>75</v>
      </c>
      <c r="D448" t="s">
        <v>6</v>
      </c>
      <c r="E448" t="s">
        <v>8</v>
      </c>
      <c r="F448" t="s">
        <v>13</v>
      </c>
      <c r="G448">
        <v>0</v>
      </c>
      <c r="H448">
        <v>13</v>
      </c>
      <c r="I448" t="s">
        <v>17</v>
      </c>
      <c r="J448" s="1">
        <v>169.69</v>
      </c>
      <c r="K448" s="1">
        <v>169.69</v>
      </c>
      <c r="L448">
        <v>1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1</v>
      </c>
      <c r="S448" s="5">
        <v>3</v>
      </c>
      <c r="T448" s="5">
        <v>1</v>
      </c>
      <c r="U448" s="5">
        <v>1</v>
      </c>
      <c r="V448" s="5">
        <v>5</v>
      </c>
    </row>
    <row r="449" spans="1:22" x14ac:dyDescent="0.35">
      <c r="A449">
        <v>448</v>
      </c>
      <c r="B449">
        <v>68</v>
      </c>
      <c r="C449" t="s">
        <v>72</v>
      </c>
      <c r="D449" t="s">
        <v>5</v>
      </c>
      <c r="E449" t="s">
        <v>8</v>
      </c>
      <c r="F449" t="s">
        <v>11</v>
      </c>
      <c r="G449">
        <v>0</v>
      </c>
      <c r="H449">
        <v>41</v>
      </c>
      <c r="I449" t="s">
        <v>16</v>
      </c>
      <c r="J449" s="1">
        <v>1461.0299999999997</v>
      </c>
      <c r="K449" s="1">
        <v>208.71857142857138</v>
      </c>
      <c r="L449">
        <v>7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24</v>
      </c>
      <c r="S449" s="5">
        <v>3</v>
      </c>
      <c r="T449" s="5">
        <v>2</v>
      </c>
      <c r="U449" s="5">
        <v>2</v>
      </c>
      <c r="V449" s="5">
        <v>7</v>
      </c>
    </row>
    <row r="450" spans="1:22" x14ac:dyDescent="0.35">
      <c r="A450">
        <v>449</v>
      </c>
      <c r="B450">
        <v>63</v>
      </c>
      <c r="C450" t="s">
        <v>72</v>
      </c>
      <c r="D450" t="s">
        <v>6</v>
      </c>
      <c r="E450" t="s">
        <v>7</v>
      </c>
      <c r="F450" t="s">
        <v>13</v>
      </c>
      <c r="G450">
        <v>0</v>
      </c>
      <c r="H450">
        <v>34</v>
      </c>
      <c r="I450" t="s">
        <v>16</v>
      </c>
      <c r="J450" s="1">
        <v>1460.6499999999999</v>
      </c>
      <c r="K450" s="1">
        <v>292.13</v>
      </c>
      <c r="L450">
        <v>5</v>
      </c>
      <c r="M450">
        <v>2</v>
      </c>
      <c r="N450">
        <v>1</v>
      </c>
      <c r="O450">
        <v>1</v>
      </c>
      <c r="P450">
        <v>1</v>
      </c>
      <c r="Q450">
        <v>0</v>
      </c>
      <c r="R450">
        <v>89</v>
      </c>
      <c r="S450" s="5">
        <v>1</v>
      </c>
      <c r="T450" s="5">
        <v>2</v>
      </c>
      <c r="U450" s="5">
        <v>2</v>
      </c>
      <c r="V450" s="5">
        <v>5</v>
      </c>
    </row>
    <row r="451" spans="1:22" x14ac:dyDescent="0.35">
      <c r="A451">
        <v>450</v>
      </c>
      <c r="B451">
        <v>41</v>
      </c>
      <c r="C451" t="s">
        <v>75</v>
      </c>
      <c r="D451" t="s">
        <v>5</v>
      </c>
      <c r="E451" t="s">
        <v>9</v>
      </c>
      <c r="F451" t="s">
        <v>11</v>
      </c>
      <c r="G451">
        <v>1</v>
      </c>
      <c r="H451">
        <v>8</v>
      </c>
      <c r="I451" t="s">
        <v>17</v>
      </c>
      <c r="J451" s="1">
        <v>1527.63</v>
      </c>
      <c r="K451" s="1">
        <v>305.52600000000001</v>
      </c>
      <c r="L451">
        <v>5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14</v>
      </c>
      <c r="S451" s="5">
        <v>3</v>
      </c>
      <c r="T451" s="5">
        <v>2</v>
      </c>
      <c r="U451" s="5">
        <v>2</v>
      </c>
      <c r="V451" s="5">
        <v>7</v>
      </c>
    </row>
    <row r="452" spans="1:22" x14ac:dyDescent="0.35">
      <c r="A452">
        <v>451</v>
      </c>
      <c r="B452">
        <v>42</v>
      </c>
      <c r="C452" t="s">
        <v>75</v>
      </c>
      <c r="D452" t="s">
        <v>5</v>
      </c>
      <c r="E452" t="s">
        <v>9</v>
      </c>
      <c r="F452" t="s">
        <v>12</v>
      </c>
      <c r="G452">
        <v>0</v>
      </c>
      <c r="H452">
        <v>42</v>
      </c>
      <c r="I452" t="s">
        <v>16</v>
      </c>
      <c r="J452" s="1">
        <v>364.46</v>
      </c>
      <c r="K452" s="1">
        <v>182.23</v>
      </c>
      <c r="L452">
        <v>2</v>
      </c>
      <c r="M452">
        <v>2</v>
      </c>
      <c r="N452">
        <v>1</v>
      </c>
      <c r="O452">
        <v>1</v>
      </c>
      <c r="P452">
        <v>1</v>
      </c>
      <c r="Q452">
        <v>0</v>
      </c>
      <c r="R452">
        <v>136</v>
      </c>
      <c r="S452" s="5">
        <v>1</v>
      </c>
      <c r="T452" s="5">
        <v>1</v>
      </c>
      <c r="U452" s="5">
        <v>1</v>
      </c>
      <c r="V452" s="5">
        <v>3</v>
      </c>
    </row>
    <row r="453" spans="1:22" x14ac:dyDescent="0.35">
      <c r="A453">
        <v>452</v>
      </c>
      <c r="B453">
        <v>22</v>
      </c>
      <c r="C453" t="s">
        <v>73</v>
      </c>
      <c r="D453" t="s">
        <v>5</v>
      </c>
      <c r="E453" t="s">
        <v>7</v>
      </c>
      <c r="F453" t="s">
        <v>13</v>
      </c>
      <c r="G453">
        <v>0</v>
      </c>
      <c r="H453">
        <v>25</v>
      </c>
      <c r="I453" t="s">
        <v>18</v>
      </c>
      <c r="J453" s="1">
        <v>2341.48</v>
      </c>
      <c r="K453" s="1">
        <v>292.685</v>
      </c>
      <c r="L453">
        <v>8</v>
      </c>
      <c r="M453">
        <v>1</v>
      </c>
      <c r="N453">
        <v>1</v>
      </c>
      <c r="O453">
        <v>1</v>
      </c>
      <c r="P453">
        <v>0</v>
      </c>
      <c r="Q453">
        <v>0</v>
      </c>
      <c r="R453">
        <v>23</v>
      </c>
      <c r="S453" s="5">
        <v>3</v>
      </c>
      <c r="T453" s="5">
        <v>3</v>
      </c>
      <c r="U453" s="5">
        <v>3</v>
      </c>
      <c r="V453" s="5">
        <v>9</v>
      </c>
    </row>
    <row r="454" spans="1:22" x14ac:dyDescent="0.35">
      <c r="A454">
        <v>453</v>
      </c>
      <c r="B454">
        <v>54</v>
      </c>
      <c r="C454" t="s">
        <v>74</v>
      </c>
      <c r="D454" t="s">
        <v>6</v>
      </c>
      <c r="E454" t="s">
        <v>8</v>
      </c>
      <c r="F454" t="s">
        <v>13</v>
      </c>
      <c r="G454">
        <v>0</v>
      </c>
      <c r="H454">
        <v>33</v>
      </c>
      <c r="I454" t="s">
        <v>18</v>
      </c>
      <c r="J454" s="1">
        <v>346.54</v>
      </c>
      <c r="K454" s="1">
        <v>346.54</v>
      </c>
      <c r="L454">
        <v>1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154</v>
      </c>
      <c r="S454" s="5">
        <v>1</v>
      </c>
      <c r="T454" s="5">
        <v>1</v>
      </c>
      <c r="U454" s="5">
        <v>1</v>
      </c>
      <c r="V454" s="5">
        <v>3</v>
      </c>
    </row>
    <row r="455" spans="1:22" x14ac:dyDescent="0.35">
      <c r="A455">
        <v>454</v>
      </c>
      <c r="B455">
        <v>62</v>
      </c>
      <c r="C455" t="s">
        <v>72</v>
      </c>
      <c r="D455" t="s">
        <v>6</v>
      </c>
      <c r="E455" t="s">
        <v>10</v>
      </c>
      <c r="F455" t="s">
        <v>13</v>
      </c>
      <c r="G455">
        <v>0</v>
      </c>
      <c r="H455">
        <v>10</v>
      </c>
      <c r="I455" t="s">
        <v>18</v>
      </c>
      <c r="J455" s="1">
        <v>472.88</v>
      </c>
      <c r="K455" s="1">
        <v>236.44</v>
      </c>
      <c r="L455">
        <v>2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5</v>
      </c>
      <c r="S455" s="5">
        <v>3</v>
      </c>
      <c r="T455" s="5">
        <v>1</v>
      </c>
      <c r="U455" s="5">
        <v>1</v>
      </c>
      <c r="V455" s="5">
        <v>5</v>
      </c>
    </row>
    <row r="456" spans="1:22" x14ac:dyDescent="0.35">
      <c r="A456">
        <v>455</v>
      </c>
      <c r="B456">
        <v>67</v>
      </c>
      <c r="C456" t="s">
        <v>72</v>
      </c>
      <c r="D456" t="s">
        <v>6</v>
      </c>
      <c r="E456" t="s">
        <v>8</v>
      </c>
      <c r="F456" t="s">
        <v>13</v>
      </c>
      <c r="G456">
        <v>0</v>
      </c>
      <c r="H456">
        <v>40</v>
      </c>
      <c r="I456" t="s">
        <v>17</v>
      </c>
      <c r="J456" s="1">
        <v>565.79</v>
      </c>
      <c r="K456" s="1">
        <v>188.59666666666666</v>
      </c>
      <c r="L456">
        <v>3</v>
      </c>
      <c r="M456">
        <v>2</v>
      </c>
      <c r="N456">
        <v>0</v>
      </c>
      <c r="O456">
        <v>1</v>
      </c>
      <c r="P456">
        <v>0</v>
      </c>
      <c r="Q456">
        <v>1</v>
      </c>
      <c r="R456">
        <v>13</v>
      </c>
      <c r="S456" s="5">
        <v>3</v>
      </c>
      <c r="T456" s="5">
        <v>2</v>
      </c>
      <c r="U456" s="5">
        <v>1</v>
      </c>
      <c r="V456" s="5">
        <v>6</v>
      </c>
    </row>
    <row r="457" spans="1:22" x14ac:dyDescent="0.35">
      <c r="A457">
        <v>456</v>
      </c>
      <c r="B457">
        <v>41</v>
      </c>
      <c r="C457" t="s">
        <v>75</v>
      </c>
      <c r="D457" t="s">
        <v>5</v>
      </c>
      <c r="E457" t="s">
        <v>10</v>
      </c>
      <c r="F457" t="s">
        <v>13</v>
      </c>
      <c r="G457">
        <v>0</v>
      </c>
      <c r="H457">
        <v>34</v>
      </c>
      <c r="I457" t="s">
        <v>16</v>
      </c>
      <c r="J457" s="1">
        <v>2402</v>
      </c>
      <c r="K457" s="1">
        <v>266.88888888888891</v>
      </c>
      <c r="L457">
        <v>9</v>
      </c>
      <c r="M457">
        <v>1</v>
      </c>
      <c r="N457">
        <v>1</v>
      </c>
      <c r="O457">
        <v>1</v>
      </c>
      <c r="P457">
        <v>0</v>
      </c>
      <c r="Q457">
        <v>0</v>
      </c>
      <c r="R457">
        <v>38</v>
      </c>
      <c r="S457" s="5">
        <v>2</v>
      </c>
      <c r="T457" s="5">
        <v>3</v>
      </c>
      <c r="U457" s="5">
        <v>3</v>
      </c>
      <c r="V457" s="5">
        <v>8</v>
      </c>
    </row>
    <row r="458" spans="1:22" x14ac:dyDescent="0.35">
      <c r="A458">
        <v>457</v>
      </c>
      <c r="B458">
        <v>48</v>
      </c>
      <c r="C458" t="s">
        <v>74</v>
      </c>
      <c r="D458" t="s">
        <v>5</v>
      </c>
      <c r="E458" t="s">
        <v>10</v>
      </c>
      <c r="F458" t="s">
        <v>12</v>
      </c>
      <c r="G458">
        <v>0</v>
      </c>
      <c r="H458">
        <v>44</v>
      </c>
      <c r="I458" t="s">
        <v>17</v>
      </c>
      <c r="J458" s="1">
        <v>1730.3300000000002</v>
      </c>
      <c r="K458" s="1">
        <v>216.29125000000002</v>
      </c>
      <c r="L458">
        <v>8</v>
      </c>
      <c r="M458">
        <v>2</v>
      </c>
      <c r="N458">
        <v>1</v>
      </c>
      <c r="O458">
        <v>1</v>
      </c>
      <c r="P458">
        <v>0</v>
      </c>
      <c r="Q458">
        <v>1</v>
      </c>
      <c r="R458">
        <v>74</v>
      </c>
      <c r="S458" s="5">
        <v>2</v>
      </c>
      <c r="T458" s="5">
        <v>3</v>
      </c>
      <c r="U458" s="5">
        <v>3</v>
      </c>
      <c r="V458" s="5">
        <v>8</v>
      </c>
    </row>
    <row r="459" spans="1:22" x14ac:dyDescent="0.35">
      <c r="A459">
        <v>458</v>
      </c>
      <c r="B459">
        <v>43</v>
      </c>
      <c r="C459" t="s">
        <v>75</v>
      </c>
      <c r="D459" t="s">
        <v>5</v>
      </c>
      <c r="E459" t="s">
        <v>7</v>
      </c>
      <c r="F459" t="s">
        <v>13</v>
      </c>
      <c r="G459">
        <v>0</v>
      </c>
      <c r="H459">
        <v>33</v>
      </c>
      <c r="I459" t="s">
        <v>17</v>
      </c>
      <c r="J459" s="1">
        <v>2767.15</v>
      </c>
      <c r="K459" s="1">
        <v>307.46111111111111</v>
      </c>
      <c r="L459">
        <v>9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93</v>
      </c>
      <c r="S459" s="5">
        <v>1</v>
      </c>
      <c r="T459" s="5">
        <v>3</v>
      </c>
      <c r="U459" s="5">
        <v>3</v>
      </c>
      <c r="V459" s="5">
        <v>7</v>
      </c>
    </row>
    <row r="460" spans="1:22" x14ac:dyDescent="0.35">
      <c r="A460">
        <v>459</v>
      </c>
      <c r="B460">
        <v>38</v>
      </c>
      <c r="C460" t="s">
        <v>75</v>
      </c>
      <c r="D460" t="s">
        <v>6</v>
      </c>
      <c r="E460" t="s">
        <v>9</v>
      </c>
      <c r="F460" t="s">
        <v>11</v>
      </c>
      <c r="G460">
        <v>0</v>
      </c>
      <c r="H460">
        <v>5</v>
      </c>
      <c r="I460" t="s">
        <v>16</v>
      </c>
      <c r="J460" s="1">
        <v>62.87</v>
      </c>
      <c r="K460" s="1">
        <v>62.87</v>
      </c>
      <c r="L460">
        <v>1</v>
      </c>
      <c r="M460">
        <v>1</v>
      </c>
      <c r="N460">
        <v>1</v>
      </c>
      <c r="O460">
        <v>0</v>
      </c>
      <c r="P460">
        <v>0</v>
      </c>
      <c r="Q460">
        <v>1</v>
      </c>
      <c r="R460">
        <v>98</v>
      </c>
      <c r="S460" s="5">
        <v>1</v>
      </c>
      <c r="T460" s="5">
        <v>1</v>
      </c>
      <c r="U460" s="5">
        <v>1</v>
      </c>
      <c r="V460" s="5">
        <v>3</v>
      </c>
    </row>
    <row r="461" spans="1:22" x14ac:dyDescent="0.35">
      <c r="A461">
        <v>460</v>
      </c>
      <c r="B461">
        <v>51</v>
      </c>
      <c r="C461" t="s">
        <v>74</v>
      </c>
      <c r="D461" t="s">
        <v>5</v>
      </c>
      <c r="E461" t="s">
        <v>10</v>
      </c>
      <c r="F461" t="s">
        <v>11</v>
      </c>
      <c r="G461">
        <v>0</v>
      </c>
      <c r="H461">
        <v>45</v>
      </c>
      <c r="I461" t="s">
        <v>18</v>
      </c>
      <c r="J461" s="1">
        <v>336.72</v>
      </c>
      <c r="K461" s="1">
        <v>336.72</v>
      </c>
      <c r="L461">
        <v>1</v>
      </c>
      <c r="M461">
        <v>2</v>
      </c>
      <c r="N461">
        <v>1</v>
      </c>
      <c r="O461">
        <v>0</v>
      </c>
      <c r="P461">
        <v>0</v>
      </c>
      <c r="Q461">
        <v>1</v>
      </c>
      <c r="R461">
        <v>241</v>
      </c>
      <c r="S461" s="5">
        <v>1</v>
      </c>
      <c r="T461" s="5">
        <v>1</v>
      </c>
      <c r="U461" s="5">
        <v>1</v>
      </c>
      <c r="V461" s="5">
        <v>3</v>
      </c>
    </row>
    <row r="462" spans="1:22" x14ac:dyDescent="0.35">
      <c r="A462">
        <v>461</v>
      </c>
      <c r="B462">
        <v>55</v>
      </c>
      <c r="C462" t="s">
        <v>74</v>
      </c>
      <c r="D462" t="s">
        <v>6</v>
      </c>
      <c r="E462" t="s">
        <v>8</v>
      </c>
      <c r="F462" t="s">
        <v>13</v>
      </c>
      <c r="G462">
        <v>0</v>
      </c>
      <c r="H462">
        <v>27</v>
      </c>
      <c r="I462" t="s">
        <v>18</v>
      </c>
      <c r="J462" s="1">
        <v>449.87</v>
      </c>
      <c r="K462" s="1">
        <v>449.87</v>
      </c>
      <c r="L462">
        <v>1</v>
      </c>
      <c r="M462">
        <v>2</v>
      </c>
      <c r="N462">
        <v>1</v>
      </c>
      <c r="O462">
        <v>0</v>
      </c>
      <c r="P462">
        <v>1</v>
      </c>
      <c r="Q462">
        <v>1</v>
      </c>
      <c r="R462">
        <v>346</v>
      </c>
      <c r="S462" s="5">
        <v>1</v>
      </c>
      <c r="T462" s="5">
        <v>1</v>
      </c>
      <c r="U462" s="5">
        <v>1</v>
      </c>
      <c r="V462" s="5">
        <v>3</v>
      </c>
    </row>
    <row r="463" spans="1:22" x14ac:dyDescent="0.35">
      <c r="A463">
        <v>462</v>
      </c>
      <c r="B463">
        <v>41</v>
      </c>
      <c r="C463" t="s">
        <v>75</v>
      </c>
      <c r="D463" t="s">
        <v>6</v>
      </c>
      <c r="E463" t="s">
        <v>9</v>
      </c>
      <c r="F463" t="s">
        <v>11</v>
      </c>
      <c r="G463">
        <v>1</v>
      </c>
      <c r="H463">
        <v>8</v>
      </c>
      <c r="I463" t="s">
        <v>18</v>
      </c>
      <c r="J463" s="1">
        <v>391.36</v>
      </c>
      <c r="K463" s="1">
        <v>130.45333333333335</v>
      </c>
      <c r="L463">
        <v>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228</v>
      </c>
      <c r="S463" s="5">
        <v>1</v>
      </c>
      <c r="T463" s="5">
        <v>2</v>
      </c>
      <c r="U463" s="5">
        <v>1</v>
      </c>
      <c r="V463" s="5">
        <v>4</v>
      </c>
    </row>
    <row r="464" spans="1:22" x14ac:dyDescent="0.35">
      <c r="A464">
        <v>463</v>
      </c>
      <c r="B464">
        <v>45</v>
      </c>
      <c r="C464" t="s">
        <v>75</v>
      </c>
      <c r="D464" t="s">
        <v>6</v>
      </c>
      <c r="E464" t="s">
        <v>9</v>
      </c>
      <c r="F464" t="s">
        <v>13</v>
      </c>
      <c r="G464">
        <v>0</v>
      </c>
      <c r="H464">
        <v>7</v>
      </c>
      <c r="I464" t="s">
        <v>18</v>
      </c>
      <c r="J464" s="1">
        <v>1668.22</v>
      </c>
      <c r="K464" s="1">
        <v>238.31714285714287</v>
      </c>
      <c r="L464">
        <v>7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23</v>
      </c>
      <c r="S464" s="5">
        <v>3</v>
      </c>
      <c r="T464" s="5">
        <v>2</v>
      </c>
      <c r="U464" s="5">
        <v>3</v>
      </c>
      <c r="V464" s="5">
        <v>8</v>
      </c>
    </row>
    <row r="465" spans="1:22" x14ac:dyDescent="0.35">
      <c r="A465">
        <v>464</v>
      </c>
      <c r="B465">
        <v>47</v>
      </c>
      <c r="C465" t="s">
        <v>74</v>
      </c>
      <c r="D465" t="s">
        <v>6</v>
      </c>
      <c r="E465" t="s">
        <v>8</v>
      </c>
      <c r="F465" t="s">
        <v>12</v>
      </c>
      <c r="G465">
        <v>0</v>
      </c>
      <c r="H465">
        <v>22</v>
      </c>
      <c r="I465" t="s">
        <v>17</v>
      </c>
      <c r="J465" s="1">
        <v>2166.3300000000004</v>
      </c>
      <c r="K465" s="1">
        <v>240.70333333333338</v>
      </c>
      <c r="L465">
        <v>9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31</v>
      </c>
      <c r="S465" s="5">
        <v>2</v>
      </c>
      <c r="T465" s="5">
        <v>3</v>
      </c>
      <c r="U465" s="5">
        <v>3</v>
      </c>
      <c r="V465" s="5">
        <v>8</v>
      </c>
    </row>
    <row r="466" spans="1:22" x14ac:dyDescent="0.35">
      <c r="A466">
        <v>465</v>
      </c>
      <c r="B466">
        <v>51</v>
      </c>
      <c r="C466" t="s">
        <v>74</v>
      </c>
      <c r="D466" t="s">
        <v>6</v>
      </c>
      <c r="E466" t="s">
        <v>7</v>
      </c>
      <c r="F466" t="s">
        <v>11</v>
      </c>
      <c r="G466">
        <v>0</v>
      </c>
      <c r="H466">
        <v>46</v>
      </c>
      <c r="I466" t="s">
        <v>17</v>
      </c>
      <c r="J466" s="1">
        <v>1217.0800000000002</v>
      </c>
      <c r="K466" s="1">
        <v>304.27000000000004</v>
      </c>
      <c r="L466">
        <v>4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</v>
      </c>
      <c r="S466" s="5">
        <v>3</v>
      </c>
      <c r="T466" s="5">
        <v>2</v>
      </c>
      <c r="U466" s="5">
        <v>2</v>
      </c>
      <c r="V466" s="5">
        <v>7</v>
      </c>
    </row>
    <row r="467" spans="1:22" x14ac:dyDescent="0.35">
      <c r="A467">
        <v>466</v>
      </c>
      <c r="B467">
        <v>69</v>
      </c>
      <c r="C467" t="s">
        <v>72</v>
      </c>
      <c r="D467" t="s">
        <v>5</v>
      </c>
      <c r="E467" t="s">
        <v>9</v>
      </c>
      <c r="F467" t="s">
        <v>13</v>
      </c>
      <c r="G467">
        <v>1</v>
      </c>
      <c r="H467">
        <v>28</v>
      </c>
      <c r="I467" t="s">
        <v>18</v>
      </c>
      <c r="J467" s="1">
        <v>1918.1599999999999</v>
      </c>
      <c r="K467" s="1">
        <v>239.76999999999998</v>
      </c>
      <c r="L467">
        <v>8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65</v>
      </c>
      <c r="S467" s="5">
        <v>2</v>
      </c>
      <c r="T467" s="5">
        <v>3</v>
      </c>
      <c r="U467" s="5">
        <v>3</v>
      </c>
      <c r="V467" s="5">
        <v>8</v>
      </c>
    </row>
    <row r="468" spans="1:22" x14ac:dyDescent="0.35">
      <c r="A468">
        <v>467</v>
      </c>
      <c r="B468">
        <v>69</v>
      </c>
      <c r="C468" t="s">
        <v>72</v>
      </c>
      <c r="D468" t="s">
        <v>5</v>
      </c>
      <c r="E468" t="s">
        <v>10</v>
      </c>
      <c r="F468" t="s">
        <v>11</v>
      </c>
      <c r="G468">
        <v>0</v>
      </c>
      <c r="H468">
        <v>9</v>
      </c>
      <c r="I468" t="s">
        <v>17</v>
      </c>
      <c r="J468" s="1">
        <v>1104.21</v>
      </c>
      <c r="K468" s="1">
        <v>276.05250000000001</v>
      </c>
      <c r="L468">
        <v>4</v>
      </c>
      <c r="M468">
        <v>1</v>
      </c>
      <c r="N468">
        <v>0</v>
      </c>
      <c r="O468">
        <v>0</v>
      </c>
      <c r="P468">
        <v>0</v>
      </c>
      <c r="Q468">
        <v>1</v>
      </c>
      <c r="R468">
        <v>34</v>
      </c>
      <c r="S468" s="5">
        <v>2</v>
      </c>
      <c r="T468" s="5">
        <v>2</v>
      </c>
      <c r="U468" s="5">
        <v>2</v>
      </c>
      <c r="V468" s="5">
        <v>6</v>
      </c>
    </row>
    <row r="469" spans="1:22" x14ac:dyDescent="0.35">
      <c r="A469">
        <v>468</v>
      </c>
      <c r="B469">
        <v>40</v>
      </c>
      <c r="C469" t="s">
        <v>75</v>
      </c>
      <c r="D469" t="s">
        <v>5</v>
      </c>
      <c r="E469" t="s">
        <v>8</v>
      </c>
      <c r="F469" t="s">
        <v>13</v>
      </c>
      <c r="G469">
        <v>0</v>
      </c>
      <c r="H469">
        <v>31</v>
      </c>
      <c r="I469" t="s">
        <v>18</v>
      </c>
      <c r="J469" s="1">
        <v>818.31</v>
      </c>
      <c r="K469" s="1">
        <v>204.57749999999999</v>
      </c>
      <c r="L469">
        <v>4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219</v>
      </c>
      <c r="S469" s="5">
        <v>1</v>
      </c>
      <c r="T469" s="5">
        <v>2</v>
      </c>
      <c r="U469" s="5">
        <v>1</v>
      </c>
      <c r="V469" s="5">
        <v>4</v>
      </c>
    </row>
    <row r="470" spans="1:22" x14ac:dyDescent="0.35">
      <c r="A470">
        <v>469</v>
      </c>
      <c r="B470">
        <v>25</v>
      </c>
      <c r="C470" t="s">
        <v>73</v>
      </c>
      <c r="D470" t="s">
        <v>5</v>
      </c>
      <c r="E470" t="s">
        <v>10</v>
      </c>
      <c r="F470" t="s">
        <v>11</v>
      </c>
      <c r="G470">
        <v>1</v>
      </c>
      <c r="H470">
        <v>4</v>
      </c>
      <c r="I470" t="s">
        <v>16</v>
      </c>
      <c r="J470" s="1">
        <v>1626.6999999999998</v>
      </c>
      <c r="K470" s="1">
        <v>271.11666666666662</v>
      </c>
      <c r="L470">
        <v>6</v>
      </c>
      <c r="M470">
        <v>2</v>
      </c>
      <c r="N470">
        <v>1</v>
      </c>
      <c r="O470">
        <v>0</v>
      </c>
      <c r="P470">
        <v>1</v>
      </c>
      <c r="Q470">
        <v>0</v>
      </c>
      <c r="R470">
        <v>15</v>
      </c>
      <c r="S470" s="5">
        <v>3</v>
      </c>
      <c r="T470" s="5">
        <v>2</v>
      </c>
      <c r="U470" s="5">
        <v>3</v>
      </c>
      <c r="V470" s="5">
        <v>8</v>
      </c>
    </row>
    <row r="471" spans="1:22" x14ac:dyDescent="0.35">
      <c r="A471">
        <v>470</v>
      </c>
      <c r="B471">
        <v>59</v>
      </c>
      <c r="C471" t="s">
        <v>74</v>
      </c>
      <c r="D471" t="s">
        <v>6</v>
      </c>
      <c r="E471" t="s">
        <v>8</v>
      </c>
      <c r="F471" t="s">
        <v>12</v>
      </c>
      <c r="G471">
        <v>1</v>
      </c>
      <c r="H471">
        <v>5</v>
      </c>
      <c r="I471" t="s">
        <v>17</v>
      </c>
      <c r="J471" s="1">
        <v>1916.68</v>
      </c>
      <c r="K471" s="1">
        <v>319.44666666666666</v>
      </c>
      <c r="L471">
        <v>6</v>
      </c>
      <c r="M471">
        <v>1</v>
      </c>
      <c r="N471">
        <v>1</v>
      </c>
      <c r="O471">
        <v>0</v>
      </c>
      <c r="P471">
        <v>0</v>
      </c>
      <c r="Q471">
        <v>1</v>
      </c>
      <c r="R471">
        <v>37</v>
      </c>
      <c r="S471" s="5">
        <v>2</v>
      </c>
      <c r="T471" s="5">
        <v>2</v>
      </c>
      <c r="U471" s="5">
        <v>3</v>
      </c>
      <c r="V471" s="5">
        <v>7</v>
      </c>
    </row>
    <row r="472" spans="1:22" x14ac:dyDescent="0.35">
      <c r="A472">
        <v>471</v>
      </c>
      <c r="B472">
        <v>67</v>
      </c>
      <c r="C472" t="s">
        <v>72</v>
      </c>
      <c r="D472" t="s">
        <v>6</v>
      </c>
      <c r="E472" t="s">
        <v>8</v>
      </c>
      <c r="F472" t="s">
        <v>11</v>
      </c>
      <c r="G472">
        <v>0</v>
      </c>
      <c r="H472">
        <v>13</v>
      </c>
      <c r="I472" t="s">
        <v>16</v>
      </c>
      <c r="J472" s="1">
        <v>1109.17</v>
      </c>
      <c r="K472" s="1">
        <v>221.834</v>
      </c>
      <c r="L472">
        <v>5</v>
      </c>
      <c r="M472">
        <v>2</v>
      </c>
      <c r="N472">
        <v>1</v>
      </c>
      <c r="O472">
        <v>1</v>
      </c>
      <c r="P472">
        <v>1</v>
      </c>
      <c r="Q472">
        <v>0</v>
      </c>
      <c r="R472">
        <v>119</v>
      </c>
      <c r="S472" s="5">
        <v>1</v>
      </c>
      <c r="T472" s="5">
        <v>2</v>
      </c>
      <c r="U472" s="5">
        <v>2</v>
      </c>
      <c r="V472" s="5">
        <v>5</v>
      </c>
    </row>
    <row r="473" spans="1:22" x14ac:dyDescent="0.35">
      <c r="A473">
        <v>472</v>
      </c>
      <c r="B473">
        <v>27</v>
      </c>
      <c r="C473" t="s">
        <v>73</v>
      </c>
      <c r="D473" t="s">
        <v>6</v>
      </c>
      <c r="E473" t="s">
        <v>9</v>
      </c>
      <c r="F473" t="s">
        <v>11</v>
      </c>
      <c r="G473">
        <v>0</v>
      </c>
      <c r="H473">
        <v>6</v>
      </c>
      <c r="I473" t="s">
        <v>16</v>
      </c>
      <c r="J473" s="1">
        <v>2217.2800000000002</v>
      </c>
      <c r="K473" s="1">
        <v>246.36444444444447</v>
      </c>
      <c r="L473">
        <v>9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</v>
      </c>
      <c r="S473" s="5">
        <v>3</v>
      </c>
      <c r="T473" s="5">
        <v>3</v>
      </c>
      <c r="U473" s="5">
        <v>3</v>
      </c>
      <c r="V473" s="5">
        <v>9</v>
      </c>
    </row>
    <row r="474" spans="1:22" x14ac:dyDescent="0.35">
      <c r="A474">
        <v>473</v>
      </c>
      <c r="B474">
        <v>18</v>
      </c>
      <c r="C474" t="s">
        <v>73</v>
      </c>
      <c r="D474" t="s">
        <v>5</v>
      </c>
      <c r="E474" t="s">
        <v>8</v>
      </c>
      <c r="F474" t="s">
        <v>11</v>
      </c>
      <c r="G474">
        <v>0</v>
      </c>
      <c r="H474">
        <v>23</v>
      </c>
      <c r="I474" t="s">
        <v>18</v>
      </c>
      <c r="J474" s="1">
        <v>251.46000000000004</v>
      </c>
      <c r="K474" s="1">
        <v>83.820000000000007</v>
      </c>
      <c r="L474">
        <v>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8</v>
      </c>
      <c r="S474" s="5">
        <v>3</v>
      </c>
      <c r="T474" s="5">
        <v>2</v>
      </c>
      <c r="U474" s="5">
        <v>1</v>
      </c>
      <c r="V474" s="5">
        <v>6</v>
      </c>
    </row>
    <row r="475" spans="1:22" x14ac:dyDescent="0.35">
      <c r="A475">
        <v>474</v>
      </c>
      <c r="B475">
        <v>37</v>
      </c>
      <c r="C475" t="s">
        <v>75</v>
      </c>
      <c r="D475" t="s">
        <v>5</v>
      </c>
      <c r="E475" t="s">
        <v>9</v>
      </c>
      <c r="F475" t="s">
        <v>11</v>
      </c>
      <c r="G475">
        <v>0</v>
      </c>
      <c r="H475">
        <v>47</v>
      </c>
      <c r="I475" t="s">
        <v>18</v>
      </c>
      <c r="J475" s="1">
        <v>2460.0699999999997</v>
      </c>
      <c r="K475" s="1">
        <v>273.3411111111111</v>
      </c>
      <c r="L475">
        <v>9</v>
      </c>
      <c r="M475">
        <v>2</v>
      </c>
      <c r="N475">
        <v>1</v>
      </c>
      <c r="O475">
        <v>1</v>
      </c>
      <c r="P475">
        <v>1</v>
      </c>
      <c r="Q475">
        <v>0</v>
      </c>
      <c r="R475">
        <v>4</v>
      </c>
      <c r="S475" s="5">
        <v>3</v>
      </c>
      <c r="T475" s="5">
        <v>3</v>
      </c>
      <c r="U475" s="5">
        <v>3</v>
      </c>
      <c r="V475" s="5">
        <v>9</v>
      </c>
    </row>
    <row r="476" spans="1:22" x14ac:dyDescent="0.35">
      <c r="A476">
        <v>475</v>
      </c>
      <c r="B476">
        <v>54</v>
      </c>
      <c r="C476" t="s">
        <v>74</v>
      </c>
      <c r="D476" t="s">
        <v>6</v>
      </c>
      <c r="E476" t="s">
        <v>8</v>
      </c>
      <c r="F476" t="s">
        <v>13</v>
      </c>
      <c r="G476">
        <v>0</v>
      </c>
      <c r="H476">
        <v>35</v>
      </c>
      <c r="I476" t="s">
        <v>16</v>
      </c>
      <c r="J476" s="1">
        <v>1635.1299999999999</v>
      </c>
      <c r="K476" s="1">
        <v>272.52166666666665</v>
      </c>
      <c r="L476">
        <v>6</v>
      </c>
      <c r="M476">
        <v>1</v>
      </c>
      <c r="N476">
        <v>0</v>
      </c>
      <c r="O476">
        <v>1</v>
      </c>
      <c r="P476">
        <v>0</v>
      </c>
      <c r="Q476">
        <v>0</v>
      </c>
      <c r="R476">
        <v>59</v>
      </c>
      <c r="S476" s="5">
        <v>2</v>
      </c>
      <c r="T476" s="5">
        <v>2</v>
      </c>
      <c r="U476" s="5">
        <v>3</v>
      </c>
      <c r="V476" s="5">
        <v>7</v>
      </c>
    </row>
    <row r="477" spans="1:22" x14ac:dyDescent="0.35">
      <c r="A477">
        <v>476</v>
      </c>
      <c r="B477">
        <v>35</v>
      </c>
      <c r="C477" t="s">
        <v>75</v>
      </c>
      <c r="D477" t="s">
        <v>5</v>
      </c>
      <c r="E477" t="s">
        <v>9</v>
      </c>
      <c r="F477" t="s">
        <v>12</v>
      </c>
      <c r="G477">
        <v>0</v>
      </c>
      <c r="H477">
        <v>34</v>
      </c>
      <c r="I477" t="s">
        <v>16</v>
      </c>
      <c r="J477" s="1">
        <v>2145.9299999999998</v>
      </c>
      <c r="K477" s="1">
        <v>268.24124999999998</v>
      </c>
      <c r="L477">
        <v>8</v>
      </c>
      <c r="M477">
        <v>1</v>
      </c>
      <c r="N477">
        <v>0</v>
      </c>
      <c r="O477">
        <v>0</v>
      </c>
      <c r="P477">
        <v>1</v>
      </c>
      <c r="Q477">
        <v>0</v>
      </c>
      <c r="R477">
        <v>53</v>
      </c>
      <c r="S477" s="5">
        <v>2</v>
      </c>
      <c r="T477" s="5">
        <v>3</v>
      </c>
      <c r="U477" s="5">
        <v>3</v>
      </c>
      <c r="V477" s="5">
        <v>8</v>
      </c>
    </row>
    <row r="478" spans="1:22" x14ac:dyDescent="0.35">
      <c r="A478">
        <v>477</v>
      </c>
      <c r="B478">
        <v>38</v>
      </c>
      <c r="C478" t="s">
        <v>75</v>
      </c>
      <c r="D478" t="s">
        <v>5</v>
      </c>
      <c r="E478" t="s">
        <v>9</v>
      </c>
      <c r="F478" t="s">
        <v>12</v>
      </c>
      <c r="G478">
        <v>0</v>
      </c>
      <c r="H478">
        <v>38</v>
      </c>
      <c r="I478" t="s">
        <v>18</v>
      </c>
      <c r="J478" s="1">
        <v>806.95999999999992</v>
      </c>
      <c r="K478" s="1">
        <v>134.49333333333331</v>
      </c>
      <c r="L478">
        <v>6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27</v>
      </c>
      <c r="S478" s="5">
        <v>3</v>
      </c>
      <c r="T478" s="5">
        <v>2</v>
      </c>
      <c r="U478" s="5">
        <v>1</v>
      </c>
      <c r="V478" s="5">
        <v>6</v>
      </c>
    </row>
    <row r="479" spans="1:22" x14ac:dyDescent="0.35">
      <c r="A479">
        <v>478</v>
      </c>
      <c r="B479">
        <v>66</v>
      </c>
      <c r="C479" t="s">
        <v>72</v>
      </c>
      <c r="D479" t="s">
        <v>5</v>
      </c>
      <c r="E479" t="s">
        <v>7</v>
      </c>
      <c r="F479" t="s">
        <v>11</v>
      </c>
      <c r="G479">
        <v>1</v>
      </c>
      <c r="H479">
        <v>34</v>
      </c>
      <c r="I479" t="s">
        <v>16</v>
      </c>
      <c r="J479" s="1">
        <v>1615.8400000000001</v>
      </c>
      <c r="K479" s="1">
        <v>323.16800000000001</v>
      </c>
      <c r="L479">
        <v>5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45</v>
      </c>
      <c r="S479" s="5">
        <v>2</v>
      </c>
      <c r="T479" s="5">
        <v>2</v>
      </c>
      <c r="U479" s="5">
        <v>3</v>
      </c>
      <c r="V479" s="5">
        <v>7</v>
      </c>
    </row>
    <row r="480" spans="1:22" x14ac:dyDescent="0.35">
      <c r="A480">
        <v>479</v>
      </c>
      <c r="B480">
        <v>21</v>
      </c>
      <c r="C480" t="s">
        <v>73</v>
      </c>
      <c r="D480" t="s">
        <v>6</v>
      </c>
      <c r="E480" t="s">
        <v>9</v>
      </c>
      <c r="F480" t="s">
        <v>11</v>
      </c>
      <c r="G480">
        <v>0</v>
      </c>
      <c r="H480">
        <v>11</v>
      </c>
      <c r="I480" t="s">
        <v>17</v>
      </c>
      <c r="J480" s="1">
        <v>1184.2800000000002</v>
      </c>
      <c r="K480" s="1">
        <v>236.85600000000005</v>
      </c>
      <c r="L480">
        <v>5</v>
      </c>
      <c r="M480">
        <v>2</v>
      </c>
      <c r="N480">
        <v>1</v>
      </c>
      <c r="O480">
        <v>0</v>
      </c>
      <c r="P480">
        <v>0</v>
      </c>
      <c r="Q480">
        <v>1</v>
      </c>
      <c r="R480">
        <v>56</v>
      </c>
      <c r="S480" s="5">
        <v>2</v>
      </c>
      <c r="T480" s="5">
        <v>2</v>
      </c>
      <c r="U480" s="5">
        <v>2</v>
      </c>
      <c r="V480" s="5">
        <v>6</v>
      </c>
    </row>
    <row r="481" spans="1:22" x14ac:dyDescent="0.35">
      <c r="A481">
        <v>480</v>
      </c>
      <c r="B481">
        <v>60</v>
      </c>
      <c r="C481" t="s">
        <v>74</v>
      </c>
      <c r="D481" t="s">
        <v>5</v>
      </c>
      <c r="E481" t="s">
        <v>9</v>
      </c>
      <c r="F481" t="s">
        <v>12</v>
      </c>
      <c r="G481">
        <v>1</v>
      </c>
      <c r="H481">
        <v>6</v>
      </c>
      <c r="I481" t="s">
        <v>17</v>
      </c>
      <c r="J481" s="1">
        <v>1351.01</v>
      </c>
      <c r="K481" s="1">
        <v>168.87625</v>
      </c>
      <c r="L481">
        <v>8</v>
      </c>
      <c r="M481">
        <v>1</v>
      </c>
      <c r="N481">
        <v>1</v>
      </c>
      <c r="O481">
        <v>0</v>
      </c>
      <c r="P481">
        <v>0</v>
      </c>
      <c r="Q481">
        <v>1</v>
      </c>
      <c r="R481">
        <v>41</v>
      </c>
      <c r="S481" s="5">
        <v>2</v>
      </c>
      <c r="T481" s="5">
        <v>3</v>
      </c>
      <c r="U481" s="5">
        <v>2</v>
      </c>
      <c r="V481" s="5">
        <v>7</v>
      </c>
    </row>
    <row r="482" spans="1:22" x14ac:dyDescent="0.35">
      <c r="A482">
        <v>481</v>
      </c>
      <c r="B482">
        <v>19</v>
      </c>
      <c r="C482" t="s">
        <v>73</v>
      </c>
      <c r="D482" t="s">
        <v>6</v>
      </c>
      <c r="E482" t="s">
        <v>9</v>
      </c>
      <c r="F482" t="s">
        <v>12</v>
      </c>
      <c r="G482">
        <v>0</v>
      </c>
      <c r="H482">
        <v>32</v>
      </c>
      <c r="I482" t="s">
        <v>17</v>
      </c>
      <c r="J482" s="1">
        <v>3386.0400000000004</v>
      </c>
      <c r="K482" s="1">
        <v>376.22666666666669</v>
      </c>
      <c r="L482">
        <v>9</v>
      </c>
      <c r="M482">
        <v>1</v>
      </c>
      <c r="N482">
        <v>0</v>
      </c>
      <c r="O482">
        <v>0</v>
      </c>
      <c r="P482">
        <v>1</v>
      </c>
      <c r="Q482">
        <v>0</v>
      </c>
      <c r="R482">
        <v>153</v>
      </c>
      <c r="S482" s="5">
        <v>1</v>
      </c>
      <c r="T482" s="5">
        <v>3</v>
      </c>
      <c r="U482" s="5">
        <v>3</v>
      </c>
      <c r="V482" s="5">
        <v>7</v>
      </c>
    </row>
    <row r="483" spans="1:22" x14ac:dyDescent="0.35">
      <c r="A483">
        <v>482</v>
      </c>
      <c r="B483">
        <v>38</v>
      </c>
      <c r="C483" t="s">
        <v>75</v>
      </c>
      <c r="D483" t="s">
        <v>5</v>
      </c>
      <c r="E483" t="s">
        <v>7</v>
      </c>
      <c r="F483" t="s">
        <v>12</v>
      </c>
      <c r="G483">
        <v>1</v>
      </c>
      <c r="H483">
        <v>35</v>
      </c>
      <c r="I483" t="s">
        <v>17</v>
      </c>
      <c r="J483" s="1">
        <v>2624.42</v>
      </c>
      <c r="K483" s="1">
        <v>291.60222222222222</v>
      </c>
      <c r="L483">
        <v>9</v>
      </c>
      <c r="M483">
        <v>2</v>
      </c>
      <c r="N483">
        <v>0</v>
      </c>
      <c r="O483">
        <v>0</v>
      </c>
      <c r="P483">
        <v>0</v>
      </c>
      <c r="Q483">
        <v>1</v>
      </c>
      <c r="R483">
        <v>86</v>
      </c>
      <c r="S483" s="5">
        <v>1</v>
      </c>
      <c r="T483" s="5">
        <v>3</v>
      </c>
      <c r="U483" s="5">
        <v>3</v>
      </c>
      <c r="V483" s="5">
        <v>7</v>
      </c>
    </row>
    <row r="484" spans="1:22" x14ac:dyDescent="0.35">
      <c r="A484">
        <v>483</v>
      </c>
      <c r="B484">
        <v>54</v>
      </c>
      <c r="C484" t="s">
        <v>74</v>
      </c>
      <c r="D484" t="s">
        <v>6</v>
      </c>
      <c r="E484" t="s">
        <v>10</v>
      </c>
      <c r="F484" t="s">
        <v>12</v>
      </c>
      <c r="G484">
        <v>0</v>
      </c>
      <c r="H484">
        <v>34</v>
      </c>
      <c r="I484" t="s">
        <v>16</v>
      </c>
      <c r="J484" s="1">
        <v>1262.48</v>
      </c>
      <c r="K484" s="1">
        <v>210.41333333333333</v>
      </c>
      <c r="L484">
        <v>6</v>
      </c>
      <c r="M484">
        <v>1</v>
      </c>
      <c r="N484">
        <v>1</v>
      </c>
      <c r="O484">
        <v>0</v>
      </c>
      <c r="P484">
        <v>0</v>
      </c>
      <c r="Q484">
        <v>1</v>
      </c>
      <c r="R484">
        <v>59</v>
      </c>
      <c r="S484" s="5">
        <v>2</v>
      </c>
      <c r="T484" s="5">
        <v>2</v>
      </c>
      <c r="U484" s="5">
        <v>2</v>
      </c>
      <c r="V484" s="5">
        <v>6</v>
      </c>
    </row>
    <row r="485" spans="1:22" x14ac:dyDescent="0.35">
      <c r="A485">
        <v>484</v>
      </c>
      <c r="B485">
        <v>22</v>
      </c>
      <c r="C485" t="s">
        <v>73</v>
      </c>
      <c r="D485" t="s">
        <v>5</v>
      </c>
      <c r="E485" t="s">
        <v>10</v>
      </c>
      <c r="F485" t="s">
        <v>11</v>
      </c>
      <c r="G485">
        <v>0</v>
      </c>
      <c r="H485">
        <v>43</v>
      </c>
      <c r="I485" t="s">
        <v>16</v>
      </c>
      <c r="J485" s="1">
        <v>988.39</v>
      </c>
      <c r="K485" s="1">
        <v>141.19857142857143</v>
      </c>
      <c r="L485">
        <v>7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45</v>
      </c>
      <c r="S485" s="5">
        <v>2</v>
      </c>
      <c r="T485" s="5">
        <v>2</v>
      </c>
      <c r="U485" s="5">
        <v>2</v>
      </c>
      <c r="V485" s="5">
        <v>6</v>
      </c>
    </row>
    <row r="486" spans="1:22" x14ac:dyDescent="0.35">
      <c r="A486">
        <v>485</v>
      </c>
      <c r="B486">
        <v>34</v>
      </c>
      <c r="C486" t="s">
        <v>75</v>
      </c>
      <c r="D486" t="s">
        <v>5</v>
      </c>
      <c r="E486" t="s">
        <v>7</v>
      </c>
      <c r="F486" t="s">
        <v>12</v>
      </c>
      <c r="G486">
        <v>0</v>
      </c>
      <c r="H486">
        <v>28</v>
      </c>
      <c r="I486" t="s">
        <v>16</v>
      </c>
      <c r="J486" s="1">
        <v>2129.71</v>
      </c>
      <c r="K486" s="1">
        <v>304.2442857142857</v>
      </c>
      <c r="L486">
        <v>7</v>
      </c>
      <c r="M486">
        <v>1</v>
      </c>
      <c r="N486">
        <v>0</v>
      </c>
      <c r="O486">
        <v>0</v>
      </c>
      <c r="P486">
        <v>1</v>
      </c>
      <c r="Q486">
        <v>0</v>
      </c>
      <c r="R486">
        <v>11</v>
      </c>
      <c r="S486" s="5">
        <v>3</v>
      </c>
      <c r="T486" s="5">
        <v>2</v>
      </c>
      <c r="U486" s="5">
        <v>3</v>
      </c>
      <c r="V486" s="5">
        <v>8</v>
      </c>
    </row>
    <row r="487" spans="1:22" x14ac:dyDescent="0.35">
      <c r="A487">
        <v>486</v>
      </c>
      <c r="B487">
        <v>66</v>
      </c>
      <c r="C487" t="s">
        <v>72</v>
      </c>
      <c r="D487" t="s">
        <v>6</v>
      </c>
      <c r="E487" t="s">
        <v>9</v>
      </c>
      <c r="F487" t="s">
        <v>11</v>
      </c>
      <c r="G487">
        <v>0</v>
      </c>
      <c r="H487">
        <v>5</v>
      </c>
      <c r="I487" t="s">
        <v>18</v>
      </c>
      <c r="J487" s="1">
        <v>758.7299999999999</v>
      </c>
      <c r="K487" s="1">
        <v>189.68249999999998</v>
      </c>
      <c r="L487">
        <v>4</v>
      </c>
      <c r="M487">
        <v>2</v>
      </c>
      <c r="N487">
        <v>1</v>
      </c>
      <c r="O487">
        <v>1</v>
      </c>
      <c r="P487">
        <v>0</v>
      </c>
      <c r="Q487">
        <v>1</v>
      </c>
      <c r="R487">
        <v>60</v>
      </c>
      <c r="S487" s="5">
        <v>2</v>
      </c>
      <c r="T487" s="5">
        <v>2</v>
      </c>
      <c r="U487" s="5">
        <v>1</v>
      </c>
      <c r="V487" s="5">
        <v>5</v>
      </c>
    </row>
    <row r="488" spans="1:22" x14ac:dyDescent="0.35">
      <c r="A488">
        <v>487</v>
      </c>
      <c r="B488">
        <v>65</v>
      </c>
      <c r="C488" t="s">
        <v>72</v>
      </c>
      <c r="D488" t="s">
        <v>6</v>
      </c>
      <c r="E488" t="s">
        <v>9</v>
      </c>
      <c r="F488" t="s">
        <v>11</v>
      </c>
      <c r="G488">
        <v>0</v>
      </c>
      <c r="H488">
        <v>34</v>
      </c>
      <c r="I488" t="s">
        <v>16</v>
      </c>
      <c r="J488" s="1">
        <v>1624.23</v>
      </c>
      <c r="K488" s="1">
        <v>232.03285714285715</v>
      </c>
      <c r="L488">
        <v>7</v>
      </c>
      <c r="M488">
        <v>2</v>
      </c>
      <c r="N488">
        <v>1</v>
      </c>
      <c r="O488">
        <v>0</v>
      </c>
      <c r="P488">
        <v>1</v>
      </c>
      <c r="Q488">
        <v>0</v>
      </c>
      <c r="R488">
        <v>7</v>
      </c>
      <c r="S488" s="5">
        <v>3</v>
      </c>
      <c r="T488" s="5">
        <v>2</v>
      </c>
      <c r="U488" s="5">
        <v>3</v>
      </c>
      <c r="V488" s="5">
        <v>8</v>
      </c>
    </row>
    <row r="489" spans="1:22" x14ac:dyDescent="0.35">
      <c r="A489">
        <v>488</v>
      </c>
      <c r="B489">
        <v>28</v>
      </c>
      <c r="C489" t="s">
        <v>73</v>
      </c>
      <c r="D489" t="s">
        <v>6</v>
      </c>
      <c r="E489" t="s">
        <v>8</v>
      </c>
      <c r="F489" t="s">
        <v>12</v>
      </c>
      <c r="G489">
        <v>1</v>
      </c>
      <c r="H489">
        <v>33</v>
      </c>
      <c r="I489" t="s">
        <v>16</v>
      </c>
      <c r="J489" s="1">
        <v>393.84</v>
      </c>
      <c r="K489" s="1">
        <v>393.84</v>
      </c>
      <c r="L489">
        <v>1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93</v>
      </c>
      <c r="S489" s="5">
        <v>1</v>
      </c>
      <c r="T489" s="5">
        <v>1</v>
      </c>
      <c r="U489" s="5">
        <v>1</v>
      </c>
      <c r="V489" s="5">
        <v>3</v>
      </c>
    </row>
    <row r="490" spans="1:22" x14ac:dyDescent="0.35">
      <c r="A490">
        <v>489</v>
      </c>
      <c r="B490">
        <v>63</v>
      </c>
      <c r="C490" t="s">
        <v>72</v>
      </c>
      <c r="D490" t="s">
        <v>5</v>
      </c>
      <c r="E490" t="s">
        <v>10</v>
      </c>
      <c r="F490" t="s">
        <v>13</v>
      </c>
      <c r="G490">
        <v>0</v>
      </c>
      <c r="H490">
        <v>12</v>
      </c>
      <c r="I490" t="s">
        <v>18</v>
      </c>
      <c r="J490" s="1">
        <v>1101.1100000000001</v>
      </c>
      <c r="K490" s="1">
        <v>183.51833333333335</v>
      </c>
      <c r="L490">
        <v>6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41</v>
      </c>
      <c r="S490" s="5">
        <v>2</v>
      </c>
      <c r="T490" s="5">
        <v>2</v>
      </c>
      <c r="U490" s="5">
        <v>2</v>
      </c>
      <c r="V490" s="5">
        <v>6</v>
      </c>
    </row>
    <row r="491" spans="1:22" x14ac:dyDescent="0.35">
      <c r="A491">
        <v>490</v>
      </c>
      <c r="B491">
        <v>58</v>
      </c>
      <c r="C491" t="s">
        <v>74</v>
      </c>
      <c r="D491" t="s">
        <v>6</v>
      </c>
      <c r="E491" t="s">
        <v>9</v>
      </c>
      <c r="F491" t="s">
        <v>11</v>
      </c>
      <c r="G491">
        <v>0</v>
      </c>
      <c r="H491">
        <v>40</v>
      </c>
      <c r="I491" t="s">
        <v>18</v>
      </c>
      <c r="J491" s="1">
        <v>2063.08</v>
      </c>
      <c r="K491" s="1">
        <v>294.72571428571428</v>
      </c>
      <c r="L491">
        <v>7</v>
      </c>
      <c r="M491">
        <v>2</v>
      </c>
      <c r="N491">
        <v>1</v>
      </c>
      <c r="O491">
        <v>0</v>
      </c>
      <c r="P491">
        <v>0</v>
      </c>
      <c r="Q491">
        <v>1</v>
      </c>
      <c r="R491">
        <v>41</v>
      </c>
      <c r="S491" s="5">
        <v>2</v>
      </c>
      <c r="T491" s="5">
        <v>2</v>
      </c>
      <c r="U491" s="5">
        <v>3</v>
      </c>
      <c r="V491" s="5">
        <v>7</v>
      </c>
    </row>
    <row r="492" spans="1:22" x14ac:dyDescent="0.35">
      <c r="A492">
        <v>491</v>
      </c>
      <c r="B492">
        <v>48</v>
      </c>
      <c r="C492" t="s">
        <v>74</v>
      </c>
      <c r="D492" t="s">
        <v>5</v>
      </c>
      <c r="E492" t="s">
        <v>9</v>
      </c>
      <c r="F492" t="s">
        <v>12</v>
      </c>
      <c r="G492">
        <v>1</v>
      </c>
      <c r="H492">
        <v>44</v>
      </c>
      <c r="I492" t="s">
        <v>17</v>
      </c>
      <c r="J492" s="1">
        <v>1483.12</v>
      </c>
      <c r="K492" s="1">
        <v>247.18666666666664</v>
      </c>
      <c r="L492">
        <v>6</v>
      </c>
      <c r="M492">
        <v>1</v>
      </c>
      <c r="N492">
        <v>0</v>
      </c>
      <c r="O492">
        <v>0</v>
      </c>
      <c r="P492">
        <v>1</v>
      </c>
      <c r="Q492">
        <v>0</v>
      </c>
      <c r="R492">
        <v>54</v>
      </c>
      <c r="S492" s="5">
        <v>2</v>
      </c>
      <c r="T492" s="5">
        <v>2</v>
      </c>
      <c r="U492" s="5">
        <v>2</v>
      </c>
      <c r="V492" s="5">
        <v>6</v>
      </c>
    </row>
    <row r="493" spans="1:22" x14ac:dyDescent="0.35">
      <c r="A493">
        <v>492</v>
      </c>
      <c r="B493">
        <v>45</v>
      </c>
      <c r="C493" t="s">
        <v>75</v>
      </c>
      <c r="D493" t="s">
        <v>6</v>
      </c>
      <c r="E493" t="s">
        <v>10</v>
      </c>
      <c r="F493" t="s">
        <v>11</v>
      </c>
      <c r="G493">
        <v>0</v>
      </c>
      <c r="H493">
        <v>38</v>
      </c>
      <c r="I493" t="s">
        <v>18</v>
      </c>
      <c r="J493" s="1">
        <v>1491.8</v>
      </c>
      <c r="K493" s="1">
        <v>298.36</v>
      </c>
      <c r="L493">
        <v>5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12</v>
      </c>
      <c r="S493" s="5">
        <v>3</v>
      </c>
      <c r="T493" s="5">
        <v>2</v>
      </c>
      <c r="U493" s="5">
        <v>2</v>
      </c>
      <c r="V493" s="5">
        <v>7</v>
      </c>
    </row>
    <row r="494" spans="1:22" x14ac:dyDescent="0.35">
      <c r="A494">
        <v>493</v>
      </c>
      <c r="B494">
        <v>61</v>
      </c>
      <c r="C494" t="s">
        <v>72</v>
      </c>
      <c r="D494" t="s">
        <v>5</v>
      </c>
      <c r="E494" t="s">
        <v>9</v>
      </c>
      <c r="F494" t="s">
        <v>13</v>
      </c>
      <c r="G494">
        <v>0</v>
      </c>
      <c r="H494">
        <v>44</v>
      </c>
      <c r="I494" t="s">
        <v>18</v>
      </c>
      <c r="J494" s="1">
        <v>976</v>
      </c>
      <c r="K494" s="1">
        <v>244</v>
      </c>
      <c r="L494">
        <v>4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29</v>
      </c>
      <c r="S494" s="5">
        <v>2</v>
      </c>
      <c r="T494" s="5">
        <v>2</v>
      </c>
      <c r="U494" s="5">
        <v>2</v>
      </c>
      <c r="V494" s="5">
        <v>6</v>
      </c>
    </row>
    <row r="495" spans="1:22" x14ac:dyDescent="0.35">
      <c r="A495">
        <v>494</v>
      </c>
      <c r="B495">
        <v>49</v>
      </c>
      <c r="C495" t="s">
        <v>74</v>
      </c>
      <c r="D495" t="s">
        <v>5</v>
      </c>
      <c r="E495" t="s">
        <v>7</v>
      </c>
      <c r="F495" t="s">
        <v>12</v>
      </c>
      <c r="G495">
        <v>0</v>
      </c>
      <c r="H495">
        <v>12</v>
      </c>
      <c r="I495" t="s">
        <v>16</v>
      </c>
      <c r="J495" s="1">
        <v>269.73</v>
      </c>
      <c r="K495" s="1">
        <v>269.73</v>
      </c>
      <c r="L495">
        <v>1</v>
      </c>
      <c r="M495">
        <v>1</v>
      </c>
      <c r="N495">
        <v>0</v>
      </c>
      <c r="O495">
        <v>1</v>
      </c>
      <c r="P495">
        <v>0</v>
      </c>
      <c r="Q495">
        <v>0</v>
      </c>
      <c r="R495">
        <v>214</v>
      </c>
      <c r="S495" s="5">
        <v>1</v>
      </c>
      <c r="T495" s="5">
        <v>1</v>
      </c>
      <c r="U495" s="5">
        <v>1</v>
      </c>
      <c r="V495" s="5">
        <v>3</v>
      </c>
    </row>
    <row r="496" spans="1:22" x14ac:dyDescent="0.35">
      <c r="A496">
        <v>495</v>
      </c>
      <c r="B496">
        <v>38</v>
      </c>
      <c r="C496" t="s">
        <v>75</v>
      </c>
      <c r="D496" t="s">
        <v>5</v>
      </c>
      <c r="E496" t="s">
        <v>9</v>
      </c>
      <c r="F496" t="s">
        <v>11</v>
      </c>
      <c r="G496">
        <v>0</v>
      </c>
      <c r="H496">
        <v>37</v>
      </c>
      <c r="I496" t="s">
        <v>18</v>
      </c>
      <c r="J496" s="1">
        <v>1738.14</v>
      </c>
      <c r="K496" s="1">
        <v>289.69</v>
      </c>
      <c r="L496">
        <v>6</v>
      </c>
      <c r="M496">
        <v>1</v>
      </c>
      <c r="N496">
        <v>1</v>
      </c>
      <c r="O496">
        <v>0</v>
      </c>
      <c r="P496">
        <v>1</v>
      </c>
      <c r="Q496">
        <v>0</v>
      </c>
      <c r="R496">
        <v>23</v>
      </c>
      <c r="S496" s="5">
        <v>3</v>
      </c>
      <c r="T496" s="5">
        <v>2</v>
      </c>
      <c r="U496" s="5">
        <v>3</v>
      </c>
      <c r="V496" s="5">
        <v>8</v>
      </c>
    </row>
    <row r="497" spans="1:22" x14ac:dyDescent="0.35">
      <c r="A497">
        <v>496</v>
      </c>
      <c r="B497">
        <v>24</v>
      </c>
      <c r="C497" t="s">
        <v>73</v>
      </c>
      <c r="D497" t="s">
        <v>6</v>
      </c>
      <c r="E497" t="s">
        <v>9</v>
      </c>
      <c r="F497" t="s">
        <v>13</v>
      </c>
      <c r="G497">
        <v>0</v>
      </c>
      <c r="H497">
        <v>1</v>
      </c>
      <c r="I497" t="s">
        <v>17</v>
      </c>
      <c r="J497" s="1">
        <v>216.79</v>
      </c>
      <c r="K497" s="1">
        <v>108.395</v>
      </c>
      <c r="L497">
        <v>2</v>
      </c>
      <c r="M497">
        <v>1</v>
      </c>
      <c r="N497">
        <v>0</v>
      </c>
      <c r="O497">
        <v>0</v>
      </c>
      <c r="P497">
        <v>0</v>
      </c>
      <c r="Q497">
        <v>1</v>
      </c>
      <c r="R497">
        <v>223</v>
      </c>
      <c r="S497" s="5">
        <v>1</v>
      </c>
      <c r="T497" s="5">
        <v>1</v>
      </c>
      <c r="U497" s="5">
        <v>1</v>
      </c>
      <c r="V497" s="5">
        <v>3</v>
      </c>
    </row>
    <row r="498" spans="1:22" x14ac:dyDescent="0.35">
      <c r="A498">
        <v>497</v>
      </c>
      <c r="B498">
        <v>27</v>
      </c>
      <c r="C498" t="s">
        <v>73</v>
      </c>
      <c r="D498" t="s">
        <v>5</v>
      </c>
      <c r="E498" t="s">
        <v>10</v>
      </c>
      <c r="F498" t="s">
        <v>13</v>
      </c>
      <c r="G498">
        <v>0</v>
      </c>
      <c r="H498">
        <v>40</v>
      </c>
      <c r="I498" t="s">
        <v>16</v>
      </c>
      <c r="J498" s="1">
        <v>1554.77</v>
      </c>
      <c r="K498" s="1">
        <v>259.12833333333333</v>
      </c>
      <c r="L498">
        <v>6</v>
      </c>
      <c r="M498">
        <v>2</v>
      </c>
      <c r="N498">
        <v>1</v>
      </c>
      <c r="O498">
        <v>1</v>
      </c>
      <c r="P498">
        <v>0</v>
      </c>
      <c r="Q498">
        <v>0</v>
      </c>
      <c r="R498">
        <v>17</v>
      </c>
      <c r="S498" s="5">
        <v>3</v>
      </c>
      <c r="T498" s="5">
        <v>2</v>
      </c>
      <c r="U498" s="5">
        <v>2</v>
      </c>
      <c r="V498" s="5">
        <v>7</v>
      </c>
    </row>
    <row r="499" spans="1:22" x14ac:dyDescent="0.35">
      <c r="A499">
        <v>498</v>
      </c>
      <c r="B499">
        <v>45</v>
      </c>
      <c r="C499" t="s">
        <v>75</v>
      </c>
      <c r="D499" t="s">
        <v>6</v>
      </c>
      <c r="E499" t="s">
        <v>7</v>
      </c>
      <c r="F499" t="s">
        <v>11</v>
      </c>
      <c r="G499">
        <v>1</v>
      </c>
      <c r="H499">
        <v>5</v>
      </c>
      <c r="I499" t="s">
        <v>17</v>
      </c>
      <c r="J499" s="1">
        <v>763.91</v>
      </c>
      <c r="K499" s="1">
        <v>381.95499999999998</v>
      </c>
      <c r="L499">
        <v>2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161</v>
      </c>
      <c r="S499" s="5">
        <v>1</v>
      </c>
      <c r="T499" s="5">
        <v>1</v>
      </c>
      <c r="U499" s="5">
        <v>1</v>
      </c>
      <c r="V499" s="5">
        <v>3</v>
      </c>
    </row>
    <row r="500" spans="1:22" x14ac:dyDescent="0.35">
      <c r="A500">
        <v>499</v>
      </c>
      <c r="B500">
        <v>65</v>
      </c>
      <c r="C500" t="s">
        <v>72</v>
      </c>
      <c r="D500" t="s">
        <v>5</v>
      </c>
      <c r="E500" t="s">
        <v>8</v>
      </c>
      <c r="F500" t="s">
        <v>12</v>
      </c>
      <c r="G500">
        <v>0</v>
      </c>
      <c r="H500">
        <v>2</v>
      </c>
      <c r="I500" t="s">
        <v>16</v>
      </c>
      <c r="J500" s="1">
        <v>458.77</v>
      </c>
      <c r="K500" s="1">
        <v>229.38499999999999</v>
      </c>
      <c r="L500">
        <v>2</v>
      </c>
      <c r="M500">
        <v>1</v>
      </c>
      <c r="N500">
        <v>0</v>
      </c>
      <c r="O500">
        <v>1</v>
      </c>
      <c r="P500">
        <v>0</v>
      </c>
      <c r="Q500">
        <v>0</v>
      </c>
      <c r="R500">
        <v>35</v>
      </c>
      <c r="S500" s="5">
        <v>2</v>
      </c>
      <c r="T500" s="5">
        <v>1</v>
      </c>
      <c r="U500" s="5">
        <v>1</v>
      </c>
      <c r="V500" s="5">
        <v>4</v>
      </c>
    </row>
    <row r="501" spans="1:22" x14ac:dyDescent="0.35">
      <c r="A501">
        <v>500</v>
      </c>
      <c r="B501">
        <v>53</v>
      </c>
      <c r="C501" t="s">
        <v>74</v>
      </c>
      <c r="D501" t="s">
        <v>5</v>
      </c>
      <c r="E501" t="s">
        <v>10</v>
      </c>
      <c r="F501" t="s">
        <v>12</v>
      </c>
      <c r="G501">
        <v>0</v>
      </c>
      <c r="H501">
        <v>46</v>
      </c>
      <c r="I501" t="s">
        <v>18</v>
      </c>
      <c r="J501" s="1">
        <v>2429.2200000000003</v>
      </c>
      <c r="K501" s="1">
        <v>269.91333333333336</v>
      </c>
      <c r="L501">
        <v>9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64</v>
      </c>
      <c r="S501" s="5">
        <v>2</v>
      </c>
      <c r="T501" s="5">
        <v>3</v>
      </c>
      <c r="U501" s="5">
        <v>3</v>
      </c>
      <c r="V501" s="5">
        <v>8</v>
      </c>
    </row>
    <row r="502" spans="1:22" x14ac:dyDescent="0.35">
      <c r="A502">
        <v>501</v>
      </c>
      <c r="B502">
        <v>37</v>
      </c>
      <c r="C502" t="s">
        <v>75</v>
      </c>
      <c r="D502" t="s">
        <v>5</v>
      </c>
      <c r="E502" t="s">
        <v>8</v>
      </c>
      <c r="F502" t="s">
        <v>11</v>
      </c>
      <c r="G502">
        <v>0</v>
      </c>
      <c r="H502">
        <v>25</v>
      </c>
      <c r="I502" t="s">
        <v>18</v>
      </c>
      <c r="J502" s="1">
        <v>1317.1799999999998</v>
      </c>
      <c r="K502" s="1">
        <v>164.64749999999998</v>
      </c>
      <c r="L502">
        <v>8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2</v>
      </c>
      <c r="S502" s="5">
        <v>3</v>
      </c>
      <c r="T502" s="5">
        <v>3</v>
      </c>
      <c r="U502" s="5">
        <v>2</v>
      </c>
      <c r="V502" s="5">
        <v>8</v>
      </c>
    </row>
    <row r="503" spans="1:22" x14ac:dyDescent="0.35">
      <c r="A503">
        <v>502</v>
      </c>
      <c r="B503">
        <v>30</v>
      </c>
      <c r="C503" t="s">
        <v>73</v>
      </c>
      <c r="D503" t="s">
        <v>5</v>
      </c>
      <c r="E503" t="s">
        <v>8</v>
      </c>
      <c r="F503" t="s">
        <v>13</v>
      </c>
      <c r="G503">
        <v>0</v>
      </c>
      <c r="H503">
        <v>38</v>
      </c>
      <c r="I503" t="s">
        <v>16</v>
      </c>
      <c r="J503" s="1">
        <v>703.32999999999993</v>
      </c>
      <c r="K503" s="1">
        <v>175.83249999999998</v>
      </c>
      <c r="L503">
        <v>4</v>
      </c>
      <c r="M503">
        <v>2</v>
      </c>
      <c r="N503">
        <v>1</v>
      </c>
      <c r="O503">
        <v>1</v>
      </c>
      <c r="P503">
        <v>0</v>
      </c>
      <c r="Q503">
        <v>1</v>
      </c>
      <c r="R503">
        <v>42</v>
      </c>
      <c r="S503" s="5">
        <v>2</v>
      </c>
      <c r="T503" s="5">
        <v>2</v>
      </c>
      <c r="U503" s="5">
        <v>1</v>
      </c>
      <c r="V503" s="5">
        <v>5</v>
      </c>
    </row>
    <row r="504" spans="1:22" x14ac:dyDescent="0.35">
      <c r="A504">
        <v>503</v>
      </c>
      <c r="B504">
        <v>36</v>
      </c>
      <c r="C504" t="s">
        <v>75</v>
      </c>
      <c r="D504" t="s">
        <v>6</v>
      </c>
      <c r="E504" t="s">
        <v>7</v>
      </c>
      <c r="F504" t="s">
        <v>13</v>
      </c>
      <c r="G504">
        <v>0</v>
      </c>
      <c r="H504">
        <v>25</v>
      </c>
      <c r="I504" t="s">
        <v>17</v>
      </c>
      <c r="J504" s="1">
        <v>1336.58</v>
      </c>
      <c r="K504" s="1">
        <v>222.76333333333332</v>
      </c>
      <c r="L504">
        <v>6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29</v>
      </c>
      <c r="S504" s="5">
        <v>2</v>
      </c>
      <c r="T504" s="5">
        <v>2</v>
      </c>
      <c r="U504" s="5">
        <v>2</v>
      </c>
      <c r="V504" s="5">
        <v>6</v>
      </c>
    </row>
    <row r="505" spans="1:22" x14ac:dyDescent="0.35">
      <c r="A505">
        <v>504</v>
      </c>
      <c r="B505">
        <v>67</v>
      </c>
      <c r="C505" t="s">
        <v>72</v>
      </c>
      <c r="D505" t="s">
        <v>5</v>
      </c>
      <c r="E505" t="s">
        <v>8</v>
      </c>
      <c r="F505" t="s">
        <v>13</v>
      </c>
      <c r="G505">
        <v>0</v>
      </c>
      <c r="H505">
        <v>48</v>
      </c>
      <c r="I505" t="s">
        <v>16</v>
      </c>
      <c r="J505" s="1">
        <v>551.92999999999995</v>
      </c>
      <c r="K505" s="1">
        <v>183.97666666666666</v>
      </c>
      <c r="L505">
        <v>3</v>
      </c>
      <c r="M505">
        <v>1</v>
      </c>
      <c r="N505">
        <v>1</v>
      </c>
      <c r="O505">
        <v>0</v>
      </c>
      <c r="P505">
        <v>0</v>
      </c>
      <c r="Q505">
        <v>1</v>
      </c>
      <c r="R505">
        <v>218</v>
      </c>
      <c r="S505" s="5">
        <v>1</v>
      </c>
      <c r="T505" s="5">
        <v>2</v>
      </c>
      <c r="U505" s="5">
        <v>1</v>
      </c>
      <c r="V505" s="5">
        <v>4</v>
      </c>
    </row>
    <row r="506" spans="1:22" x14ac:dyDescent="0.35">
      <c r="A506">
        <v>505</v>
      </c>
      <c r="B506">
        <v>28</v>
      </c>
      <c r="C506" t="s">
        <v>73</v>
      </c>
      <c r="D506" t="s">
        <v>5</v>
      </c>
      <c r="E506" t="s">
        <v>7</v>
      </c>
      <c r="F506" t="s">
        <v>13</v>
      </c>
      <c r="G506">
        <v>0</v>
      </c>
      <c r="H506">
        <v>22</v>
      </c>
      <c r="I506" t="s">
        <v>16</v>
      </c>
      <c r="J506" s="1">
        <v>2312.6999999999998</v>
      </c>
      <c r="K506" s="1">
        <v>330.38571428571424</v>
      </c>
      <c r="L506">
        <v>7</v>
      </c>
      <c r="M506">
        <v>2</v>
      </c>
      <c r="N506">
        <v>1</v>
      </c>
      <c r="O506">
        <v>1</v>
      </c>
      <c r="P506">
        <v>0</v>
      </c>
      <c r="Q506">
        <v>0</v>
      </c>
      <c r="R506">
        <v>12</v>
      </c>
      <c r="S506" s="5">
        <v>3</v>
      </c>
      <c r="T506" s="5">
        <v>2</v>
      </c>
      <c r="U506" s="5">
        <v>3</v>
      </c>
      <c r="V506" s="5">
        <v>8</v>
      </c>
    </row>
    <row r="507" spans="1:22" x14ac:dyDescent="0.35">
      <c r="A507">
        <v>506</v>
      </c>
      <c r="B507">
        <v>52</v>
      </c>
      <c r="C507" t="s">
        <v>74</v>
      </c>
      <c r="D507" t="s">
        <v>6</v>
      </c>
      <c r="E507" t="s">
        <v>9</v>
      </c>
      <c r="F507" t="s">
        <v>11</v>
      </c>
      <c r="G507">
        <v>1</v>
      </c>
      <c r="H507">
        <v>1</v>
      </c>
      <c r="I507" t="s">
        <v>18</v>
      </c>
      <c r="J507" s="1">
        <v>1009.74</v>
      </c>
      <c r="K507" s="1">
        <v>252.435</v>
      </c>
      <c r="L507">
        <v>4</v>
      </c>
      <c r="M507">
        <v>2</v>
      </c>
      <c r="N507">
        <v>1</v>
      </c>
      <c r="O507">
        <v>1</v>
      </c>
      <c r="P507">
        <v>1</v>
      </c>
      <c r="Q507">
        <v>0</v>
      </c>
      <c r="R507">
        <v>287</v>
      </c>
      <c r="S507" s="5">
        <v>1</v>
      </c>
      <c r="T507" s="5">
        <v>2</v>
      </c>
      <c r="U507" s="5">
        <v>2</v>
      </c>
      <c r="V507" s="5">
        <v>5</v>
      </c>
    </row>
    <row r="508" spans="1:22" x14ac:dyDescent="0.35">
      <c r="A508">
        <v>507</v>
      </c>
      <c r="B508">
        <v>51</v>
      </c>
      <c r="C508" t="s">
        <v>74</v>
      </c>
      <c r="D508" t="s">
        <v>5</v>
      </c>
      <c r="E508" t="s">
        <v>7</v>
      </c>
      <c r="F508" t="s">
        <v>13</v>
      </c>
      <c r="G508">
        <v>1</v>
      </c>
      <c r="H508">
        <v>25</v>
      </c>
      <c r="I508" t="s">
        <v>18</v>
      </c>
      <c r="J508" s="1">
        <v>2325.0300000000002</v>
      </c>
      <c r="K508" s="1">
        <v>258.3366666666667</v>
      </c>
      <c r="L508">
        <v>9</v>
      </c>
      <c r="M508">
        <v>2</v>
      </c>
      <c r="N508">
        <v>1</v>
      </c>
      <c r="O508">
        <v>1</v>
      </c>
      <c r="P508">
        <v>1</v>
      </c>
      <c r="Q508">
        <v>0</v>
      </c>
      <c r="R508">
        <v>81</v>
      </c>
      <c r="S508" s="5">
        <v>2</v>
      </c>
      <c r="T508" s="5">
        <v>3</v>
      </c>
      <c r="U508" s="5">
        <v>3</v>
      </c>
      <c r="V508" s="5">
        <v>8</v>
      </c>
    </row>
    <row r="509" spans="1:22" x14ac:dyDescent="0.35">
      <c r="A509">
        <v>508</v>
      </c>
      <c r="B509">
        <v>61</v>
      </c>
      <c r="C509" t="s">
        <v>72</v>
      </c>
      <c r="D509" t="s">
        <v>6</v>
      </c>
      <c r="E509" t="s">
        <v>10</v>
      </c>
      <c r="F509" t="s">
        <v>11</v>
      </c>
      <c r="G509">
        <v>0</v>
      </c>
      <c r="H509">
        <v>33</v>
      </c>
      <c r="I509" t="s">
        <v>18</v>
      </c>
      <c r="J509" s="1">
        <v>1536.61</v>
      </c>
      <c r="K509" s="1">
        <v>307.322</v>
      </c>
      <c r="L509">
        <v>5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93</v>
      </c>
      <c r="S509" s="5">
        <v>1</v>
      </c>
      <c r="T509" s="5">
        <v>2</v>
      </c>
      <c r="U509" s="5">
        <v>2</v>
      </c>
      <c r="V509" s="5">
        <v>5</v>
      </c>
    </row>
    <row r="510" spans="1:22" x14ac:dyDescent="0.35">
      <c r="A510">
        <v>509</v>
      </c>
      <c r="B510">
        <v>21</v>
      </c>
      <c r="C510" t="s">
        <v>73</v>
      </c>
      <c r="D510" t="s">
        <v>6</v>
      </c>
      <c r="E510" t="s">
        <v>8</v>
      </c>
      <c r="F510" t="s">
        <v>12</v>
      </c>
      <c r="G510">
        <v>1</v>
      </c>
      <c r="H510">
        <v>22</v>
      </c>
      <c r="I510" t="s">
        <v>17</v>
      </c>
      <c r="J510" s="1">
        <v>2446.54</v>
      </c>
      <c r="K510" s="1">
        <v>271.83777777777777</v>
      </c>
      <c r="L510">
        <v>9</v>
      </c>
      <c r="M510">
        <v>1</v>
      </c>
      <c r="N510">
        <v>1</v>
      </c>
      <c r="O510">
        <v>0</v>
      </c>
      <c r="P510">
        <v>1</v>
      </c>
      <c r="Q510">
        <v>0</v>
      </c>
      <c r="R510">
        <v>4</v>
      </c>
      <c r="S510" s="5">
        <v>3</v>
      </c>
      <c r="T510" s="5">
        <v>3</v>
      </c>
      <c r="U510" s="5">
        <v>3</v>
      </c>
      <c r="V510" s="5">
        <v>9</v>
      </c>
    </row>
    <row r="511" spans="1:22" x14ac:dyDescent="0.35">
      <c r="A511">
        <v>510</v>
      </c>
      <c r="B511">
        <v>30</v>
      </c>
      <c r="C511" t="s">
        <v>73</v>
      </c>
      <c r="D511" t="s">
        <v>5</v>
      </c>
      <c r="E511" t="s">
        <v>7</v>
      </c>
      <c r="F511" t="s">
        <v>12</v>
      </c>
      <c r="G511">
        <v>1</v>
      </c>
      <c r="H511">
        <v>31</v>
      </c>
      <c r="I511" t="s">
        <v>16</v>
      </c>
      <c r="J511" s="1">
        <v>392.1</v>
      </c>
      <c r="K511" s="1">
        <v>392.1</v>
      </c>
      <c r="L511">
        <v>1</v>
      </c>
      <c r="M511">
        <v>1</v>
      </c>
      <c r="N511">
        <v>1</v>
      </c>
      <c r="O511">
        <v>1</v>
      </c>
      <c r="P511">
        <v>0</v>
      </c>
      <c r="Q511">
        <v>0</v>
      </c>
      <c r="R511">
        <v>274</v>
      </c>
      <c r="S511" s="5">
        <v>1</v>
      </c>
      <c r="T511" s="5">
        <v>1</v>
      </c>
      <c r="U511" s="5">
        <v>1</v>
      </c>
      <c r="V511" s="5">
        <v>3</v>
      </c>
    </row>
    <row r="512" spans="1:22" x14ac:dyDescent="0.35">
      <c r="A512">
        <v>511</v>
      </c>
      <c r="B512">
        <v>54</v>
      </c>
      <c r="C512" t="s">
        <v>74</v>
      </c>
      <c r="D512" t="s">
        <v>5</v>
      </c>
      <c r="E512" t="s">
        <v>10</v>
      </c>
      <c r="F512" t="s">
        <v>13</v>
      </c>
      <c r="G512">
        <v>1</v>
      </c>
      <c r="H512">
        <v>19</v>
      </c>
      <c r="I512" t="s">
        <v>18</v>
      </c>
      <c r="J512" s="1">
        <v>2027.88</v>
      </c>
      <c r="K512" s="1">
        <v>225.32000000000002</v>
      </c>
      <c r="L512">
        <v>9</v>
      </c>
      <c r="M512">
        <v>1</v>
      </c>
      <c r="N512">
        <v>0</v>
      </c>
      <c r="O512">
        <v>1</v>
      </c>
      <c r="P512">
        <v>0</v>
      </c>
      <c r="Q512">
        <v>0</v>
      </c>
      <c r="R512">
        <v>7</v>
      </c>
      <c r="S512" s="5">
        <v>3</v>
      </c>
      <c r="T512" s="5">
        <v>3</v>
      </c>
      <c r="U512" s="5">
        <v>3</v>
      </c>
      <c r="V512" s="5">
        <v>9</v>
      </c>
    </row>
    <row r="513" spans="1:22" x14ac:dyDescent="0.35">
      <c r="A513">
        <v>512</v>
      </c>
      <c r="B513">
        <v>19</v>
      </c>
      <c r="C513" t="s">
        <v>73</v>
      </c>
      <c r="D513" t="s">
        <v>6</v>
      </c>
      <c r="E513" t="s">
        <v>7</v>
      </c>
      <c r="F513" t="s">
        <v>13</v>
      </c>
      <c r="G513">
        <v>0</v>
      </c>
      <c r="H513">
        <v>48</v>
      </c>
      <c r="I513" t="s">
        <v>16</v>
      </c>
      <c r="J513" s="1">
        <v>1362.35</v>
      </c>
      <c r="K513" s="1">
        <v>272.46999999999997</v>
      </c>
      <c r="L513">
        <v>5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28</v>
      </c>
      <c r="S513" s="5">
        <v>3</v>
      </c>
      <c r="T513" s="5">
        <v>2</v>
      </c>
      <c r="U513" s="5">
        <v>2</v>
      </c>
      <c r="V513" s="5">
        <v>7</v>
      </c>
    </row>
    <row r="514" spans="1:22" x14ac:dyDescent="0.35">
      <c r="A514">
        <v>513</v>
      </c>
      <c r="B514">
        <v>67</v>
      </c>
      <c r="C514" t="s">
        <v>72</v>
      </c>
      <c r="D514" t="s">
        <v>6</v>
      </c>
      <c r="E514" t="s">
        <v>8</v>
      </c>
      <c r="F514" t="s">
        <v>13</v>
      </c>
      <c r="G514">
        <v>0</v>
      </c>
      <c r="H514">
        <v>18</v>
      </c>
      <c r="I514" t="s">
        <v>18</v>
      </c>
      <c r="J514" s="1">
        <v>172.81</v>
      </c>
      <c r="K514" s="1">
        <v>172.81</v>
      </c>
      <c r="L514">
        <v>1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195</v>
      </c>
      <c r="S514" s="5">
        <v>1</v>
      </c>
      <c r="T514" s="5">
        <v>1</v>
      </c>
      <c r="U514" s="5">
        <v>1</v>
      </c>
      <c r="V514" s="5">
        <v>3</v>
      </c>
    </row>
    <row r="515" spans="1:22" x14ac:dyDescent="0.35">
      <c r="A515">
        <v>514</v>
      </c>
      <c r="B515">
        <v>18</v>
      </c>
      <c r="C515" t="s">
        <v>73</v>
      </c>
      <c r="D515" t="s">
        <v>6</v>
      </c>
      <c r="E515" t="s">
        <v>8</v>
      </c>
      <c r="F515" t="s">
        <v>12</v>
      </c>
      <c r="G515">
        <v>0</v>
      </c>
      <c r="H515">
        <v>1</v>
      </c>
      <c r="I515" t="s">
        <v>16</v>
      </c>
      <c r="J515" s="1">
        <v>1606.29</v>
      </c>
      <c r="K515" s="1">
        <v>267.71499999999997</v>
      </c>
      <c r="L515">
        <v>6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64</v>
      </c>
      <c r="S515" s="5">
        <v>2</v>
      </c>
      <c r="T515" s="5">
        <v>2</v>
      </c>
      <c r="U515" s="5">
        <v>3</v>
      </c>
      <c r="V515" s="5">
        <v>7</v>
      </c>
    </row>
    <row r="516" spans="1:22" x14ac:dyDescent="0.35">
      <c r="A516">
        <v>515</v>
      </c>
      <c r="B516">
        <v>57</v>
      </c>
      <c r="C516" t="s">
        <v>74</v>
      </c>
      <c r="D516" t="s">
        <v>6</v>
      </c>
      <c r="E516" t="s">
        <v>10</v>
      </c>
      <c r="F516" t="s">
        <v>11</v>
      </c>
      <c r="G516">
        <v>0</v>
      </c>
      <c r="H516">
        <v>19</v>
      </c>
      <c r="I516" t="s">
        <v>18</v>
      </c>
      <c r="J516" s="1">
        <v>1639.5800000000004</v>
      </c>
      <c r="K516" s="1">
        <v>273.26333333333338</v>
      </c>
      <c r="L516">
        <v>6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28</v>
      </c>
      <c r="S516" s="5">
        <v>3</v>
      </c>
      <c r="T516" s="5">
        <v>2</v>
      </c>
      <c r="U516" s="5">
        <v>3</v>
      </c>
      <c r="V516" s="5">
        <v>8</v>
      </c>
    </row>
    <row r="517" spans="1:22" x14ac:dyDescent="0.35">
      <c r="A517">
        <v>516</v>
      </c>
      <c r="B517">
        <v>42</v>
      </c>
      <c r="C517" t="s">
        <v>75</v>
      </c>
      <c r="D517" t="s">
        <v>6</v>
      </c>
      <c r="E517" t="s">
        <v>10</v>
      </c>
      <c r="F517" t="s">
        <v>11</v>
      </c>
      <c r="G517">
        <v>1</v>
      </c>
      <c r="H517">
        <v>14</v>
      </c>
      <c r="I517" t="s">
        <v>16</v>
      </c>
      <c r="J517" s="1">
        <v>612.22</v>
      </c>
      <c r="K517" s="1">
        <v>204.07333333333335</v>
      </c>
      <c r="L517">
        <v>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98</v>
      </c>
      <c r="S517" s="5">
        <v>1</v>
      </c>
      <c r="T517" s="5">
        <v>2</v>
      </c>
      <c r="U517" s="5">
        <v>1</v>
      </c>
      <c r="V517" s="5">
        <v>4</v>
      </c>
    </row>
    <row r="518" spans="1:22" x14ac:dyDescent="0.35">
      <c r="A518">
        <v>517</v>
      </c>
      <c r="B518">
        <v>54</v>
      </c>
      <c r="C518" t="s">
        <v>74</v>
      </c>
      <c r="D518" t="s">
        <v>6</v>
      </c>
      <c r="E518" t="s">
        <v>10</v>
      </c>
      <c r="F518" t="s">
        <v>11</v>
      </c>
      <c r="G518">
        <v>0</v>
      </c>
      <c r="H518">
        <v>11</v>
      </c>
      <c r="I518" t="s">
        <v>18</v>
      </c>
      <c r="J518" s="1">
        <v>1073.98</v>
      </c>
      <c r="K518" s="1">
        <v>214.79599999999999</v>
      </c>
      <c r="L518">
        <v>5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10</v>
      </c>
      <c r="S518" s="5">
        <v>3</v>
      </c>
      <c r="T518" s="5">
        <v>2</v>
      </c>
      <c r="U518" s="5">
        <v>2</v>
      </c>
      <c r="V518" s="5">
        <v>7</v>
      </c>
    </row>
    <row r="519" spans="1:22" x14ac:dyDescent="0.35">
      <c r="A519">
        <v>518</v>
      </c>
      <c r="B519">
        <v>53</v>
      </c>
      <c r="C519" t="s">
        <v>74</v>
      </c>
      <c r="D519" t="s">
        <v>6</v>
      </c>
      <c r="E519" t="s">
        <v>10</v>
      </c>
      <c r="F519" t="s">
        <v>13</v>
      </c>
      <c r="G519">
        <v>1</v>
      </c>
      <c r="H519">
        <v>8</v>
      </c>
      <c r="I519" t="s">
        <v>16</v>
      </c>
      <c r="J519" s="1">
        <v>3078.6</v>
      </c>
      <c r="K519" s="1">
        <v>342.06666666666666</v>
      </c>
      <c r="L519">
        <v>9</v>
      </c>
      <c r="M519">
        <v>2</v>
      </c>
      <c r="N519">
        <v>1</v>
      </c>
      <c r="O519">
        <v>0</v>
      </c>
      <c r="P519">
        <v>1</v>
      </c>
      <c r="Q519">
        <v>1</v>
      </c>
      <c r="R519">
        <v>48</v>
      </c>
      <c r="S519" s="5">
        <v>2</v>
      </c>
      <c r="T519" s="5">
        <v>3</v>
      </c>
      <c r="U519" s="5">
        <v>3</v>
      </c>
      <c r="V519" s="5">
        <v>8</v>
      </c>
    </row>
    <row r="520" spans="1:22" x14ac:dyDescent="0.35">
      <c r="A520">
        <v>519</v>
      </c>
      <c r="B520">
        <v>23</v>
      </c>
      <c r="C520" t="s">
        <v>73</v>
      </c>
      <c r="D520" t="s">
        <v>6</v>
      </c>
      <c r="E520" t="s">
        <v>10</v>
      </c>
      <c r="F520" t="s">
        <v>11</v>
      </c>
      <c r="G520">
        <v>0</v>
      </c>
      <c r="H520">
        <v>18</v>
      </c>
      <c r="I520" t="s">
        <v>16</v>
      </c>
      <c r="J520" s="1">
        <v>1894.4</v>
      </c>
      <c r="K520" s="1">
        <v>210.48888888888891</v>
      </c>
      <c r="L520">
        <v>9</v>
      </c>
      <c r="M520">
        <v>2</v>
      </c>
      <c r="N520">
        <v>1</v>
      </c>
      <c r="O520">
        <v>1</v>
      </c>
      <c r="P520">
        <v>0</v>
      </c>
      <c r="Q520">
        <v>0</v>
      </c>
      <c r="R520">
        <v>39</v>
      </c>
      <c r="S520" s="5">
        <v>2</v>
      </c>
      <c r="T520" s="5">
        <v>3</v>
      </c>
      <c r="U520" s="5">
        <v>3</v>
      </c>
      <c r="V520" s="5">
        <v>8</v>
      </c>
    </row>
    <row r="521" spans="1:22" x14ac:dyDescent="0.35">
      <c r="A521">
        <v>520</v>
      </c>
      <c r="B521">
        <v>24</v>
      </c>
      <c r="C521" t="s">
        <v>73</v>
      </c>
      <c r="D521" t="s">
        <v>5</v>
      </c>
      <c r="E521" t="s">
        <v>8</v>
      </c>
      <c r="F521" t="s">
        <v>13</v>
      </c>
      <c r="G521">
        <v>0</v>
      </c>
      <c r="H521">
        <v>9</v>
      </c>
      <c r="I521" t="s">
        <v>16</v>
      </c>
      <c r="J521" s="1">
        <v>1959.29</v>
      </c>
      <c r="K521" s="1">
        <v>391.858</v>
      </c>
      <c r="L521">
        <v>5</v>
      </c>
      <c r="M521">
        <v>2</v>
      </c>
      <c r="N521">
        <v>0</v>
      </c>
      <c r="O521">
        <v>1</v>
      </c>
      <c r="P521">
        <v>1</v>
      </c>
      <c r="Q521">
        <v>0</v>
      </c>
      <c r="R521">
        <v>15</v>
      </c>
      <c r="S521" s="5">
        <v>3</v>
      </c>
      <c r="T521" s="5">
        <v>2</v>
      </c>
      <c r="U521" s="5">
        <v>3</v>
      </c>
      <c r="V521" s="5">
        <v>8</v>
      </c>
    </row>
    <row r="522" spans="1:22" x14ac:dyDescent="0.35">
      <c r="A522">
        <v>521</v>
      </c>
      <c r="B522">
        <v>21</v>
      </c>
      <c r="C522" t="s">
        <v>73</v>
      </c>
      <c r="D522" t="s">
        <v>6</v>
      </c>
      <c r="E522" t="s">
        <v>9</v>
      </c>
      <c r="F522" t="s">
        <v>12</v>
      </c>
      <c r="G522">
        <v>1</v>
      </c>
      <c r="H522">
        <v>43</v>
      </c>
      <c r="I522" t="s">
        <v>17</v>
      </c>
      <c r="J522" s="1">
        <v>645.75</v>
      </c>
      <c r="K522" s="1">
        <v>322.875</v>
      </c>
      <c r="L522">
        <v>2</v>
      </c>
      <c r="M522">
        <v>2</v>
      </c>
      <c r="N522">
        <v>1</v>
      </c>
      <c r="O522">
        <v>1</v>
      </c>
      <c r="P522">
        <v>0</v>
      </c>
      <c r="Q522">
        <v>1</v>
      </c>
      <c r="R522">
        <v>263</v>
      </c>
      <c r="S522" s="5">
        <v>1</v>
      </c>
      <c r="T522" s="5">
        <v>1</v>
      </c>
      <c r="U522" s="5">
        <v>1</v>
      </c>
      <c r="V522" s="5">
        <v>3</v>
      </c>
    </row>
    <row r="523" spans="1:22" x14ac:dyDescent="0.35">
      <c r="A523">
        <v>522</v>
      </c>
      <c r="B523">
        <v>52</v>
      </c>
      <c r="C523" t="s">
        <v>74</v>
      </c>
      <c r="D523" t="s">
        <v>5</v>
      </c>
      <c r="E523" t="s">
        <v>10</v>
      </c>
      <c r="F523" t="s">
        <v>11</v>
      </c>
      <c r="G523">
        <v>0</v>
      </c>
      <c r="H523">
        <v>28</v>
      </c>
      <c r="I523" t="s">
        <v>17</v>
      </c>
      <c r="J523" s="1">
        <v>2557.54</v>
      </c>
      <c r="K523" s="1">
        <v>284.17111111111109</v>
      </c>
      <c r="L523">
        <v>9</v>
      </c>
      <c r="M523">
        <v>2</v>
      </c>
      <c r="N523">
        <v>1</v>
      </c>
      <c r="O523">
        <v>0</v>
      </c>
      <c r="P523">
        <v>0</v>
      </c>
      <c r="Q523">
        <v>1</v>
      </c>
      <c r="R523">
        <v>52</v>
      </c>
      <c r="S523" s="5">
        <v>2</v>
      </c>
      <c r="T523" s="5">
        <v>3</v>
      </c>
      <c r="U523" s="5">
        <v>3</v>
      </c>
      <c r="V523" s="5">
        <v>8</v>
      </c>
    </row>
    <row r="524" spans="1:22" x14ac:dyDescent="0.35">
      <c r="A524">
        <v>523</v>
      </c>
      <c r="B524">
        <v>58</v>
      </c>
      <c r="C524" t="s">
        <v>74</v>
      </c>
      <c r="D524" t="s">
        <v>5</v>
      </c>
      <c r="E524" t="s">
        <v>9</v>
      </c>
      <c r="F524" t="s">
        <v>13</v>
      </c>
      <c r="G524">
        <v>0</v>
      </c>
      <c r="H524">
        <v>11</v>
      </c>
      <c r="I524" t="s">
        <v>16</v>
      </c>
      <c r="J524" s="1">
        <v>2090.02</v>
      </c>
      <c r="K524" s="1">
        <v>232.22444444444443</v>
      </c>
      <c r="L524">
        <v>9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7</v>
      </c>
      <c r="S524" s="5">
        <v>3</v>
      </c>
      <c r="T524" s="5">
        <v>3</v>
      </c>
      <c r="U524" s="5">
        <v>3</v>
      </c>
      <c r="V524" s="5">
        <v>9</v>
      </c>
    </row>
    <row r="525" spans="1:22" x14ac:dyDescent="0.35">
      <c r="A525">
        <v>524</v>
      </c>
      <c r="B525">
        <v>51</v>
      </c>
      <c r="C525" t="s">
        <v>74</v>
      </c>
      <c r="D525" t="s">
        <v>6</v>
      </c>
      <c r="E525" t="s">
        <v>10</v>
      </c>
      <c r="F525" t="s">
        <v>11</v>
      </c>
      <c r="G525">
        <v>0</v>
      </c>
      <c r="H525">
        <v>49</v>
      </c>
      <c r="I525" t="s">
        <v>18</v>
      </c>
      <c r="J525" s="1">
        <v>2565.36</v>
      </c>
      <c r="K525" s="1">
        <v>285.04000000000002</v>
      </c>
      <c r="L525">
        <v>9</v>
      </c>
      <c r="M525">
        <v>1</v>
      </c>
      <c r="N525">
        <v>1</v>
      </c>
      <c r="O525">
        <v>0</v>
      </c>
      <c r="P525">
        <v>0</v>
      </c>
      <c r="Q525">
        <v>1</v>
      </c>
      <c r="R525">
        <v>38</v>
      </c>
      <c r="S525" s="5">
        <v>2</v>
      </c>
      <c r="T525" s="5">
        <v>3</v>
      </c>
      <c r="U525" s="5">
        <v>3</v>
      </c>
      <c r="V525" s="5">
        <v>8</v>
      </c>
    </row>
    <row r="526" spans="1:22" x14ac:dyDescent="0.35">
      <c r="A526">
        <v>525</v>
      </c>
      <c r="B526">
        <v>46</v>
      </c>
      <c r="C526" t="s">
        <v>74</v>
      </c>
      <c r="D526" t="s">
        <v>6</v>
      </c>
      <c r="E526" t="s">
        <v>10</v>
      </c>
      <c r="F526" t="s">
        <v>12</v>
      </c>
      <c r="G526">
        <v>0</v>
      </c>
      <c r="H526">
        <v>41</v>
      </c>
      <c r="I526" t="s">
        <v>17</v>
      </c>
      <c r="J526" s="1">
        <v>462.44</v>
      </c>
      <c r="K526" s="1">
        <v>115.61</v>
      </c>
      <c r="L526">
        <v>4</v>
      </c>
      <c r="M526">
        <v>1</v>
      </c>
      <c r="N526">
        <v>1</v>
      </c>
      <c r="O526">
        <v>0</v>
      </c>
      <c r="P526">
        <v>1</v>
      </c>
      <c r="Q526">
        <v>0</v>
      </c>
      <c r="R526">
        <v>106</v>
      </c>
      <c r="S526" s="5">
        <v>1</v>
      </c>
      <c r="T526" s="5">
        <v>2</v>
      </c>
      <c r="U526" s="5">
        <v>1</v>
      </c>
      <c r="V526" s="5">
        <v>4</v>
      </c>
    </row>
    <row r="527" spans="1:22" x14ac:dyDescent="0.35">
      <c r="A527">
        <v>526</v>
      </c>
      <c r="B527">
        <v>22</v>
      </c>
      <c r="C527" t="s">
        <v>73</v>
      </c>
      <c r="D527" t="s">
        <v>5</v>
      </c>
      <c r="E527" t="s">
        <v>10</v>
      </c>
      <c r="F527" t="s">
        <v>11</v>
      </c>
      <c r="G527">
        <v>0</v>
      </c>
      <c r="H527">
        <v>30</v>
      </c>
      <c r="I527" t="s">
        <v>18</v>
      </c>
      <c r="J527" s="1">
        <v>446.32</v>
      </c>
      <c r="K527" s="1">
        <v>111.58</v>
      </c>
      <c r="L527">
        <v>4</v>
      </c>
      <c r="M527">
        <v>1</v>
      </c>
      <c r="N527">
        <v>0</v>
      </c>
      <c r="O527">
        <v>0</v>
      </c>
      <c r="P527">
        <v>0</v>
      </c>
      <c r="Q527">
        <v>1</v>
      </c>
      <c r="R527">
        <v>97</v>
      </c>
      <c r="S527" s="5">
        <v>1</v>
      </c>
      <c r="T527" s="5">
        <v>2</v>
      </c>
      <c r="U527" s="5">
        <v>1</v>
      </c>
      <c r="V527" s="5">
        <v>4</v>
      </c>
    </row>
    <row r="528" spans="1:22" x14ac:dyDescent="0.35">
      <c r="A528">
        <v>527</v>
      </c>
      <c r="B528">
        <v>44</v>
      </c>
      <c r="C528" t="s">
        <v>75</v>
      </c>
      <c r="D528" t="s">
        <v>5</v>
      </c>
      <c r="E528" t="s">
        <v>8</v>
      </c>
      <c r="F528" t="s">
        <v>11</v>
      </c>
      <c r="G528">
        <v>0</v>
      </c>
      <c r="H528">
        <v>44</v>
      </c>
      <c r="I528" t="s">
        <v>18</v>
      </c>
      <c r="J528" s="1">
        <v>343.51000000000005</v>
      </c>
      <c r="K528" s="1">
        <v>114.50333333333334</v>
      </c>
      <c r="L528">
        <v>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9</v>
      </c>
      <c r="S528" s="5">
        <v>3</v>
      </c>
      <c r="T528" s="5">
        <v>2</v>
      </c>
      <c r="U528" s="5">
        <v>1</v>
      </c>
      <c r="V528" s="5">
        <v>6</v>
      </c>
    </row>
    <row r="529" spans="1:22" x14ac:dyDescent="0.35">
      <c r="A529">
        <v>528</v>
      </c>
      <c r="B529">
        <v>50</v>
      </c>
      <c r="C529" t="s">
        <v>74</v>
      </c>
      <c r="D529" t="s">
        <v>6</v>
      </c>
      <c r="E529" t="s">
        <v>9</v>
      </c>
      <c r="F529" t="s">
        <v>12</v>
      </c>
      <c r="G529">
        <v>0</v>
      </c>
      <c r="H529">
        <v>27</v>
      </c>
      <c r="I529" t="s">
        <v>18</v>
      </c>
      <c r="J529" s="1">
        <v>1353.55</v>
      </c>
      <c r="K529" s="1">
        <v>225.59166666666667</v>
      </c>
      <c r="L529">
        <v>6</v>
      </c>
      <c r="M529">
        <v>1</v>
      </c>
      <c r="N529">
        <v>0</v>
      </c>
      <c r="O529">
        <v>0</v>
      </c>
      <c r="P529">
        <v>0</v>
      </c>
      <c r="Q529">
        <v>1</v>
      </c>
      <c r="R529">
        <v>12</v>
      </c>
      <c r="S529" s="5">
        <v>3</v>
      </c>
      <c r="T529" s="5">
        <v>2</v>
      </c>
      <c r="U529" s="5">
        <v>2</v>
      </c>
      <c r="V529" s="5">
        <v>7</v>
      </c>
    </row>
    <row r="530" spans="1:22" x14ac:dyDescent="0.35">
      <c r="A530">
        <v>529</v>
      </c>
      <c r="B530">
        <v>63</v>
      </c>
      <c r="C530" t="s">
        <v>72</v>
      </c>
      <c r="D530" t="s">
        <v>6</v>
      </c>
      <c r="E530" t="s">
        <v>8</v>
      </c>
      <c r="F530" t="s">
        <v>13</v>
      </c>
      <c r="G530">
        <v>0</v>
      </c>
      <c r="H530">
        <v>26</v>
      </c>
      <c r="I530" t="s">
        <v>18</v>
      </c>
      <c r="J530" s="1">
        <v>2333.7200000000003</v>
      </c>
      <c r="K530" s="1">
        <v>291.71500000000003</v>
      </c>
      <c r="L530">
        <v>8</v>
      </c>
      <c r="M530">
        <v>1</v>
      </c>
      <c r="N530">
        <v>1</v>
      </c>
      <c r="O530">
        <v>0</v>
      </c>
      <c r="P530">
        <v>0</v>
      </c>
      <c r="Q530">
        <v>1</v>
      </c>
      <c r="R530">
        <v>40</v>
      </c>
      <c r="S530" s="5">
        <v>2</v>
      </c>
      <c r="T530" s="5">
        <v>3</v>
      </c>
      <c r="U530" s="5">
        <v>3</v>
      </c>
      <c r="V530" s="5">
        <v>8</v>
      </c>
    </row>
    <row r="531" spans="1:22" x14ac:dyDescent="0.35">
      <c r="A531">
        <v>530</v>
      </c>
      <c r="B531">
        <v>69</v>
      </c>
      <c r="C531" t="s">
        <v>72</v>
      </c>
      <c r="D531" t="s">
        <v>6</v>
      </c>
      <c r="E531" t="s">
        <v>7</v>
      </c>
      <c r="F531" t="s">
        <v>13</v>
      </c>
      <c r="G531">
        <v>1</v>
      </c>
      <c r="H531">
        <v>49</v>
      </c>
      <c r="I531" t="s">
        <v>16</v>
      </c>
      <c r="J531" s="1">
        <v>1311.6399999999999</v>
      </c>
      <c r="K531" s="1">
        <v>218.60666666666665</v>
      </c>
      <c r="L531">
        <v>6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35</v>
      </c>
      <c r="S531" s="5">
        <v>2</v>
      </c>
      <c r="T531" s="5">
        <v>2</v>
      </c>
      <c r="U531" s="5">
        <v>2</v>
      </c>
      <c r="V531" s="5">
        <v>6</v>
      </c>
    </row>
    <row r="532" spans="1:22" x14ac:dyDescent="0.35">
      <c r="A532">
        <v>531</v>
      </c>
      <c r="B532">
        <v>27</v>
      </c>
      <c r="C532" t="s">
        <v>73</v>
      </c>
      <c r="D532" t="s">
        <v>6</v>
      </c>
      <c r="E532" t="s">
        <v>10</v>
      </c>
      <c r="F532" t="s">
        <v>13</v>
      </c>
      <c r="G532">
        <v>1</v>
      </c>
      <c r="H532">
        <v>12</v>
      </c>
      <c r="I532" t="s">
        <v>18</v>
      </c>
      <c r="J532" s="1">
        <v>2008.12</v>
      </c>
      <c r="K532" s="1">
        <v>223.12444444444444</v>
      </c>
      <c r="L532">
        <v>9</v>
      </c>
      <c r="M532">
        <v>1</v>
      </c>
      <c r="N532">
        <v>1</v>
      </c>
      <c r="O532">
        <v>1</v>
      </c>
      <c r="P532">
        <v>0</v>
      </c>
      <c r="Q532">
        <v>0</v>
      </c>
      <c r="R532">
        <v>46</v>
      </c>
      <c r="S532" s="5">
        <v>2</v>
      </c>
      <c r="T532" s="5">
        <v>3</v>
      </c>
      <c r="U532" s="5">
        <v>3</v>
      </c>
      <c r="V532" s="5">
        <v>8</v>
      </c>
    </row>
    <row r="533" spans="1:22" x14ac:dyDescent="0.35">
      <c r="A533">
        <v>532</v>
      </c>
      <c r="B533">
        <v>23</v>
      </c>
      <c r="C533" t="s">
        <v>73</v>
      </c>
      <c r="D533" t="s">
        <v>5</v>
      </c>
      <c r="E533" t="s">
        <v>10</v>
      </c>
      <c r="F533" t="s">
        <v>11</v>
      </c>
      <c r="G533">
        <v>0</v>
      </c>
      <c r="H533">
        <v>38</v>
      </c>
      <c r="I533" t="s">
        <v>17</v>
      </c>
      <c r="J533" s="1">
        <v>2372.58</v>
      </c>
      <c r="K533" s="1">
        <v>296.57249999999999</v>
      </c>
      <c r="L533">
        <v>8</v>
      </c>
      <c r="M533">
        <v>2</v>
      </c>
      <c r="N533">
        <v>1</v>
      </c>
      <c r="O533">
        <v>1</v>
      </c>
      <c r="P533">
        <v>0</v>
      </c>
      <c r="Q533">
        <v>1</v>
      </c>
      <c r="R533">
        <v>40</v>
      </c>
      <c r="S533" s="5">
        <v>2</v>
      </c>
      <c r="T533" s="5">
        <v>3</v>
      </c>
      <c r="U533" s="5">
        <v>3</v>
      </c>
      <c r="V533" s="5">
        <v>8</v>
      </c>
    </row>
    <row r="534" spans="1:22" x14ac:dyDescent="0.35">
      <c r="A534">
        <v>533</v>
      </c>
      <c r="B534">
        <v>51</v>
      </c>
      <c r="C534" t="s">
        <v>74</v>
      </c>
      <c r="D534" t="s">
        <v>5</v>
      </c>
      <c r="E534" t="s">
        <v>9</v>
      </c>
      <c r="F534" t="s">
        <v>11</v>
      </c>
      <c r="G534">
        <v>0</v>
      </c>
      <c r="H534">
        <v>27</v>
      </c>
      <c r="I534" t="s">
        <v>16</v>
      </c>
      <c r="J534" s="1">
        <v>388.31</v>
      </c>
      <c r="K534" s="1">
        <v>388.31</v>
      </c>
      <c r="L534">
        <v>1</v>
      </c>
      <c r="M534">
        <v>1</v>
      </c>
      <c r="N534">
        <v>1</v>
      </c>
      <c r="O534">
        <v>0</v>
      </c>
      <c r="P534">
        <v>0</v>
      </c>
      <c r="Q534">
        <v>1</v>
      </c>
      <c r="R534">
        <v>111</v>
      </c>
      <c r="S534" s="5">
        <v>1</v>
      </c>
      <c r="T534" s="5">
        <v>1</v>
      </c>
      <c r="U534" s="5">
        <v>1</v>
      </c>
      <c r="V534" s="5">
        <v>3</v>
      </c>
    </row>
    <row r="535" spans="1:22" x14ac:dyDescent="0.35">
      <c r="A535">
        <v>534</v>
      </c>
      <c r="B535">
        <v>25</v>
      </c>
      <c r="C535" t="s">
        <v>73</v>
      </c>
      <c r="D535" t="s">
        <v>5</v>
      </c>
      <c r="E535" t="s">
        <v>8</v>
      </c>
      <c r="F535" t="s">
        <v>13</v>
      </c>
      <c r="G535">
        <v>0</v>
      </c>
      <c r="H535">
        <v>37</v>
      </c>
      <c r="I535" t="s">
        <v>16</v>
      </c>
      <c r="J535" s="1">
        <v>536.30999999999995</v>
      </c>
      <c r="K535" s="1">
        <v>178.76999999999998</v>
      </c>
      <c r="L535">
        <v>3</v>
      </c>
      <c r="M535">
        <v>2</v>
      </c>
      <c r="N535">
        <v>1</v>
      </c>
      <c r="O535">
        <v>1</v>
      </c>
      <c r="P535">
        <v>1</v>
      </c>
      <c r="Q535">
        <v>0</v>
      </c>
      <c r="R535">
        <v>28</v>
      </c>
      <c r="S535" s="5">
        <v>3</v>
      </c>
      <c r="T535" s="5">
        <v>2</v>
      </c>
      <c r="U535" s="5">
        <v>1</v>
      </c>
      <c r="V535" s="5">
        <v>6</v>
      </c>
    </row>
    <row r="536" spans="1:22" x14ac:dyDescent="0.35">
      <c r="A536">
        <v>535</v>
      </c>
      <c r="B536">
        <v>48</v>
      </c>
      <c r="C536" t="s">
        <v>74</v>
      </c>
      <c r="D536" t="s">
        <v>5</v>
      </c>
      <c r="E536" t="s">
        <v>8</v>
      </c>
      <c r="F536" t="s">
        <v>13</v>
      </c>
      <c r="G536">
        <v>0</v>
      </c>
      <c r="H536">
        <v>17</v>
      </c>
      <c r="I536" t="s">
        <v>16</v>
      </c>
      <c r="J536" s="1">
        <v>2145.98</v>
      </c>
      <c r="K536" s="1">
        <v>268.2475</v>
      </c>
      <c r="L536">
        <v>8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34</v>
      </c>
      <c r="S536" s="5">
        <v>2</v>
      </c>
      <c r="T536" s="5">
        <v>3</v>
      </c>
      <c r="U536" s="5">
        <v>3</v>
      </c>
      <c r="V536" s="5">
        <v>8</v>
      </c>
    </row>
    <row r="537" spans="1:22" x14ac:dyDescent="0.35">
      <c r="A537">
        <v>536</v>
      </c>
      <c r="B537">
        <v>26</v>
      </c>
      <c r="C537" t="s">
        <v>73</v>
      </c>
      <c r="D537" t="s">
        <v>5</v>
      </c>
      <c r="E537" t="s">
        <v>8</v>
      </c>
      <c r="F537" t="s">
        <v>11</v>
      </c>
      <c r="G537">
        <v>0</v>
      </c>
      <c r="H537">
        <v>46</v>
      </c>
      <c r="I537" t="s">
        <v>16</v>
      </c>
      <c r="J537" s="1">
        <v>1639.3600000000001</v>
      </c>
      <c r="K537" s="1">
        <v>409.84000000000003</v>
      </c>
      <c r="L537">
        <v>4</v>
      </c>
      <c r="M537">
        <v>1</v>
      </c>
      <c r="N537">
        <v>1</v>
      </c>
      <c r="O537">
        <v>0</v>
      </c>
      <c r="P537">
        <v>0</v>
      </c>
      <c r="Q537">
        <v>1</v>
      </c>
      <c r="R537">
        <v>133</v>
      </c>
      <c r="S537" s="5">
        <v>1</v>
      </c>
      <c r="T537" s="5">
        <v>2</v>
      </c>
      <c r="U537" s="5">
        <v>3</v>
      </c>
      <c r="V537" s="5">
        <v>6</v>
      </c>
    </row>
    <row r="538" spans="1:22" x14ac:dyDescent="0.35">
      <c r="A538">
        <v>537</v>
      </c>
      <c r="B538">
        <v>38</v>
      </c>
      <c r="C538" t="s">
        <v>75</v>
      </c>
      <c r="D538" t="s">
        <v>5</v>
      </c>
      <c r="E538" t="s">
        <v>10</v>
      </c>
      <c r="F538" t="s">
        <v>13</v>
      </c>
      <c r="G538">
        <v>1</v>
      </c>
      <c r="H538">
        <v>9</v>
      </c>
      <c r="I538" t="s">
        <v>18</v>
      </c>
      <c r="J538" s="1">
        <v>2067.5699999999997</v>
      </c>
      <c r="K538" s="1">
        <v>344.59499999999997</v>
      </c>
      <c r="L538">
        <v>6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2</v>
      </c>
      <c r="S538" s="5">
        <v>3</v>
      </c>
      <c r="T538" s="5">
        <v>2</v>
      </c>
      <c r="U538" s="5">
        <v>3</v>
      </c>
      <c r="V538" s="5">
        <v>8</v>
      </c>
    </row>
    <row r="539" spans="1:22" x14ac:dyDescent="0.35">
      <c r="A539">
        <v>538</v>
      </c>
      <c r="B539">
        <v>25</v>
      </c>
      <c r="C539" t="s">
        <v>73</v>
      </c>
      <c r="D539" t="s">
        <v>5</v>
      </c>
      <c r="E539" t="s">
        <v>9</v>
      </c>
      <c r="F539" t="s">
        <v>13</v>
      </c>
      <c r="G539">
        <v>0</v>
      </c>
      <c r="H539">
        <v>6</v>
      </c>
      <c r="I539" t="s">
        <v>18</v>
      </c>
      <c r="J539" s="1">
        <v>651.88</v>
      </c>
      <c r="K539" s="1">
        <v>325.94</v>
      </c>
      <c r="L539">
        <v>2</v>
      </c>
      <c r="M539">
        <v>2</v>
      </c>
      <c r="N539">
        <v>1</v>
      </c>
      <c r="O539">
        <v>0</v>
      </c>
      <c r="P539">
        <v>1</v>
      </c>
      <c r="Q539">
        <v>1</v>
      </c>
      <c r="R539">
        <v>164</v>
      </c>
      <c r="S539" s="5">
        <v>1</v>
      </c>
      <c r="T539" s="5">
        <v>1</v>
      </c>
      <c r="U539" s="5">
        <v>1</v>
      </c>
      <c r="V539" s="5">
        <v>3</v>
      </c>
    </row>
    <row r="540" spans="1:22" x14ac:dyDescent="0.35">
      <c r="A540">
        <v>539</v>
      </c>
      <c r="B540">
        <v>21</v>
      </c>
      <c r="C540" t="s">
        <v>73</v>
      </c>
      <c r="D540" t="s">
        <v>6</v>
      </c>
      <c r="E540" t="s">
        <v>7</v>
      </c>
      <c r="F540" t="s">
        <v>11</v>
      </c>
      <c r="G540">
        <v>0</v>
      </c>
      <c r="H540">
        <v>13</v>
      </c>
      <c r="I540" t="s">
        <v>16</v>
      </c>
      <c r="J540" s="1">
        <v>1286.3499999999999</v>
      </c>
      <c r="K540" s="1">
        <v>214.39166666666665</v>
      </c>
      <c r="L540">
        <v>6</v>
      </c>
      <c r="M540">
        <v>2</v>
      </c>
      <c r="N540">
        <v>1</v>
      </c>
      <c r="O540">
        <v>0</v>
      </c>
      <c r="P540">
        <v>1</v>
      </c>
      <c r="Q540">
        <v>1</v>
      </c>
      <c r="R540">
        <v>115</v>
      </c>
      <c r="S540" s="5">
        <v>1</v>
      </c>
      <c r="T540" s="5">
        <v>2</v>
      </c>
      <c r="U540" s="5">
        <v>2</v>
      </c>
      <c r="V540" s="5">
        <v>5</v>
      </c>
    </row>
    <row r="541" spans="1:22" x14ac:dyDescent="0.35">
      <c r="A541">
        <v>540</v>
      </c>
      <c r="B541">
        <v>39</v>
      </c>
      <c r="C541" t="s">
        <v>75</v>
      </c>
      <c r="D541" t="s">
        <v>6</v>
      </c>
      <c r="E541" t="s">
        <v>7</v>
      </c>
      <c r="F541" t="s">
        <v>12</v>
      </c>
      <c r="G541">
        <v>0</v>
      </c>
      <c r="H541">
        <v>6</v>
      </c>
      <c r="I541" t="s">
        <v>18</v>
      </c>
      <c r="J541" s="1">
        <v>649.47</v>
      </c>
      <c r="K541" s="1">
        <v>324.73500000000001</v>
      </c>
      <c r="L541">
        <v>2</v>
      </c>
      <c r="M541">
        <v>1</v>
      </c>
      <c r="N541">
        <v>1</v>
      </c>
      <c r="O541">
        <v>0</v>
      </c>
      <c r="P541">
        <v>0</v>
      </c>
      <c r="Q541">
        <v>1</v>
      </c>
      <c r="R541">
        <v>245</v>
      </c>
      <c r="S541" s="5">
        <v>1</v>
      </c>
      <c r="T541" s="5">
        <v>1</v>
      </c>
      <c r="U541" s="5">
        <v>1</v>
      </c>
      <c r="V541" s="5">
        <v>3</v>
      </c>
    </row>
    <row r="542" spans="1:22" x14ac:dyDescent="0.35">
      <c r="A542">
        <v>541</v>
      </c>
      <c r="B542">
        <v>45</v>
      </c>
      <c r="C542" t="s">
        <v>75</v>
      </c>
      <c r="D542" t="s">
        <v>6</v>
      </c>
      <c r="E542" t="s">
        <v>8</v>
      </c>
      <c r="F542" t="s">
        <v>11</v>
      </c>
      <c r="G542">
        <v>0</v>
      </c>
      <c r="H542">
        <v>38</v>
      </c>
      <c r="I542" t="s">
        <v>16</v>
      </c>
      <c r="J542" s="1">
        <v>185.03</v>
      </c>
      <c r="K542" s="1">
        <v>92.515000000000001</v>
      </c>
      <c r="L542">
        <v>2</v>
      </c>
      <c r="M542">
        <v>2</v>
      </c>
      <c r="N542">
        <v>1</v>
      </c>
      <c r="O542">
        <v>1</v>
      </c>
      <c r="P542">
        <v>0</v>
      </c>
      <c r="Q542">
        <v>0</v>
      </c>
      <c r="R542">
        <v>176</v>
      </c>
      <c r="S542" s="5">
        <v>1</v>
      </c>
      <c r="T542" s="5">
        <v>1</v>
      </c>
      <c r="U542" s="5">
        <v>1</v>
      </c>
      <c r="V542" s="5">
        <v>3</v>
      </c>
    </row>
    <row r="543" spans="1:22" x14ac:dyDescent="0.35">
      <c r="A543">
        <v>542</v>
      </c>
      <c r="B543">
        <v>62</v>
      </c>
      <c r="C543" t="s">
        <v>72</v>
      </c>
      <c r="D543" t="s">
        <v>6</v>
      </c>
      <c r="E543" t="s">
        <v>9</v>
      </c>
      <c r="F543" t="s">
        <v>13</v>
      </c>
      <c r="G543">
        <v>0</v>
      </c>
      <c r="H543">
        <v>4</v>
      </c>
      <c r="I543" t="s">
        <v>16</v>
      </c>
      <c r="J543" s="1">
        <v>344.77</v>
      </c>
      <c r="K543" s="1">
        <v>114.92333333333333</v>
      </c>
      <c r="L543">
        <v>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85</v>
      </c>
      <c r="S543" s="5">
        <v>1</v>
      </c>
      <c r="T543" s="5">
        <v>2</v>
      </c>
      <c r="U543" s="5">
        <v>1</v>
      </c>
      <c r="V543" s="5">
        <v>4</v>
      </c>
    </row>
    <row r="544" spans="1:22" x14ac:dyDescent="0.35">
      <c r="A544">
        <v>543</v>
      </c>
      <c r="B544">
        <v>21</v>
      </c>
      <c r="C544" t="s">
        <v>73</v>
      </c>
      <c r="D544" t="s">
        <v>5</v>
      </c>
      <c r="E544" t="s">
        <v>8</v>
      </c>
      <c r="F544" t="s">
        <v>13</v>
      </c>
      <c r="G544">
        <v>1</v>
      </c>
      <c r="H544">
        <v>16</v>
      </c>
      <c r="I544" t="s">
        <v>18</v>
      </c>
      <c r="J544" s="1">
        <v>939.83</v>
      </c>
      <c r="K544" s="1">
        <v>187.96600000000001</v>
      </c>
      <c r="L544">
        <v>5</v>
      </c>
      <c r="M544">
        <v>1</v>
      </c>
      <c r="N544">
        <v>1</v>
      </c>
      <c r="O544">
        <v>1</v>
      </c>
      <c r="P544">
        <v>0</v>
      </c>
      <c r="Q544">
        <v>0</v>
      </c>
      <c r="R544">
        <v>22</v>
      </c>
      <c r="S544" s="5">
        <v>3</v>
      </c>
      <c r="T544" s="5">
        <v>2</v>
      </c>
      <c r="U544" s="5">
        <v>2</v>
      </c>
      <c r="V544" s="5">
        <v>7</v>
      </c>
    </row>
    <row r="545" spans="1:22" x14ac:dyDescent="0.35">
      <c r="A545">
        <v>544</v>
      </c>
      <c r="B545">
        <v>56</v>
      </c>
      <c r="C545" t="s">
        <v>74</v>
      </c>
      <c r="D545" t="s">
        <v>5</v>
      </c>
      <c r="E545" t="s">
        <v>8</v>
      </c>
      <c r="F545" t="s">
        <v>12</v>
      </c>
      <c r="G545">
        <v>0</v>
      </c>
      <c r="H545">
        <v>36</v>
      </c>
      <c r="I545" t="s">
        <v>17</v>
      </c>
      <c r="J545" s="1">
        <v>1099.45</v>
      </c>
      <c r="K545" s="1">
        <v>274.86250000000001</v>
      </c>
      <c r="L545">
        <v>4</v>
      </c>
      <c r="M545">
        <v>1</v>
      </c>
      <c r="N545">
        <v>1</v>
      </c>
      <c r="O545">
        <v>1</v>
      </c>
      <c r="P545">
        <v>0</v>
      </c>
      <c r="Q545">
        <v>0</v>
      </c>
      <c r="R545">
        <v>3</v>
      </c>
      <c r="S545" s="5">
        <v>3</v>
      </c>
      <c r="T545" s="5">
        <v>2</v>
      </c>
      <c r="U545" s="5">
        <v>2</v>
      </c>
      <c r="V545" s="5">
        <v>7</v>
      </c>
    </row>
    <row r="546" spans="1:22" x14ac:dyDescent="0.35">
      <c r="A546">
        <v>545</v>
      </c>
      <c r="B546">
        <v>38</v>
      </c>
      <c r="C546" t="s">
        <v>75</v>
      </c>
      <c r="D546" t="s">
        <v>6</v>
      </c>
      <c r="E546" t="s">
        <v>8</v>
      </c>
      <c r="F546" t="s">
        <v>12</v>
      </c>
      <c r="G546">
        <v>1</v>
      </c>
      <c r="H546">
        <v>43</v>
      </c>
      <c r="I546" t="s">
        <v>17</v>
      </c>
      <c r="J546" s="1">
        <v>452.87</v>
      </c>
      <c r="K546" s="1">
        <v>226.435</v>
      </c>
      <c r="L546">
        <v>2</v>
      </c>
      <c r="M546">
        <v>2</v>
      </c>
      <c r="N546">
        <v>0</v>
      </c>
      <c r="O546">
        <v>1</v>
      </c>
      <c r="P546">
        <v>1</v>
      </c>
      <c r="Q546">
        <v>0</v>
      </c>
      <c r="R546">
        <v>90</v>
      </c>
      <c r="S546" s="5">
        <v>1</v>
      </c>
      <c r="T546" s="5">
        <v>1</v>
      </c>
      <c r="U546" s="5">
        <v>1</v>
      </c>
      <c r="V546" s="5">
        <v>3</v>
      </c>
    </row>
    <row r="547" spans="1:22" x14ac:dyDescent="0.35">
      <c r="A547">
        <v>546</v>
      </c>
      <c r="B547">
        <v>25</v>
      </c>
      <c r="C547" t="s">
        <v>73</v>
      </c>
      <c r="D547" t="s">
        <v>5</v>
      </c>
      <c r="E547" t="s">
        <v>7</v>
      </c>
      <c r="F547" t="s">
        <v>11</v>
      </c>
      <c r="G547">
        <v>0</v>
      </c>
      <c r="H547">
        <v>14</v>
      </c>
      <c r="I547" t="s">
        <v>18</v>
      </c>
      <c r="J547" s="1">
        <v>575.04999999999995</v>
      </c>
      <c r="K547" s="1">
        <v>287.52499999999998</v>
      </c>
      <c r="L547">
        <v>2</v>
      </c>
      <c r="M547">
        <v>2</v>
      </c>
      <c r="N547">
        <v>0</v>
      </c>
      <c r="O547">
        <v>1</v>
      </c>
      <c r="P547">
        <v>0</v>
      </c>
      <c r="Q547">
        <v>0</v>
      </c>
      <c r="R547">
        <v>340</v>
      </c>
      <c r="S547" s="5">
        <v>1</v>
      </c>
      <c r="T547" s="5">
        <v>1</v>
      </c>
      <c r="U547" s="5">
        <v>1</v>
      </c>
      <c r="V547" s="5">
        <v>3</v>
      </c>
    </row>
    <row r="548" spans="1:22" x14ac:dyDescent="0.35">
      <c r="A548">
        <v>547</v>
      </c>
      <c r="B548">
        <v>37</v>
      </c>
      <c r="C548" t="s">
        <v>75</v>
      </c>
      <c r="D548" t="s">
        <v>5</v>
      </c>
      <c r="E548" t="s">
        <v>7</v>
      </c>
      <c r="F548" t="s">
        <v>12</v>
      </c>
      <c r="G548">
        <v>0</v>
      </c>
      <c r="H548">
        <v>29</v>
      </c>
      <c r="I548" t="s">
        <v>17</v>
      </c>
      <c r="J548" s="1">
        <v>716.14</v>
      </c>
      <c r="K548" s="1">
        <v>238.71333333333334</v>
      </c>
      <c r="L548">
        <v>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21</v>
      </c>
      <c r="S548" s="5">
        <v>3</v>
      </c>
      <c r="T548" s="5">
        <v>2</v>
      </c>
      <c r="U548" s="5">
        <v>1</v>
      </c>
      <c r="V548" s="5">
        <v>6</v>
      </c>
    </row>
    <row r="549" spans="1:22" x14ac:dyDescent="0.35">
      <c r="A549">
        <v>548</v>
      </c>
      <c r="B549">
        <v>49</v>
      </c>
      <c r="C549" t="s">
        <v>74</v>
      </c>
      <c r="D549" t="s">
        <v>5</v>
      </c>
      <c r="E549" t="s">
        <v>8</v>
      </c>
      <c r="F549" t="s">
        <v>13</v>
      </c>
      <c r="G549">
        <v>0</v>
      </c>
      <c r="H549">
        <v>24</v>
      </c>
      <c r="I549" t="s">
        <v>17</v>
      </c>
      <c r="J549" s="1">
        <v>2116.14</v>
      </c>
      <c r="K549" s="1">
        <v>235.12666666666667</v>
      </c>
      <c r="L549">
        <v>9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10</v>
      </c>
      <c r="S549" s="5">
        <v>3</v>
      </c>
      <c r="T549" s="5">
        <v>3</v>
      </c>
      <c r="U549" s="5">
        <v>3</v>
      </c>
      <c r="V549" s="5">
        <v>9</v>
      </c>
    </row>
    <row r="550" spans="1:22" x14ac:dyDescent="0.35">
      <c r="A550">
        <v>549</v>
      </c>
      <c r="B550">
        <v>18</v>
      </c>
      <c r="C550" t="s">
        <v>73</v>
      </c>
      <c r="D550" t="s">
        <v>5</v>
      </c>
      <c r="E550" t="s">
        <v>9</v>
      </c>
      <c r="F550" t="s">
        <v>13</v>
      </c>
      <c r="G550">
        <v>0</v>
      </c>
      <c r="H550">
        <v>39</v>
      </c>
      <c r="I550" t="s">
        <v>16</v>
      </c>
      <c r="J550" s="1">
        <v>358.67</v>
      </c>
      <c r="K550" s="1">
        <v>179.33500000000001</v>
      </c>
      <c r="L550">
        <v>2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66</v>
      </c>
      <c r="S550" s="5">
        <v>2</v>
      </c>
      <c r="T550" s="5">
        <v>1</v>
      </c>
      <c r="U550" s="5">
        <v>1</v>
      </c>
      <c r="V550" s="5">
        <v>4</v>
      </c>
    </row>
    <row r="551" spans="1:22" x14ac:dyDescent="0.35">
      <c r="A551">
        <v>550</v>
      </c>
      <c r="B551">
        <v>23</v>
      </c>
      <c r="C551" t="s">
        <v>73</v>
      </c>
      <c r="D551" t="s">
        <v>6</v>
      </c>
      <c r="E551" t="s">
        <v>7</v>
      </c>
      <c r="F551" t="s">
        <v>13</v>
      </c>
      <c r="G551">
        <v>0</v>
      </c>
      <c r="H551">
        <v>39</v>
      </c>
      <c r="I551" t="s">
        <v>18</v>
      </c>
      <c r="J551" s="1">
        <v>2140.2599999999998</v>
      </c>
      <c r="K551" s="1">
        <v>267.53249999999997</v>
      </c>
      <c r="L551">
        <v>8</v>
      </c>
      <c r="M551">
        <v>2</v>
      </c>
      <c r="N551">
        <v>1</v>
      </c>
      <c r="O551">
        <v>1</v>
      </c>
      <c r="P551">
        <v>1</v>
      </c>
      <c r="Q551">
        <v>0</v>
      </c>
      <c r="R551">
        <v>9</v>
      </c>
      <c r="S551" s="5">
        <v>3</v>
      </c>
      <c r="T551" s="5">
        <v>3</v>
      </c>
      <c r="U551" s="5">
        <v>3</v>
      </c>
      <c r="V551" s="5">
        <v>9</v>
      </c>
    </row>
    <row r="552" spans="1:22" x14ac:dyDescent="0.35">
      <c r="A552">
        <v>551</v>
      </c>
      <c r="B552">
        <v>45</v>
      </c>
      <c r="C552" t="s">
        <v>75</v>
      </c>
      <c r="D552" t="s">
        <v>6</v>
      </c>
      <c r="E552" t="s">
        <v>8</v>
      </c>
      <c r="F552" t="s">
        <v>13</v>
      </c>
      <c r="G552">
        <v>0</v>
      </c>
      <c r="H552">
        <v>45</v>
      </c>
      <c r="I552" t="s">
        <v>16</v>
      </c>
      <c r="J552" s="1">
        <v>3027.91</v>
      </c>
      <c r="K552" s="1">
        <v>336.43444444444441</v>
      </c>
      <c r="L552">
        <v>9</v>
      </c>
      <c r="M552">
        <v>2</v>
      </c>
      <c r="N552">
        <v>1</v>
      </c>
      <c r="O552">
        <v>1</v>
      </c>
      <c r="P552">
        <v>0</v>
      </c>
      <c r="Q552">
        <v>1</v>
      </c>
      <c r="R552">
        <v>30</v>
      </c>
      <c r="S552" s="5">
        <v>2</v>
      </c>
      <c r="T552" s="5">
        <v>3</v>
      </c>
      <c r="U552" s="5">
        <v>3</v>
      </c>
      <c r="V552" s="5">
        <v>8</v>
      </c>
    </row>
    <row r="553" spans="1:22" x14ac:dyDescent="0.35">
      <c r="A553">
        <v>552</v>
      </c>
      <c r="B553">
        <v>61</v>
      </c>
      <c r="C553" t="s">
        <v>72</v>
      </c>
      <c r="D553" t="s">
        <v>6</v>
      </c>
      <c r="E553" t="s">
        <v>7</v>
      </c>
      <c r="F553" t="s">
        <v>12</v>
      </c>
      <c r="G553">
        <v>0</v>
      </c>
      <c r="H553">
        <v>25</v>
      </c>
      <c r="I553" t="s">
        <v>17</v>
      </c>
      <c r="J553" s="1">
        <v>1049.96</v>
      </c>
      <c r="K553" s="1">
        <v>349.98666666666668</v>
      </c>
      <c r="L553">
        <v>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120</v>
      </c>
      <c r="S553" s="5">
        <v>1</v>
      </c>
      <c r="T553" s="5">
        <v>2</v>
      </c>
      <c r="U553" s="5">
        <v>2</v>
      </c>
      <c r="V553" s="5">
        <v>5</v>
      </c>
    </row>
    <row r="554" spans="1:22" x14ac:dyDescent="0.35">
      <c r="A554">
        <v>553</v>
      </c>
      <c r="B554">
        <v>48</v>
      </c>
      <c r="C554" t="s">
        <v>74</v>
      </c>
      <c r="D554" t="s">
        <v>6</v>
      </c>
      <c r="E554" t="s">
        <v>10</v>
      </c>
      <c r="F554" t="s">
        <v>13</v>
      </c>
      <c r="G554">
        <v>0</v>
      </c>
      <c r="H554">
        <v>46</v>
      </c>
      <c r="I554" t="s">
        <v>17</v>
      </c>
      <c r="J554" s="1">
        <v>2125.61</v>
      </c>
      <c r="K554" s="1">
        <v>303.65857142857146</v>
      </c>
      <c r="L554">
        <v>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33</v>
      </c>
      <c r="S554" s="5">
        <v>2</v>
      </c>
      <c r="T554" s="5">
        <v>2</v>
      </c>
      <c r="U554" s="5">
        <v>3</v>
      </c>
      <c r="V554" s="5">
        <v>7</v>
      </c>
    </row>
    <row r="555" spans="1:22" x14ac:dyDescent="0.35">
      <c r="A555">
        <v>554</v>
      </c>
      <c r="B555">
        <v>27</v>
      </c>
      <c r="C555" t="s">
        <v>73</v>
      </c>
      <c r="D555" t="s">
        <v>5</v>
      </c>
      <c r="E555" t="s">
        <v>10</v>
      </c>
      <c r="F555" t="s">
        <v>13</v>
      </c>
      <c r="G555">
        <v>0</v>
      </c>
      <c r="H555">
        <v>46</v>
      </c>
      <c r="I555" t="s">
        <v>16</v>
      </c>
      <c r="J555" s="1">
        <v>1822.54</v>
      </c>
      <c r="K555" s="1">
        <v>303.75666666666666</v>
      </c>
      <c r="L555">
        <v>6</v>
      </c>
      <c r="M555">
        <v>1</v>
      </c>
      <c r="N555">
        <v>0</v>
      </c>
      <c r="O555">
        <v>0</v>
      </c>
      <c r="P555">
        <v>0</v>
      </c>
      <c r="Q555">
        <v>1</v>
      </c>
      <c r="R555">
        <v>6</v>
      </c>
      <c r="S555" s="5">
        <v>3</v>
      </c>
      <c r="T555" s="5">
        <v>2</v>
      </c>
      <c r="U555" s="5">
        <v>3</v>
      </c>
      <c r="V555" s="5">
        <v>8</v>
      </c>
    </row>
    <row r="556" spans="1:22" x14ac:dyDescent="0.35">
      <c r="A556">
        <v>555</v>
      </c>
      <c r="B556">
        <v>37</v>
      </c>
      <c r="C556" t="s">
        <v>75</v>
      </c>
      <c r="D556" t="s">
        <v>6</v>
      </c>
      <c r="E556" t="s">
        <v>7</v>
      </c>
      <c r="F556" t="s">
        <v>13</v>
      </c>
      <c r="G556">
        <v>0</v>
      </c>
      <c r="H556">
        <v>3</v>
      </c>
      <c r="I556" t="s">
        <v>17</v>
      </c>
      <c r="J556" s="1">
        <v>393.99</v>
      </c>
      <c r="K556" s="1">
        <v>196.995</v>
      </c>
      <c r="L556">
        <v>2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78</v>
      </c>
      <c r="S556" s="5">
        <v>2</v>
      </c>
      <c r="T556" s="5">
        <v>1</v>
      </c>
      <c r="U556" s="5">
        <v>1</v>
      </c>
      <c r="V556" s="5">
        <v>4</v>
      </c>
    </row>
    <row r="557" spans="1:22" x14ac:dyDescent="0.35">
      <c r="A557">
        <v>556</v>
      </c>
      <c r="B557">
        <v>25</v>
      </c>
      <c r="C557" t="s">
        <v>73</v>
      </c>
      <c r="D557" t="s">
        <v>5</v>
      </c>
      <c r="E557" t="s">
        <v>8</v>
      </c>
      <c r="F557" t="s">
        <v>11</v>
      </c>
      <c r="G557">
        <v>0</v>
      </c>
      <c r="H557">
        <v>42</v>
      </c>
      <c r="I557" t="s">
        <v>18</v>
      </c>
      <c r="J557" s="1">
        <v>2132.54</v>
      </c>
      <c r="K557" s="1">
        <v>304.64857142857142</v>
      </c>
      <c r="L557">
        <v>7</v>
      </c>
      <c r="M557">
        <v>1</v>
      </c>
      <c r="N557">
        <v>0</v>
      </c>
      <c r="O557">
        <v>0</v>
      </c>
      <c r="P557">
        <v>0</v>
      </c>
      <c r="Q557">
        <v>1</v>
      </c>
      <c r="R557">
        <v>2</v>
      </c>
      <c r="S557" s="5">
        <v>3</v>
      </c>
      <c r="T557" s="5">
        <v>2</v>
      </c>
      <c r="U557" s="5">
        <v>3</v>
      </c>
      <c r="V557" s="5">
        <v>8</v>
      </c>
    </row>
    <row r="558" spans="1:22" x14ac:dyDescent="0.35">
      <c r="A558">
        <v>557</v>
      </c>
      <c r="B558">
        <v>39</v>
      </c>
      <c r="C558" t="s">
        <v>75</v>
      </c>
      <c r="D558" t="s">
        <v>6</v>
      </c>
      <c r="E558" t="s">
        <v>7</v>
      </c>
      <c r="F558" t="s">
        <v>11</v>
      </c>
      <c r="G558">
        <v>0</v>
      </c>
      <c r="H558">
        <v>27</v>
      </c>
      <c r="I558" t="s">
        <v>18</v>
      </c>
      <c r="J558" s="1">
        <v>1179.98</v>
      </c>
      <c r="K558" s="1">
        <v>393.32666666666665</v>
      </c>
      <c r="L558">
        <v>3</v>
      </c>
      <c r="M558">
        <v>2</v>
      </c>
      <c r="N558">
        <v>1</v>
      </c>
      <c r="O558">
        <v>0</v>
      </c>
      <c r="P558">
        <v>0</v>
      </c>
      <c r="Q558">
        <v>1</v>
      </c>
      <c r="R558">
        <v>17</v>
      </c>
      <c r="S558" s="5">
        <v>3</v>
      </c>
      <c r="T558" s="5">
        <v>2</v>
      </c>
      <c r="U558" s="5">
        <v>2</v>
      </c>
      <c r="V558" s="5">
        <v>7</v>
      </c>
    </row>
    <row r="559" spans="1:22" x14ac:dyDescent="0.35">
      <c r="A559">
        <v>558</v>
      </c>
      <c r="B559">
        <v>55</v>
      </c>
      <c r="C559" t="s">
        <v>74</v>
      </c>
      <c r="D559" t="s">
        <v>5</v>
      </c>
      <c r="E559" t="s">
        <v>9</v>
      </c>
      <c r="F559" t="s">
        <v>13</v>
      </c>
      <c r="G559">
        <v>0</v>
      </c>
      <c r="H559">
        <v>12</v>
      </c>
      <c r="I559" t="s">
        <v>18</v>
      </c>
      <c r="J559" s="1">
        <v>1722.97</v>
      </c>
      <c r="K559" s="1">
        <v>287.16166666666669</v>
      </c>
      <c r="L559">
        <v>6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39</v>
      </c>
      <c r="S559" s="5">
        <v>2</v>
      </c>
      <c r="T559" s="5">
        <v>2</v>
      </c>
      <c r="U559" s="5">
        <v>3</v>
      </c>
      <c r="V559" s="5">
        <v>7</v>
      </c>
    </row>
    <row r="560" spans="1:22" x14ac:dyDescent="0.35">
      <c r="A560">
        <v>559</v>
      </c>
      <c r="B560">
        <v>46</v>
      </c>
      <c r="C560" t="s">
        <v>74</v>
      </c>
      <c r="D560" t="s">
        <v>6</v>
      </c>
      <c r="E560" t="s">
        <v>8</v>
      </c>
      <c r="F560" t="s">
        <v>12</v>
      </c>
      <c r="G560">
        <v>0</v>
      </c>
      <c r="H560">
        <v>43</v>
      </c>
      <c r="I560" t="s">
        <v>17</v>
      </c>
      <c r="J560" s="1">
        <v>2151.66</v>
      </c>
      <c r="K560" s="1">
        <v>307.38</v>
      </c>
      <c r="L560">
        <v>7</v>
      </c>
      <c r="M560">
        <v>1</v>
      </c>
      <c r="N560">
        <v>1</v>
      </c>
      <c r="O560">
        <v>1</v>
      </c>
      <c r="P560">
        <v>0</v>
      </c>
      <c r="Q560">
        <v>0</v>
      </c>
      <c r="R560">
        <v>75</v>
      </c>
      <c r="S560" s="5">
        <v>2</v>
      </c>
      <c r="T560" s="5">
        <v>2</v>
      </c>
      <c r="U560" s="5">
        <v>3</v>
      </c>
      <c r="V560" s="5">
        <v>7</v>
      </c>
    </row>
    <row r="561" spans="1:22" x14ac:dyDescent="0.35">
      <c r="A561">
        <v>560</v>
      </c>
      <c r="B561">
        <v>26</v>
      </c>
      <c r="C561" t="s">
        <v>73</v>
      </c>
      <c r="D561" t="s">
        <v>5</v>
      </c>
      <c r="E561" t="s">
        <v>8</v>
      </c>
      <c r="F561" t="s">
        <v>12</v>
      </c>
      <c r="G561">
        <v>1</v>
      </c>
      <c r="H561">
        <v>2</v>
      </c>
      <c r="I561" t="s">
        <v>16</v>
      </c>
      <c r="J561" s="1">
        <v>203.34</v>
      </c>
      <c r="K561" s="1">
        <v>101.67</v>
      </c>
      <c r="L561">
        <v>2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21</v>
      </c>
      <c r="S561" s="5">
        <v>3</v>
      </c>
      <c r="T561" s="5">
        <v>1</v>
      </c>
      <c r="U561" s="5">
        <v>1</v>
      </c>
      <c r="V561" s="5">
        <v>5</v>
      </c>
    </row>
    <row r="562" spans="1:22" x14ac:dyDescent="0.35">
      <c r="A562">
        <v>561</v>
      </c>
      <c r="B562">
        <v>61</v>
      </c>
      <c r="C562" t="s">
        <v>72</v>
      </c>
      <c r="D562" t="s">
        <v>5</v>
      </c>
      <c r="E562" t="s">
        <v>8</v>
      </c>
      <c r="F562" t="s">
        <v>11</v>
      </c>
      <c r="G562">
        <v>0</v>
      </c>
      <c r="H562">
        <v>38</v>
      </c>
      <c r="I562" t="s">
        <v>18</v>
      </c>
      <c r="J562" s="1">
        <v>1369.4</v>
      </c>
      <c r="K562" s="1">
        <v>228.23333333333335</v>
      </c>
      <c r="L562">
        <v>6</v>
      </c>
      <c r="M562">
        <v>1</v>
      </c>
      <c r="N562">
        <v>0</v>
      </c>
      <c r="O562">
        <v>0</v>
      </c>
      <c r="P562">
        <v>0</v>
      </c>
      <c r="Q562">
        <v>1</v>
      </c>
      <c r="R562">
        <v>6</v>
      </c>
      <c r="S562" s="5">
        <v>3</v>
      </c>
      <c r="T562" s="5">
        <v>2</v>
      </c>
      <c r="U562" s="5">
        <v>2</v>
      </c>
      <c r="V562" s="5">
        <v>7</v>
      </c>
    </row>
    <row r="563" spans="1:22" x14ac:dyDescent="0.35">
      <c r="A563">
        <v>562</v>
      </c>
      <c r="B563">
        <v>64</v>
      </c>
      <c r="C563" t="s">
        <v>72</v>
      </c>
      <c r="D563" t="s">
        <v>5</v>
      </c>
      <c r="E563" t="s">
        <v>8</v>
      </c>
      <c r="F563" t="s">
        <v>11</v>
      </c>
      <c r="G563">
        <v>1</v>
      </c>
      <c r="H563">
        <v>26</v>
      </c>
      <c r="I563" t="s">
        <v>18</v>
      </c>
      <c r="J563" s="1">
        <v>2160.9499999999998</v>
      </c>
      <c r="K563" s="1">
        <v>240.10555555555553</v>
      </c>
      <c r="L563">
        <v>9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41</v>
      </c>
      <c r="S563" s="5">
        <v>2</v>
      </c>
      <c r="T563" s="5">
        <v>3</v>
      </c>
      <c r="U563" s="5">
        <v>3</v>
      </c>
      <c r="V563" s="5">
        <v>8</v>
      </c>
    </row>
    <row r="564" spans="1:22" x14ac:dyDescent="0.35">
      <c r="A564">
        <v>563</v>
      </c>
      <c r="B564">
        <v>18</v>
      </c>
      <c r="C564" t="s">
        <v>73</v>
      </c>
      <c r="D564" t="s">
        <v>5</v>
      </c>
      <c r="E564" t="s">
        <v>9</v>
      </c>
      <c r="F564" t="s">
        <v>12</v>
      </c>
      <c r="G564">
        <v>0</v>
      </c>
      <c r="H564">
        <v>29</v>
      </c>
      <c r="I564" t="s">
        <v>16</v>
      </c>
      <c r="J564" s="1">
        <v>1090.1299999999999</v>
      </c>
      <c r="K564" s="1">
        <v>218.02599999999998</v>
      </c>
      <c r="L564">
        <v>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11</v>
      </c>
      <c r="S564" s="5">
        <v>3</v>
      </c>
      <c r="T564" s="5">
        <v>2</v>
      </c>
      <c r="U564" s="5">
        <v>2</v>
      </c>
      <c r="V564" s="5">
        <v>7</v>
      </c>
    </row>
    <row r="565" spans="1:22" x14ac:dyDescent="0.35">
      <c r="A565">
        <v>564</v>
      </c>
      <c r="B565">
        <v>58</v>
      </c>
      <c r="C565" t="s">
        <v>74</v>
      </c>
      <c r="D565" t="s">
        <v>5</v>
      </c>
      <c r="E565" t="s">
        <v>7</v>
      </c>
      <c r="F565" t="s">
        <v>11</v>
      </c>
      <c r="G565">
        <v>0</v>
      </c>
      <c r="H565">
        <v>45</v>
      </c>
      <c r="I565" t="s">
        <v>18</v>
      </c>
      <c r="J565" s="1">
        <v>1859.23</v>
      </c>
      <c r="K565" s="1">
        <v>265.60428571428571</v>
      </c>
      <c r="L565">
        <v>7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25</v>
      </c>
      <c r="S565" s="5">
        <v>3</v>
      </c>
      <c r="T565" s="5">
        <v>2</v>
      </c>
      <c r="U565" s="5">
        <v>3</v>
      </c>
      <c r="V565" s="5">
        <v>8</v>
      </c>
    </row>
    <row r="566" spans="1:22" x14ac:dyDescent="0.35">
      <c r="A566">
        <v>565</v>
      </c>
      <c r="B566">
        <v>69</v>
      </c>
      <c r="C566" t="s">
        <v>72</v>
      </c>
      <c r="D566" t="s">
        <v>5</v>
      </c>
      <c r="E566" t="s">
        <v>7</v>
      </c>
      <c r="F566" t="s">
        <v>11</v>
      </c>
      <c r="G566">
        <v>1</v>
      </c>
      <c r="H566">
        <v>30</v>
      </c>
      <c r="I566" t="s">
        <v>17</v>
      </c>
      <c r="J566" s="1">
        <v>2436.25</v>
      </c>
      <c r="K566" s="1">
        <v>406.04166666666669</v>
      </c>
      <c r="L566">
        <v>6</v>
      </c>
      <c r="M566">
        <v>2</v>
      </c>
      <c r="N566">
        <v>1</v>
      </c>
      <c r="O566">
        <v>0</v>
      </c>
      <c r="P566">
        <v>1</v>
      </c>
      <c r="Q566">
        <v>0</v>
      </c>
      <c r="R566">
        <v>27</v>
      </c>
      <c r="S566" s="5">
        <v>3</v>
      </c>
      <c r="T566" s="5">
        <v>2</v>
      </c>
      <c r="U566" s="5">
        <v>3</v>
      </c>
      <c r="V566" s="5">
        <v>8</v>
      </c>
    </row>
    <row r="567" spans="1:22" x14ac:dyDescent="0.35">
      <c r="A567">
        <v>566</v>
      </c>
      <c r="B567">
        <v>56</v>
      </c>
      <c r="C567" t="s">
        <v>74</v>
      </c>
      <c r="D567" t="s">
        <v>5</v>
      </c>
      <c r="E567" t="s">
        <v>10</v>
      </c>
      <c r="F567" t="s">
        <v>13</v>
      </c>
      <c r="G567">
        <v>0</v>
      </c>
      <c r="H567">
        <v>38</v>
      </c>
      <c r="I567" t="s">
        <v>18</v>
      </c>
      <c r="J567" s="1">
        <v>1867.2100000000003</v>
      </c>
      <c r="K567" s="1">
        <v>266.74428571428575</v>
      </c>
      <c r="L567">
        <v>7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29</v>
      </c>
      <c r="S567" s="5">
        <v>2</v>
      </c>
      <c r="T567" s="5">
        <v>2</v>
      </c>
      <c r="U567" s="5">
        <v>3</v>
      </c>
      <c r="V567" s="5">
        <v>7</v>
      </c>
    </row>
    <row r="568" spans="1:22" x14ac:dyDescent="0.35">
      <c r="A568">
        <v>567</v>
      </c>
      <c r="B568">
        <v>43</v>
      </c>
      <c r="C568" t="s">
        <v>75</v>
      </c>
      <c r="D568" t="s">
        <v>5</v>
      </c>
      <c r="E568" t="s">
        <v>8</v>
      </c>
      <c r="F568" t="s">
        <v>12</v>
      </c>
      <c r="G568">
        <v>0</v>
      </c>
      <c r="H568">
        <v>41</v>
      </c>
      <c r="I568" t="s">
        <v>18</v>
      </c>
      <c r="J568" s="1">
        <v>472.36</v>
      </c>
      <c r="K568" s="1">
        <v>472.36</v>
      </c>
      <c r="L568">
        <v>1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355</v>
      </c>
      <c r="S568" s="5">
        <v>1</v>
      </c>
      <c r="T568" s="5">
        <v>1</v>
      </c>
      <c r="U568" s="5">
        <v>1</v>
      </c>
      <c r="V568" s="5">
        <v>3</v>
      </c>
    </row>
    <row r="569" spans="1:22" x14ac:dyDescent="0.35">
      <c r="A569">
        <v>568</v>
      </c>
      <c r="B569">
        <v>28</v>
      </c>
      <c r="C569" t="s">
        <v>73</v>
      </c>
      <c r="D569" t="s">
        <v>5</v>
      </c>
      <c r="E569" t="s">
        <v>10</v>
      </c>
      <c r="F569" t="s">
        <v>13</v>
      </c>
      <c r="G569">
        <v>0</v>
      </c>
      <c r="H569">
        <v>32</v>
      </c>
      <c r="I569" t="s">
        <v>18</v>
      </c>
      <c r="J569" s="1">
        <v>1051.21</v>
      </c>
      <c r="K569" s="1">
        <v>350.40333333333336</v>
      </c>
      <c r="L569">
        <v>3</v>
      </c>
      <c r="M569">
        <v>1</v>
      </c>
      <c r="N569">
        <v>0</v>
      </c>
      <c r="O569">
        <v>0</v>
      </c>
      <c r="P569">
        <v>0</v>
      </c>
      <c r="Q569">
        <v>1</v>
      </c>
      <c r="R569">
        <v>78</v>
      </c>
      <c r="S569" s="5">
        <v>2</v>
      </c>
      <c r="T569" s="5">
        <v>2</v>
      </c>
      <c r="U569" s="5">
        <v>2</v>
      </c>
      <c r="V569" s="5">
        <v>6</v>
      </c>
    </row>
    <row r="570" spans="1:22" x14ac:dyDescent="0.35">
      <c r="A570">
        <v>569</v>
      </c>
      <c r="B570">
        <v>69</v>
      </c>
      <c r="C570" t="s">
        <v>72</v>
      </c>
      <c r="D570" t="s">
        <v>6</v>
      </c>
      <c r="E570" t="s">
        <v>9</v>
      </c>
      <c r="F570" t="s">
        <v>11</v>
      </c>
      <c r="G570">
        <v>0</v>
      </c>
      <c r="H570">
        <v>38</v>
      </c>
      <c r="I570" t="s">
        <v>18</v>
      </c>
      <c r="J570" s="1">
        <v>1550.85</v>
      </c>
      <c r="K570" s="1">
        <v>258.47499999999997</v>
      </c>
      <c r="L570">
        <v>6</v>
      </c>
      <c r="M570">
        <v>1</v>
      </c>
      <c r="N570">
        <v>0</v>
      </c>
      <c r="O570">
        <v>1</v>
      </c>
      <c r="P570">
        <v>0</v>
      </c>
      <c r="Q570">
        <v>0</v>
      </c>
      <c r="R570">
        <v>24</v>
      </c>
      <c r="S570" s="5">
        <v>3</v>
      </c>
      <c r="T570" s="5">
        <v>2</v>
      </c>
      <c r="U570" s="5">
        <v>2</v>
      </c>
      <c r="V570" s="5">
        <v>7</v>
      </c>
    </row>
    <row r="571" spans="1:22" x14ac:dyDescent="0.35">
      <c r="A571">
        <v>570</v>
      </c>
      <c r="B571">
        <v>52</v>
      </c>
      <c r="C571" t="s">
        <v>74</v>
      </c>
      <c r="D571" t="s">
        <v>6</v>
      </c>
      <c r="E571" t="s">
        <v>7</v>
      </c>
      <c r="F571" t="s">
        <v>11</v>
      </c>
      <c r="G571">
        <v>0</v>
      </c>
      <c r="H571">
        <v>21</v>
      </c>
      <c r="I571" t="s">
        <v>16</v>
      </c>
      <c r="J571" s="1">
        <v>2358.0400000000004</v>
      </c>
      <c r="K571" s="1">
        <v>336.86285714285719</v>
      </c>
      <c r="L571">
        <v>7</v>
      </c>
      <c r="M571">
        <v>2</v>
      </c>
      <c r="N571">
        <v>1</v>
      </c>
      <c r="O571">
        <v>1</v>
      </c>
      <c r="P571">
        <v>0</v>
      </c>
      <c r="Q571">
        <v>1</v>
      </c>
      <c r="R571">
        <v>106</v>
      </c>
      <c r="S571" s="5">
        <v>1</v>
      </c>
      <c r="T571" s="5">
        <v>2</v>
      </c>
      <c r="U571" s="5">
        <v>3</v>
      </c>
      <c r="V571" s="5">
        <v>6</v>
      </c>
    </row>
    <row r="572" spans="1:22" x14ac:dyDescent="0.35">
      <c r="A572">
        <v>571</v>
      </c>
      <c r="B572">
        <v>41</v>
      </c>
      <c r="C572" t="s">
        <v>75</v>
      </c>
      <c r="D572" t="s">
        <v>6</v>
      </c>
      <c r="E572" t="s">
        <v>7</v>
      </c>
      <c r="F572" t="s">
        <v>11</v>
      </c>
      <c r="G572">
        <v>0</v>
      </c>
      <c r="H572">
        <v>8</v>
      </c>
      <c r="I572" t="s">
        <v>17</v>
      </c>
      <c r="J572" s="1">
        <v>962.48</v>
      </c>
      <c r="K572" s="1">
        <v>320.82666666666665</v>
      </c>
      <c r="L572">
        <v>3</v>
      </c>
      <c r="M572">
        <v>1</v>
      </c>
      <c r="N572">
        <v>1</v>
      </c>
      <c r="O572">
        <v>0</v>
      </c>
      <c r="P572">
        <v>0</v>
      </c>
      <c r="Q572">
        <v>1</v>
      </c>
      <c r="R572">
        <v>65</v>
      </c>
      <c r="S572" s="5">
        <v>2</v>
      </c>
      <c r="T572" s="5">
        <v>2</v>
      </c>
      <c r="U572" s="5">
        <v>2</v>
      </c>
      <c r="V572" s="5">
        <v>6</v>
      </c>
    </row>
    <row r="573" spans="1:22" x14ac:dyDescent="0.35">
      <c r="A573">
        <v>572</v>
      </c>
      <c r="B573">
        <v>50</v>
      </c>
      <c r="C573" t="s">
        <v>74</v>
      </c>
      <c r="D573" t="s">
        <v>6</v>
      </c>
      <c r="E573" t="s">
        <v>8</v>
      </c>
      <c r="F573" t="s">
        <v>11</v>
      </c>
      <c r="G573">
        <v>0</v>
      </c>
      <c r="H573">
        <v>6</v>
      </c>
      <c r="I573" t="s">
        <v>17</v>
      </c>
      <c r="J573" s="1">
        <v>538.05999999999995</v>
      </c>
      <c r="K573" s="1">
        <v>269.02999999999997</v>
      </c>
      <c r="L573">
        <v>2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2</v>
      </c>
      <c r="S573" s="5">
        <v>3</v>
      </c>
      <c r="T573" s="5">
        <v>1</v>
      </c>
      <c r="U573" s="5">
        <v>1</v>
      </c>
      <c r="V573" s="5">
        <v>5</v>
      </c>
    </row>
    <row r="574" spans="1:22" x14ac:dyDescent="0.35">
      <c r="A574">
        <v>573</v>
      </c>
      <c r="B574">
        <v>37</v>
      </c>
      <c r="C574" t="s">
        <v>75</v>
      </c>
      <c r="D574" t="s">
        <v>6</v>
      </c>
      <c r="E574" t="s">
        <v>7</v>
      </c>
      <c r="F574" t="s">
        <v>12</v>
      </c>
      <c r="G574">
        <v>0</v>
      </c>
      <c r="H574">
        <v>4</v>
      </c>
      <c r="I574" t="s">
        <v>17</v>
      </c>
      <c r="J574" s="1">
        <v>1331.4</v>
      </c>
      <c r="K574" s="1">
        <v>266.28000000000003</v>
      </c>
      <c r="L574">
        <v>5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57</v>
      </c>
      <c r="S574" s="5">
        <v>2</v>
      </c>
      <c r="T574" s="5">
        <v>2</v>
      </c>
      <c r="U574" s="5">
        <v>2</v>
      </c>
      <c r="V574" s="5">
        <v>6</v>
      </c>
    </row>
    <row r="575" spans="1:22" x14ac:dyDescent="0.35">
      <c r="A575">
        <v>574</v>
      </c>
      <c r="B575">
        <v>44</v>
      </c>
      <c r="C575" t="s">
        <v>75</v>
      </c>
      <c r="D575" t="s">
        <v>5</v>
      </c>
      <c r="E575" t="s">
        <v>9</v>
      </c>
      <c r="F575" t="s">
        <v>12</v>
      </c>
      <c r="G575">
        <v>1</v>
      </c>
      <c r="H575">
        <v>17</v>
      </c>
      <c r="I575" t="s">
        <v>16</v>
      </c>
      <c r="J575" s="1">
        <v>2437.4</v>
      </c>
      <c r="K575" s="1">
        <v>270.82222222222225</v>
      </c>
      <c r="L575">
        <v>9</v>
      </c>
      <c r="M575">
        <v>1</v>
      </c>
      <c r="N575">
        <v>0</v>
      </c>
      <c r="O575">
        <v>0</v>
      </c>
      <c r="P575">
        <v>0</v>
      </c>
      <c r="Q575">
        <v>1</v>
      </c>
      <c r="R575">
        <v>0</v>
      </c>
      <c r="S575" s="5">
        <v>3</v>
      </c>
      <c r="T575" s="5">
        <v>3</v>
      </c>
      <c r="U575" s="5">
        <v>3</v>
      </c>
      <c r="V575" s="5">
        <v>9</v>
      </c>
    </row>
    <row r="576" spans="1:22" x14ac:dyDescent="0.35">
      <c r="A576">
        <v>575</v>
      </c>
      <c r="B576">
        <v>32</v>
      </c>
      <c r="C576" t="s">
        <v>75</v>
      </c>
      <c r="D576" t="s">
        <v>6</v>
      </c>
      <c r="E576" t="s">
        <v>9</v>
      </c>
      <c r="F576" t="s">
        <v>12</v>
      </c>
      <c r="G576">
        <v>0</v>
      </c>
      <c r="H576">
        <v>21</v>
      </c>
      <c r="I576" t="s">
        <v>16</v>
      </c>
      <c r="J576" s="1">
        <v>1550.2599999999998</v>
      </c>
      <c r="K576" s="1">
        <v>172.25111111111107</v>
      </c>
      <c r="L576">
        <v>9</v>
      </c>
      <c r="M576">
        <v>2</v>
      </c>
      <c r="N576">
        <v>1</v>
      </c>
      <c r="O576">
        <v>1</v>
      </c>
      <c r="P576">
        <v>1</v>
      </c>
      <c r="Q576">
        <v>0</v>
      </c>
      <c r="R576">
        <v>59</v>
      </c>
      <c r="S576" s="5">
        <v>2</v>
      </c>
      <c r="T576" s="5">
        <v>3</v>
      </c>
      <c r="U576" s="5">
        <v>2</v>
      </c>
      <c r="V576" s="5">
        <v>7</v>
      </c>
    </row>
    <row r="577" spans="1:22" x14ac:dyDescent="0.35">
      <c r="A577">
        <v>576</v>
      </c>
      <c r="B577">
        <v>50</v>
      </c>
      <c r="C577" t="s">
        <v>74</v>
      </c>
      <c r="D577" t="s">
        <v>6</v>
      </c>
      <c r="E577" t="s">
        <v>8</v>
      </c>
      <c r="F577" t="s">
        <v>12</v>
      </c>
      <c r="G577">
        <v>1</v>
      </c>
      <c r="H577">
        <v>4</v>
      </c>
      <c r="I577" t="s">
        <v>17</v>
      </c>
      <c r="J577" s="1">
        <v>755.93000000000006</v>
      </c>
      <c r="K577" s="1">
        <v>188.98250000000002</v>
      </c>
      <c r="L577">
        <v>4</v>
      </c>
      <c r="M577">
        <v>2</v>
      </c>
      <c r="N577">
        <v>1</v>
      </c>
      <c r="O577">
        <v>0</v>
      </c>
      <c r="P577">
        <v>0</v>
      </c>
      <c r="Q577">
        <v>1</v>
      </c>
      <c r="R577">
        <v>122</v>
      </c>
      <c r="S577" s="5">
        <v>1</v>
      </c>
      <c r="T577" s="5">
        <v>2</v>
      </c>
      <c r="U577" s="5">
        <v>1</v>
      </c>
      <c r="V577" s="5">
        <v>4</v>
      </c>
    </row>
    <row r="578" spans="1:22" x14ac:dyDescent="0.35">
      <c r="A578">
        <v>577</v>
      </c>
      <c r="B578">
        <v>69</v>
      </c>
      <c r="C578" t="s">
        <v>72</v>
      </c>
      <c r="D578" t="s">
        <v>5</v>
      </c>
      <c r="E578" t="s">
        <v>10</v>
      </c>
      <c r="F578" t="s">
        <v>13</v>
      </c>
      <c r="G578">
        <v>1</v>
      </c>
      <c r="H578">
        <v>35</v>
      </c>
      <c r="I578" t="s">
        <v>17</v>
      </c>
      <c r="J578" s="1">
        <v>2373.23</v>
      </c>
      <c r="K578" s="1">
        <v>296.65375</v>
      </c>
      <c r="L578">
        <v>8</v>
      </c>
      <c r="M578">
        <v>1</v>
      </c>
      <c r="N578">
        <v>1</v>
      </c>
      <c r="O578">
        <v>0</v>
      </c>
      <c r="P578">
        <v>0</v>
      </c>
      <c r="Q578">
        <v>1</v>
      </c>
      <c r="R578">
        <v>86</v>
      </c>
      <c r="S578" s="5">
        <v>1</v>
      </c>
      <c r="T578" s="5">
        <v>3</v>
      </c>
      <c r="U578" s="5">
        <v>3</v>
      </c>
      <c r="V578" s="5">
        <v>7</v>
      </c>
    </row>
    <row r="579" spans="1:22" x14ac:dyDescent="0.35">
      <c r="A579">
        <v>578</v>
      </c>
      <c r="B579">
        <v>24</v>
      </c>
      <c r="C579" t="s">
        <v>73</v>
      </c>
      <c r="D579" t="s">
        <v>6</v>
      </c>
      <c r="E579" t="s">
        <v>8</v>
      </c>
      <c r="F579" t="s">
        <v>13</v>
      </c>
      <c r="G579">
        <v>0</v>
      </c>
      <c r="H579">
        <v>30</v>
      </c>
      <c r="I579" t="s">
        <v>16</v>
      </c>
      <c r="J579" s="1">
        <v>715.6</v>
      </c>
      <c r="K579" s="1">
        <v>238.53333333333333</v>
      </c>
      <c r="L579">
        <v>3</v>
      </c>
      <c r="M579">
        <v>1</v>
      </c>
      <c r="N579">
        <v>0</v>
      </c>
      <c r="O579">
        <v>1</v>
      </c>
      <c r="P579">
        <v>0</v>
      </c>
      <c r="Q579">
        <v>0</v>
      </c>
      <c r="R579">
        <v>75</v>
      </c>
      <c r="S579" s="5">
        <v>2</v>
      </c>
      <c r="T579" s="5">
        <v>2</v>
      </c>
      <c r="U579" s="5">
        <v>1</v>
      </c>
      <c r="V579" s="5">
        <v>5</v>
      </c>
    </row>
    <row r="580" spans="1:22" x14ac:dyDescent="0.35">
      <c r="A580">
        <v>579</v>
      </c>
      <c r="B580">
        <v>51</v>
      </c>
      <c r="C580" t="s">
        <v>74</v>
      </c>
      <c r="D580" t="s">
        <v>6</v>
      </c>
      <c r="E580" t="s">
        <v>9</v>
      </c>
      <c r="F580" t="s">
        <v>13</v>
      </c>
      <c r="G580">
        <v>1</v>
      </c>
      <c r="H580">
        <v>27</v>
      </c>
      <c r="I580" t="s">
        <v>18</v>
      </c>
      <c r="J580" s="1">
        <v>402.41</v>
      </c>
      <c r="K580" s="1">
        <v>201.20500000000001</v>
      </c>
      <c r="L580">
        <v>2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163</v>
      </c>
      <c r="S580" s="5">
        <v>1</v>
      </c>
      <c r="T580" s="5">
        <v>1</v>
      </c>
      <c r="U580" s="5">
        <v>1</v>
      </c>
      <c r="V580" s="5">
        <v>3</v>
      </c>
    </row>
    <row r="581" spans="1:22" x14ac:dyDescent="0.35">
      <c r="A581">
        <v>580</v>
      </c>
      <c r="B581">
        <v>62</v>
      </c>
      <c r="C581" t="s">
        <v>72</v>
      </c>
      <c r="D581" t="s">
        <v>5</v>
      </c>
      <c r="E581" t="s">
        <v>7</v>
      </c>
      <c r="F581" t="s">
        <v>11</v>
      </c>
      <c r="G581">
        <v>0</v>
      </c>
      <c r="H581">
        <v>12</v>
      </c>
      <c r="I581" t="s">
        <v>17</v>
      </c>
      <c r="J581" s="1">
        <v>232.75</v>
      </c>
      <c r="K581" s="1">
        <v>116.375</v>
      </c>
      <c r="L581">
        <v>2</v>
      </c>
      <c r="M581">
        <v>2</v>
      </c>
      <c r="N581">
        <v>1</v>
      </c>
      <c r="O581">
        <v>1</v>
      </c>
      <c r="P581">
        <v>0</v>
      </c>
      <c r="Q581">
        <v>1</v>
      </c>
      <c r="R581">
        <v>20</v>
      </c>
      <c r="S581" s="5">
        <v>3</v>
      </c>
      <c r="T581" s="5">
        <v>1</v>
      </c>
      <c r="U581" s="5">
        <v>1</v>
      </c>
      <c r="V581" s="5">
        <v>5</v>
      </c>
    </row>
    <row r="582" spans="1:22" x14ac:dyDescent="0.35">
      <c r="A582">
        <v>581</v>
      </c>
      <c r="B582">
        <v>68</v>
      </c>
      <c r="C582" t="s">
        <v>72</v>
      </c>
      <c r="D582" t="s">
        <v>6</v>
      </c>
      <c r="E582" t="s">
        <v>7</v>
      </c>
      <c r="F582" t="s">
        <v>12</v>
      </c>
      <c r="G582">
        <v>0</v>
      </c>
      <c r="H582">
        <v>48</v>
      </c>
      <c r="I582" t="s">
        <v>16</v>
      </c>
      <c r="J582" s="1">
        <v>407.65999999999997</v>
      </c>
      <c r="K582" s="1">
        <v>203.82999999999998</v>
      </c>
      <c r="L582">
        <v>2</v>
      </c>
      <c r="M582">
        <v>1</v>
      </c>
      <c r="N582">
        <v>1</v>
      </c>
      <c r="O582">
        <v>1</v>
      </c>
      <c r="P582">
        <v>0</v>
      </c>
      <c r="Q582">
        <v>0</v>
      </c>
      <c r="R582">
        <v>180</v>
      </c>
      <c r="S582" s="5">
        <v>1</v>
      </c>
      <c r="T582" s="5">
        <v>1</v>
      </c>
      <c r="U582" s="5">
        <v>1</v>
      </c>
      <c r="V582" s="5">
        <v>3</v>
      </c>
    </row>
    <row r="583" spans="1:22" x14ac:dyDescent="0.35">
      <c r="A583">
        <v>582</v>
      </c>
      <c r="B583">
        <v>63</v>
      </c>
      <c r="C583" t="s">
        <v>72</v>
      </c>
      <c r="D583" t="s">
        <v>6</v>
      </c>
      <c r="E583" t="s">
        <v>7</v>
      </c>
      <c r="F583" t="s">
        <v>12</v>
      </c>
      <c r="G583">
        <v>0</v>
      </c>
      <c r="H583">
        <v>20</v>
      </c>
      <c r="I583" t="s">
        <v>18</v>
      </c>
      <c r="J583" s="1">
        <v>1876.3600000000001</v>
      </c>
      <c r="K583" s="1">
        <v>268.05142857142857</v>
      </c>
      <c r="L583">
        <v>7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78</v>
      </c>
      <c r="S583" s="5">
        <v>2</v>
      </c>
      <c r="T583" s="5">
        <v>2</v>
      </c>
      <c r="U583" s="5">
        <v>3</v>
      </c>
      <c r="V583" s="5">
        <v>7</v>
      </c>
    </row>
    <row r="584" spans="1:22" x14ac:dyDescent="0.35">
      <c r="A584">
        <v>583</v>
      </c>
      <c r="B584">
        <v>59</v>
      </c>
      <c r="C584" t="s">
        <v>74</v>
      </c>
      <c r="D584" t="s">
        <v>5</v>
      </c>
      <c r="E584" t="s">
        <v>9</v>
      </c>
      <c r="F584" t="s">
        <v>12</v>
      </c>
      <c r="G584">
        <v>0</v>
      </c>
      <c r="H584">
        <v>40</v>
      </c>
      <c r="I584" t="s">
        <v>18</v>
      </c>
      <c r="J584" s="1">
        <v>783.96</v>
      </c>
      <c r="K584" s="1">
        <v>195.99</v>
      </c>
      <c r="L584">
        <v>4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114</v>
      </c>
      <c r="S584" s="5">
        <v>1</v>
      </c>
      <c r="T584" s="5">
        <v>2</v>
      </c>
      <c r="U584" s="5">
        <v>1</v>
      </c>
      <c r="V584" s="5">
        <v>4</v>
      </c>
    </row>
    <row r="585" spans="1:22" x14ac:dyDescent="0.35">
      <c r="A585">
        <v>584</v>
      </c>
      <c r="B585">
        <v>22</v>
      </c>
      <c r="C585" t="s">
        <v>73</v>
      </c>
      <c r="D585" t="s">
        <v>5</v>
      </c>
      <c r="E585" t="s">
        <v>10</v>
      </c>
      <c r="F585" t="s">
        <v>13</v>
      </c>
      <c r="G585">
        <v>0</v>
      </c>
      <c r="H585">
        <v>44</v>
      </c>
      <c r="I585" t="s">
        <v>18</v>
      </c>
      <c r="J585" s="1">
        <v>1677.0800000000002</v>
      </c>
      <c r="K585" s="1">
        <v>239.58285714285716</v>
      </c>
      <c r="L585">
        <v>7</v>
      </c>
      <c r="M585">
        <v>2</v>
      </c>
      <c r="N585">
        <v>1</v>
      </c>
      <c r="O585">
        <v>1</v>
      </c>
      <c r="P585">
        <v>0</v>
      </c>
      <c r="Q585">
        <v>1</v>
      </c>
      <c r="R585">
        <v>135</v>
      </c>
      <c r="S585" s="5">
        <v>1</v>
      </c>
      <c r="T585" s="5">
        <v>2</v>
      </c>
      <c r="U585" s="5">
        <v>3</v>
      </c>
      <c r="V585" s="5">
        <v>6</v>
      </c>
    </row>
    <row r="586" spans="1:22" x14ac:dyDescent="0.35">
      <c r="A586">
        <v>585</v>
      </c>
      <c r="B586">
        <v>47</v>
      </c>
      <c r="C586" t="s">
        <v>74</v>
      </c>
      <c r="D586" t="s">
        <v>5</v>
      </c>
      <c r="E586" t="s">
        <v>8</v>
      </c>
      <c r="F586" t="s">
        <v>11</v>
      </c>
      <c r="G586">
        <v>0</v>
      </c>
      <c r="H586">
        <v>41</v>
      </c>
      <c r="I586" t="s">
        <v>18</v>
      </c>
      <c r="J586" s="1">
        <v>1709.36</v>
      </c>
      <c r="K586" s="1">
        <v>284.89333333333332</v>
      </c>
      <c r="L586">
        <v>6</v>
      </c>
      <c r="M586">
        <v>2</v>
      </c>
      <c r="N586">
        <v>0</v>
      </c>
      <c r="O586">
        <v>0</v>
      </c>
      <c r="P586">
        <v>1</v>
      </c>
      <c r="Q586">
        <v>1</v>
      </c>
      <c r="R586">
        <v>69</v>
      </c>
      <c r="S586" s="5">
        <v>2</v>
      </c>
      <c r="T586" s="5">
        <v>2</v>
      </c>
      <c r="U586" s="5">
        <v>3</v>
      </c>
      <c r="V586" s="5">
        <v>7</v>
      </c>
    </row>
    <row r="587" spans="1:22" x14ac:dyDescent="0.35">
      <c r="A587">
        <v>586</v>
      </c>
      <c r="B587">
        <v>45</v>
      </c>
      <c r="C587" t="s">
        <v>75</v>
      </c>
      <c r="D587" t="s">
        <v>5</v>
      </c>
      <c r="E587" t="s">
        <v>10</v>
      </c>
      <c r="F587" t="s">
        <v>11</v>
      </c>
      <c r="G587">
        <v>1</v>
      </c>
      <c r="H587">
        <v>33</v>
      </c>
      <c r="I587" t="s">
        <v>18</v>
      </c>
      <c r="J587" s="1">
        <v>1667.53</v>
      </c>
      <c r="K587" s="1">
        <v>333.50599999999997</v>
      </c>
      <c r="L587">
        <v>5</v>
      </c>
      <c r="M587">
        <v>1</v>
      </c>
      <c r="N587">
        <v>1</v>
      </c>
      <c r="O587">
        <v>0</v>
      </c>
      <c r="P587">
        <v>0</v>
      </c>
      <c r="Q587">
        <v>1</v>
      </c>
      <c r="R587">
        <v>224</v>
      </c>
      <c r="S587" s="5">
        <v>1</v>
      </c>
      <c r="T587" s="5">
        <v>2</v>
      </c>
      <c r="U587" s="5">
        <v>3</v>
      </c>
      <c r="V587" s="5">
        <v>6</v>
      </c>
    </row>
    <row r="588" spans="1:22" x14ac:dyDescent="0.35">
      <c r="A588">
        <v>587</v>
      </c>
      <c r="B588">
        <v>35</v>
      </c>
      <c r="C588" t="s">
        <v>75</v>
      </c>
      <c r="D588" t="s">
        <v>6</v>
      </c>
      <c r="E588" t="s">
        <v>7</v>
      </c>
      <c r="F588" t="s">
        <v>11</v>
      </c>
      <c r="G588">
        <v>0</v>
      </c>
      <c r="H588">
        <v>10</v>
      </c>
      <c r="I588" t="s">
        <v>17</v>
      </c>
      <c r="J588" s="1">
        <v>623.49</v>
      </c>
      <c r="K588" s="1">
        <v>207.83</v>
      </c>
      <c r="L588">
        <v>3</v>
      </c>
      <c r="M588">
        <v>1</v>
      </c>
      <c r="N588">
        <v>0</v>
      </c>
      <c r="O588">
        <v>0</v>
      </c>
      <c r="P588">
        <v>1</v>
      </c>
      <c r="Q588">
        <v>0</v>
      </c>
      <c r="R588">
        <v>43</v>
      </c>
      <c r="S588" s="5">
        <v>2</v>
      </c>
      <c r="T588" s="5">
        <v>2</v>
      </c>
      <c r="U588" s="5">
        <v>1</v>
      </c>
      <c r="V588" s="5">
        <v>5</v>
      </c>
    </row>
    <row r="589" spans="1:22" x14ac:dyDescent="0.35">
      <c r="A589">
        <v>588</v>
      </c>
      <c r="B589">
        <v>53</v>
      </c>
      <c r="C589" t="s">
        <v>74</v>
      </c>
      <c r="D589" t="s">
        <v>6</v>
      </c>
      <c r="E589" t="s">
        <v>8</v>
      </c>
      <c r="F589" t="s">
        <v>13</v>
      </c>
      <c r="G589">
        <v>1</v>
      </c>
      <c r="H589">
        <v>5</v>
      </c>
      <c r="I589" t="s">
        <v>16</v>
      </c>
      <c r="J589" s="1">
        <v>1726.51</v>
      </c>
      <c r="K589" s="1">
        <v>215.81375</v>
      </c>
      <c r="L589">
        <v>8</v>
      </c>
      <c r="M589">
        <v>2</v>
      </c>
      <c r="N589">
        <v>1</v>
      </c>
      <c r="O589">
        <v>1</v>
      </c>
      <c r="P589">
        <v>1</v>
      </c>
      <c r="Q589">
        <v>0</v>
      </c>
      <c r="R589">
        <v>17</v>
      </c>
      <c r="S589" s="5">
        <v>3</v>
      </c>
      <c r="T589" s="5">
        <v>3</v>
      </c>
      <c r="U589" s="5">
        <v>3</v>
      </c>
      <c r="V589" s="5">
        <v>9</v>
      </c>
    </row>
    <row r="590" spans="1:22" x14ac:dyDescent="0.35">
      <c r="A590">
        <v>589</v>
      </c>
      <c r="B590">
        <v>20</v>
      </c>
      <c r="C590" t="s">
        <v>73</v>
      </c>
      <c r="D590" t="s">
        <v>6</v>
      </c>
      <c r="E590" t="s">
        <v>9</v>
      </c>
      <c r="F590" t="s">
        <v>12</v>
      </c>
      <c r="G590">
        <v>1</v>
      </c>
      <c r="H590">
        <v>11</v>
      </c>
      <c r="I590" t="s">
        <v>16</v>
      </c>
      <c r="J590" s="1">
        <v>2356.94</v>
      </c>
      <c r="K590" s="1">
        <v>261.88222222222225</v>
      </c>
      <c r="L590">
        <v>9</v>
      </c>
      <c r="M590">
        <v>2</v>
      </c>
      <c r="N590">
        <v>1</v>
      </c>
      <c r="O590">
        <v>1</v>
      </c>
      <c r="P590">
        <v>1</v>
      </c>
      <c r="Q590">
        <v>0</v>
      </c>
      <c r="R590">
        <v>2</v>
      </c>
      <c r="S590" s="5">
        <v>3</v>
      </c>
      <c r="T590" s="5">
        <v>3</v>
      </c>
      <c r="U590" s="5">
        <v>3</v>
      </c>
      <c r="V590" s="5">
        <v>9</v>
      </c>
    </row>
    <row r="591" spans="1:22" x14ac:dyDescent="0.35">
      <c r="A591">
        <v>590</v>
      </c>
      <c r="B591">
        <v>38</v>
      </c>
      <c r="C591" t="s">
        <v>75</v>
      </c>
      <c r="D591" t="s">
        <v>5</v>
      </c>
      <c r="E591" t="s">
        <v>9</v>
      </c>
      <c r="F591" t="s">
        <v>13</v>
      </c>
      <c r="G591">
        <v>0</v>
      </c>
      <c r="H591">
        <v>21</v>
      </c>
      <c r="I591" t="s">
        <v>16</v>
      </c>
      <c r="J591" s="1">
        <v>1383.5900000000001</v>
      </c>
      <c r="K591" s="1">
        <v>153.73222222222225</v>
      </c>
      <c r="L591">
        <v>9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30</v>
      </c>
      <c r="S591" s="5">
        <v>2</v>
      </c>
      <c r="T591" s="5">
        <v>3</v>
      </c>
      <c r="U591" s="5">
        <v>2</v>
      </c>
      <c r="V591" s="5">
        <v>7</v>
      </c>
    </row>
    <row r="592" spans="1:22" x14ac:dyDescent="0.35">
      <c r="A592">
        <v>591</v>
      </c>
      <c r="B592">
        <v>63</v>
      </c>
      <c r="C592" t="s">
        <v>72</v>
      </c>
      <c r="D592" t="s">
        <v>6</v>
      </c>
      <c r="E592" t="s">
        <v>10</v>
      </c>
      <c r="F592" t="s">
        <v>12</v>
      </c>
      <c r="G592">
        <v>0</v>
      </c>
      <c r="H592">
        <v>20</v>
      </c>
      <c r="I592" t="s">
        <v>18</v>
      </c>
      <c r="J592" s="1">
        <v>215.12</v>
      </c>
      <c r="K592" s="1">
        <v>215.12</v>
      </c>
      <c r="L592">
        <v>1</v>
      </c>
      <c r="M592">
        <v>2</v>
      </c>
      <c r="N592">
        <v>1</v>
      </c>
      <c r="O592">
        <v>1</v>
      </c>
      <c r="P592">
        <v>0</v>
      </c>
      <c r="Q592">
        <v>1</v>
      </c>
      <c r="R592">
        <v>205</v>
      </c>
      <c r="S592" s="5">
        <v>1</v>
      </c>
      <c r="T592" s="5">
        <v>1</v>
      </c>
      <c r="U592" s="5">
        <v>1</v>
      </c>
      <c r="V592" s="5">
        <v>3</v>
      </c>
    </row>
    <row r="593" spans="1:22" x14ac:dyDescent="0.35">
      <c r="A593">
        <v>592</v>
      </c>
      <c r="B593">
        <v>33</v>
      </c>
      <c r="C593" t="s">
        <v>75</v>
      </c>
      <c r="D593" t="s">
        <v>5</v>
      </c>
      <c r="E593" t="s">
        <v>8</v>
      </c>
      <c r="F593" t="s">
        <v>11</v>
      </c>
      <c r="G593">
        <v>0</v>
      </c>
      <c r="H593">
        <v>44</v>
      </c>
      <c r="I593" t="s">
        <v>16</v>
      </c>
      <c r="J593" s="1">
        <v>2642.14</v>
      </c>
      <c r="K593" s="1">
        <v>330.26749999999998</v>
      </c>
      <c r="L593">
        <v>8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34</v>
      </c>
      <c r="S593" s="5">
        <v>2</v>
      </c>
      <c r="T593" s="5">
        <v>3</v>
      </c>
      <c r="U593" s="5">
        <v>3</v>
      </c>
      <c r="V593" s="5">
        <v>8</v>
      </c>
    </row>
    <row r="594" spans="1:22" x14ac:dyDescent="0.35">
      <c r="A594">
        <v>593</v>
      </c>
      <c r="B594">
        <v>54</v>
      </c>
      <c r="C594" t="s">
        <v>74</v>
      </c>
      <c r="D594" t="s">
        <v>6</v>
      </c>
      <c r="E594" t="s">
        <v>7</v>
      </c>
      <c r="F594" t="s">
        <v>12</v>
      </c>
      <c r="G594">
        <v>0</v>
      </c>
      <c r="H594">
        <v>9</v>
      </c>
      <c r="I594" t="s">
        <v>18</v>
      </c>
      <c r="J594" s="1">
        <v>2959.62</v>
      </c>
      <c r="K594" s="1">
        <v>328.84666666666664</v>
      </c>
      <c r="L594">
        <v>9</v>
      </c>
      <c r="M594">
        <v>1</v>
      </c>
      <c r="N594">
        <v>0</v>
      </c>
      <c r="O594">
        <v>0</v>
      </c>
      <c r="P594">
        <v>0</v>
      </c>
      <c r="Q594">
        <v>1</v>
      </c>
      <c r="R594">
        <v>5</v>
      </c>
      <c r="S594" s="5">
        <v>3</v>
      </c>
      <c r="T594" s="5">
        <v>3</v>
      </c>
      <c r="U594" s="5">
        <v>3</v>
      </c>
      <c r="V594" s="5">
        <v>9</v>
      </c>
    </row>
    <row r="595" spans="1:22" x14ac:dyDescent="0.35">
      <c r="A595">
        <v>594</v>
      </c>
      <c r="B595">
        <v>59</v>
      </c>
      <c r="C595" t="s">
        <v>74</v>
      </c>
      <c r="D595" t="s">
        <v>5</v>
      </c>
      <c r="E595" t="s">
        <v>10</v>
      </c>
      <c r="F595" t="s">
        <v>11</v>
      </c>
      <c r="G595">
        <v>0</v>
      </c>
      <c r="H595">
        <v>30</v>
      </c>
      <c r="I595" t="s">
        <v>16</v>
      </c>
      <c r="J595" s="1">
        <v>2544.69</v>
      </c>
      <c r="K595" s="1">
        <v>282.74333333333334</v>
      </c>
      <c r="L595">
        <v>9</v>
      </c>
      <c r="M595">
        <v>2</v>
      </c>
      <c r="N595">
        <v>1</v>
      </c>
      <c r="O595">
        <v>0</v>
      </c>
      <c r="P595">
        <v>1</v>
      </c>
      <c r="Q595">
        <v>1</v>
      </c>
      <c r="R595">
        <v>1</v>
      </c>
      <c r="S595" s="5">
        <v>3</v>
      </c>
      <c r="T595" s="5">
        <v>3</v>
      </c>
      <c r="U595" s="5">
        <v>3</v>
      </c>
      <c r="V595" s="5">
        <v>9</v>
      </c>
    </row>
    <row r="596" spans="1:22" x14ac:dyDescent="0.35">
      <c r="A596">
        <v>595</v>
      </c>
      <c r="B596">
        <v>22</v>
      </c>
      <c r="C596" t="s">
        <v>73</v>
      </c>
      <c r="D596" t="s">
        <v>6</v>
      </c>
      <c r="E596" t="s">
        <v>9</v>
      </c>
      <c r="F596" t="s">
        <v>11</v>
      </c>
      <c r="G596">
        <v>0</v>
      </c>
      <c r="H596">
        <v>48</v>
      </c>
      <c r="I596" t="s">
        <v>18</v>
      </c>
      <c r="J596" s="1">
        <v>2270.36</v>
      </c>
      <c r="K596" s="1">
        <v>283.79500000000002</v>
      </c>
      <c r="L596">
        <v>8</v>
      </c>
      <c r="M596">
        <v>1</v>
      </c>
      <c r="N596">
        <v>0</v>
      </c>
      <c r="O596">
        <v>0</v>
      </c>
      <c r="P596">
        <v>0</v>
      </c>
      <c r="Q596">
        <v>1</v>
      </c>
      <c r="R596">
        <v>110</v>
      </c>
      <c r="S596" s="5">
        <v>1</v>
      </c>
      <c r="T596" s="5">
        <v>3</v>
      </c>
      <c r="U596" s="5">
        <v>3</v>
      </c>
      <c r="V596" s="5">
        <v>7</v>
      </c>
    </row>
    <row r="597" spans="1:22" x14ac:dyDescent="0.35">
      <c r="A597">
        <v>596</v>
      </c>
      <c r="B597">
        <v>67</v>
      </c>
      <c r="C597" t="s">
        <v>72</v>
      </c>
      <c r="D597" t="s">
        <v>6</v>
      </c>
      <c r="E597" t="s">
        <v>8</v>
      </c>
      <c r="F597" t="s">
        <v>11</v>
      </c>
      <c r="G597">
        <v>0</v>
      </c>
      <c r="H597">
        <v>4</v>
      </c>
      <c r="I597" t="s">
        <v>16</v>
      </c>
      <c r="J597" s="1">
        <v>1346.76</v>
      </c>
      <c r="K597" s="1">
        <v>269.35199999999998</v>
      </c>
      <c r="L597">
        <v>5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101</v>
      </c>
      <c r="S597" s="5">
        <v>1</v>
      </c>
      <c r="T597" s="5">
        <v>2</v>
      </c>
      <c r="U597" s="5">
        <v>2</v>
      </c>
      <c r="V597" s="5">
        <v>5</v>
      </c>
    </row>
    <row r="598" spans="1:22" x14ac:dyDescent="0.35">
      <c r="A598">
        <v>597</v>
      </c>
      <c r="B598">
        <v>68</v>
      </c>
      <c r="C598" t="s">
        <v>72</v>
      </c>
      <c r="D598" t="s">
        <v>5</v>
      </c>
      <c r="E598" t="s">
        <v>8</v>
      </c>
      <c r="F598" t="s">
        <v>12</v>
      </c>
      <c r="G598">
        <v>0</v>
      </c>
      <c r="H598">
        <v>9</v>
      </c>
      <c r="I598" t="s">
        <v>17</v>
      </c>
      <c r="J598" s="1">
        <v>1726.8999999999999</v>
      </c>
      <c r="K598" s="1">
        <v>246.7</v>
      </c>
      <c r="L598">
        <v>7</v>
      </c>
      <c r="M598">
        <v>1</v>
      </c>
      <c r="N598">
        <v>1</v>
      </c>
      <c r="O598">
        <v>0</v>
      </c>
      <c r="P598">
        <v>0</v>
      </c>
      <c r="Q598">
        <v>1</v>
      </c>
      <c r="R598">
        <v>75</v>
      </c>
      <c r="S598" s="5">
        <v>2</v>
      </c>
      <c r="T598" s="5">
        <v>2</v>
      </c>
      <c r="U598" s="5">
        <v>3</v>
      </c>
      <c r="V598" s="5">
        <v>7</v>
      </c>
    </row>
    <row r="599" spans="1:22" x14ac:dyDescent="0.35">
      <c r="A599">
        <v>598</v>
      </c>
      <c r="B599">
        <v>31</v>
      </c>
      <c r="C599" t="s">
        <v>75</v>
      </c>
      <c r="D599" t="s">
        <v>5</v>
      </c>
      <c r="E599" t="s">
        <v>9</v>
      </c>
      <c r="F599" t="s">
        <v>13</v>
      </c>
      <c r="G599">
        <v>0</v>
      </c>
      <c r="H599">
        <v>40</v>
      </c>
      <c r="I599" t="s">
        <v>18</v>
      </c>
      <c r="J599" s="1">
        <v>1906.1000000000001</v>
      </c>
      <c r="K599" s="1">
        <v>272.3</v>
      </c>
      <c r="L599">
        <v>7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5</v>
      </c>
      <c r="S599" s="5">
        <v>3</v>
      </c>
      <c r="T599" s="5">
        <v>2</v>
      </c>
      <c r="U599" s="5">
        <v>3</v>
      </c>
      <c r="V599" s="5">
        <v>8</v>
      </c>
    </row>
    <row r="600" spans="1:22" x14ac:dyDescent="0.35">
      <c r="A600">
        <v>599</v>
      </c>
      <c r="B600">
        <v>48</v>
      </c>
      <c r="C600" t="s">
        <v>74</v>
      </c>
      <c r="D600" t="s">
        <v>5</v>
      </c>
      <c r="E600" t="s">
        <v>7</v>
      </c>
      <c r="F600" t="s">
        <v>11</v>
      </c>
      <c r="G600">
        <v>0</v>
      </c>
      <c r="H600">
        <v>3</v>
      </c>
      <c r="I600" t="s">
        <v>17</v>
      </c>
      <c r="J600" s="1">
        <v>2347.42</v>
      </c>
      <c r="K600" s="1">
        <v>260.82444444444445</v>
      </c>
      <c r="L600">
        <v>9</v>
      </c>
      <c r="M600">
        <v>2</v>
      </c>
      <c r="N600">
        <v>0</v>
      </c>
      <c r="O600">
        <v>1</v>
      </c>
      <c r="P600">
        <v>0</v>
      </c>
      <c r="Q600">
        <v>1</v>
      </c>
      <c r="R600">
        <v>98</v>
      </c>
      <c r="S600" s="5">
        <v>1</v>
      </c>
      <c r="T600" s="5">
        <v>3</v>
      </c>
      <c r="U600" s="5">
        <v>3</v>
      </c>
      <c r="V600" s="5">
        <v>7</v>
      </c>
    </row>
    <row r="601" spans="1:22" x14ac:dyDescent="0.35">
      <c r="A601">
        <v>600</v>
      </c>
      <c r="B601">
        <v>63</v>
      </c>
      <c r="C601" t="s">
        <v>72</v>
      </c>
      <c r="D601" t="s">
        <v>6</v>
      </c>
      <c r="E601" t="s">
        <v>7</v>
      </c>
      <c r="F601" t="s">
        <v>12</v>
      </c>
      <c r="G601">
        <v>0</v>
      </c>
      <c r="H601">
        <v>38</v>
      </c>
      <c r="I601" t="s">
        <v>18</v>
      </c>
      <c r="J601" s="1">
        <v>865</v>
      </c>
      <c r="K601" s="1">
        <v>216.25</v>
      </c>
      <c r="L601">
        <v>4</v>
      </c>
      <c r="M601">
        <v>1</v>
      </c>
      <c r="N601">
        <v>1</v>
      </c>
      <c r="O601">
        <v>0</v>
      </c>
      <c r="P601">
        <v>1</v>
      </c>
      <c r="Q601">
        <v>0</v>
      </c>
      <c r="R601">
        <v>44</v>
      </c>
      <c r="S601" s="5">
        <v>2</v>
      </c>
      <c r="T601" s="5">
        <v>2</v>
      </c>
      <c r="U601" s="5">
        <v>2</v>
      </c>
      <c r="V601" s="5">
        <v>6</v>
      </c>
    </row>
    <row r="602" spans="1:22" x14ac:dyDescent="0.35">
      <c r="A602">
        <v>601</v>
      </c>
      <c r="B602">
        <v>41</v>
      </c>
      <c r="C602" t="s">
        <v>75</v>
      </c>
      <c r="D602" t="s">
        <v>6</v>
      </c>
      <c r="E602" t="s">
        <v>9</v>
      </c>
      <c r="F602" t="s">
        <v>11</v>
      </c>
      <c r="G602">
        <v>0</v>
      </c>
      <c r="H602">
        <v>25</v>
      </c>
      <c r="I602" t="s">
        <v>17</v>
      </c>
      <c r="J602" s="1">
        <v>2473.7899999999995</v>
      </c>
      <c r="K602" s="1">
        <v>309.22374999999994</v>
      </c>
      <c r="L602">
        <v>8</v>
      </c>
      <c r="M602">
        <v>2</v>
      </c>
      <c r="N602">
        <v>1</v>
      </c>
      <c r="O602">
        <v>1</v>
      </c>
      <c r="P602">
        <v>0</v>
      </c>
      <c r="Q602">
        <v>1</v>
      </c>
      <c r="R602">
        <v>48</v>
      </c>
      <c r="S602" s="5">
        <v>2</v>
      </c>
      <c r="T602" s="5">
        <v>3</v>
      </c>
      <c r="U602" s="5">
        <v>3</v>
      </c>
      <c r="V602" s="5">
        <v>8</v>
      </c>
    </row>
    <row r="603" spans="1:22" x14ac:dyDescent="0.35">
      <c r="A603">
        <v>602</v>
      </c>
      <c r="B603">
        <v>52</v>
      </c>
      <c r="C603" t="s">
        <v>74</v>
      </c>
      <c r="D603" t="s">
        <v>5</v>
      </c>
      <c r="E603" t="s">
        <v>9</v>
      </c>
      <c r="F603" t="s">
        <v>12</v>
      </c>
      <c r="G603">
        <v>1</v>
      </c>
      <c r="H603">
        <v>37</v>
      </c>
      <c r="I603" t="s">
        <v>16</v>
      </c>
      <c r="J603" s="1">
        <v>1158.83</v>
      </c>
      <c r="K603" s="1">
        <v>128.75888888888889</v>
      </c>
      <c r="L603">
        <v>9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70</v>
      </c>
      <c r="S603" s="5">
        <v>2</v>
      </c>
      <c r="T603" s="5">
        <v>3</v>
      </c>
      <c r="U603" s="5">
        <v>2</v>
      </c>
      <c r="V603" s="5">
        <v>7</v>
      </c>
    </row>
    <row r="604" spans="1:22" x14ac:dyDescent="0.35">
      <c r="A604">
        <v>603</v>
      </c>
      <c r="B604">
        <v>53</v>
      </c>
      <c r="C604" t="s">
        <v>74</v>
      </c>
      <c r="D604" t="s">
        <v>5</v>
      </c>
      <c r="E604" t="s">
        <v>7</v>
      </c>
      <c r="F604" t="s">
        <v>13</v>
      </c>
      <c r="G604">
        <v>0</v>
      </c>
      <c r="H604">
        <v>30</v>
      </c>
      <c r="I604" t="s">
        <v>16</v>
      </c>
      <c r="J604" s="1">
        <v>1476.4</v>
      </c>
      <c r="K604" s="1">
        <v>295.28000000000003</v>
      </c>
      <c r="L604">
        <v>5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19</v>
      </c>
      <c r="S604" s="5">
        <v>3</v>
      </c>
      <c r="T604" s="5">
        <v>2</v>
      </c>
      <c r="U604" s="5">
        <v>2</v>
      </c>
      <c r="V604" s="5">
        <v>7</v>
      </c>
    </row>
    <row r="605" spans="1:22" x14ac:dyDescent="0.35">
      <c r="A605">
        <v>604</v>
      </c>
      <c r="B605">
        <v>27</v>
      </c>
      <c r="C605" t="s">
        <v>73</v>
      </c>
      <c r="D605" t="s">
        <v>5</v>
      </c>
      <c r="E605" t="s">
        <v>10</v>
      </c>
      <c r="F605" t="s">
        <v>11</v>
      </c>
      <c r="G605">
        <v>0</v>
      </c>
      <c r="H605">
        <v>31</v>
      </c>
      <c r="I605" t="s">
        <v>17</v>
      </c>
      <c r="J605" s="1">
        <v>437.93</v>
      </c>
      <c r="K605" s="1">
        <v>145.97666666666666</v>
      </c>
      <c r="L605">
        <v>3</v>
      </c>
      <c r="M605">
        <v>2</v>
      </c>
      <c r="N605">
        <v>1</v>
      </c>
      <c r="O605">
        <v>1</v>
      </c>
      <c r="P605">
        <v>0</v>
      </c>
      <c r="Q605">
        <v>1</v>
      </c>
      <c r="R605">
        <v>68</v>
      </c>
      <c r="S605" s="5">
        <v>2</v>
      </c>
      <c r="T605" s="5">
        <v>2</v>
      </c>
      <c r="U605" s="5">
        <v>1</v>
      </c>
      <c r="V605" s="5">
        <v>5</v>
      </c>
    </row>
    <row r="606" spans="1:22" x14ac:dyDescent="0.35">
      <c r="A606">
        <v>605</v>
      </c>
      <c r="B606">
        <v>44</v>
      </c>
      <c r="C606" t="s">
        <v>75</v>
      </c>
      <c r="D606" t="s">
        <v>5</v>
      </c>
      <c r="E606" t="s">
        <v>10</v>
      </c>
      <c r="F606" t="s">
        <v>11</v>
      </c>
      <c r="G606">
        <v>1</v>
      </c>
      <c r="H606">
        <v>17</v>
      </c>
      <c r="I606" t="s">
        <v>16</v>
      </c>
      <c r="J606" s="1">
        <v>1187.98</v>
      </c>
      <c r="K606" s="1">
        <v>296.995</v>
      </c>
      <c r="L606">
        <v>4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7</v>
      </c>
      <c r="S606" s="5">
        <v>3</v>
      </c>
      <c r="T606" s="5">
        <v>2</v>
      </c>
      <c r="U606" s="5">
        <v>2</v>
      </c>
      <c r="V606" s="5">
        <v>7</v>
      </c>
    </row>
    <row r="607" spans="1:22" x14ac:dyDescent="0.35">
      <c r="A607">
        <v>606</v>
      </c>
      <c r="B607">
        <v>44</v>
      </c>
      <c r="C607" t="s">
        <v>75</v>
      </c>
      <c r="D607" t="s">
        <v>6</v>
      </c>
      <c r="E607" t="s">
        <v>8</v>
      </c>
      <c r="F607" t="s">
        <v>11</v>
      </c>
      <c r="G607">
        <v>0</v>
      </c>
      <c r="H607">
        <v>10</v>
      </c>
      <c r="I607" t="s">
        <v>17</v>
      </c>
      <c r="J607" s="1">
        <v>271.99</v>
      </c>
      <c r="K607" s="1">
        <v>271.99</v>
      </c>
      <c r="L607">
        <v>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165</v>
      </c>
      <c r="S607" s="5">
        <v>1</v>
      </c>
      <c r="T607" s="5">
        <v>1</v>
      </c>
      <c r="U607" s="5">
        <v>1</v>
      </c>
      <c r="V607" s="5">
        <v>3</v>
      </c>
    </row>
    <row r="608" spans="1:22" x14ac:dyDescent="0.35">
      <c r="A608">
        <v>607</v>
      </c>
      <c r="B608">
        <v>40</v>
      </c>
      <c r="C608" t="s">
        <v>75</v>
      </c>
      <c r="D608" t="s">
        <v>5</v>
      </c>
      <c r="E608" t="s">
        <v>8</v>
      </c>
      <c r="F608" t="s">
        <v>13</v>
      </c>
      <c r="G608">
        <v>1</v>
      </c>
      <c r="H608">
        <v>8</v>
      </c>
      <c r="I608" t="s">
        <v>16</v>
      </c>
      <c r="J608" s="1">
        <v>1489.5100000000002</v>
      </c>
      <c r="K608" s="1">
        <v>297.90200000000004</v>
      </c>
      <c r="L608">
        <v>5</v>
      </c>
      <c r="M608">
        <v>1</v>
      </c>
      <c r="N608">
        <v>1</v>
      </c>
      <c r="O608">
        <v>1</v>
      </c>
      <c r="P608">
        <v>0</v>
      </c>
      <c r="Q608">
        <v>0</v>
      </c>
      <c r="R608">
        <v>12</v>
      </c>
      <c r="S608" s="5">
        <v>3</v>
      </c>
      <c r="T608" s="5">
        <v>2</v>
      </c>
      <c r="U608" s="5">
        <v>2</v>
      </c>
      <c r="V608" s="5">
        <v>7</v>
      </c>
    </row>
    <row r="609" spans="1:22" x14ac:dyDescent="0.35">
      <c r="A609">
        <v>608</v>
      </c>
      <c r="B609">
        <v>30</v>
      </c>
      <c r="C609" t="s">
        <v>73</v>
      </c>
      <c r="D609" t="s">
        <v>5</v>
      </c>
      <c r="E609" t="s">
        <v>10</v>
      </c>
      <c r="F609" t="s">
        <v>12</v>
      </c>
      <c r="G609">
        <v>0</v>
      </c>
      <c r="H609">
        <v>2</v>
      </c>
      <c r="I609" t="s">
        <v>16</v>
      </c>
      <c r="J609" s="1">
        <v>2463.96</v>
      </c>
      <c r="K609" s="1">
        <v>273.77333333333331</v>
      </c>
      <c r="L609">
        <v>9</v>
      </c>
      <c r="M609">
        <v>1</v>
      </c>
      <c r="N609">
        <v>1</v>
      </c>
      <c r="O609">
        <v>1</v>
      </c>
      <c r="P609">
        <v>0</v>
      </c>
      <c r="Q609">
        <v>0</v>
      </c>
      <c r="R609">
        <v>2</v>
      </c>
      <c r="S609" s="5">
        <v>3</v>
      </c>
      <c r="T609" s="5">
        <v>3</v>
      </c>
      <c r="U609" s="5">
        <v>3</v>
      </c>
      <c r="V609" s="5">
        <v>9</v>
      </c>
    </row>
    <row r="610" spans="1:22" x14ac:dyDescent="0.35">
      <c r="A610">
        <v>609</v>
      </c>
      <c r="B610">
        <v>33</v>
      </c>
      <c r="C610" t="s">
        <v>75</v>
      </c>
      <c r="D610" t="s">
        <v>6</v>
      </c>
      <c r="E610" t="s">
        <v>8</v>
      </c>
      <c r="F610" t="s">
        <v>11</v>
      </c>
      <c r="G610">
        <v>0</v>
      </c>
      <c r="H610">
        <v>32</v>
      </c>
      <c r="I610" t="s">
        <v>17</v>
      </c>
      <c r="J610" s="1">
        <v>110.77</v>
      </c>
      <c r="K610" s="1">
        <v>110.77</v>
      </c>
      <c r="L610">
        <v>1</v>
      </c>
      <c r="M610">
        <v>2</v>
      </c>
      <c r="N610">
        <v>1</v>
      </c>
      <c r="O610">
        <v>1</v>
      </c>
      <c r="P610">
        <v>0</v>
      </c>
      <c r="Q610">
        <v>0</v>
      </c>
      <c r="R610">
        <v>159</v>
      </c>
      <c r="S610" s="5">
        <v>1</v>
      </c>
      <c r="T610" s="5">
        <v>1</v>
      </c>
      <c r="U610" s="5">
        <v>1</v>
      </c>
      <c r="V610" s="5">
        <v>3</v>
      </c>
    </row>
    <row r="611" spans="1:22" x14ac:dyDescent="0.35">
      <c r="A611">
        <v>610</v>
      </c>
      <c r="B611">
        <v>52</v>
      </c>
      <c r="C611" t="s">
        <v>74</v>
      </c>
      <c r="D611" t="s">
        <v>6</v>
      </c>
      <c r="E611" t="s">
        <v>10</v>
      </c>
      <c r="F611" t="s">
        <v>11</v>
      </c>
      <c r="G611">
        <v>0</v>
      </c>
      <c r="H611">
        <v>11</v>
      </c>
      <c r="I611" t="s">
        <v>16</v>
      </c>
      <c r="J611" s="1">
        <v>1504.22</v>
      </c>
      <c r="K611" s="1">
        <v>300.84399999999999</v>
      </c>
      <c r="L611">
        <v>5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102</v>
      </c>
      <c r="S611" s="5">
        <v>1</v>
      </c>
      <c r="T611" s="5">
        <v>2</v>
      </c>
      <c r="U611" s="5">
        <v>2</v>
      </c>
      <c r="V611" s="5">
        <v>5</v>
      </c>
    </row>
    <row r="612" spans="1:22" x14ac:dyDescent="0.35">
      <c r="A612">
        <v>611</v>
      </c>
      <c r="B612">
        <v>44</v>
      </c>
      <c r="C612" t="s">
        <v>75</v>
      </c>
      <c r="D612" t="s">
        <v>5</v>
      </c>
      <c r="E612" t="s">
        <v>8</v>
      </c>
      <c r="F612" t="s">
        <v>13</v>
      </c>
      <c r="G612">
        <v>0</v>
      </c>
      <c r="H612">
        <v>10</v>
      </c>
      <c r="I612" t="s">
        <v>18</v>
      </c>
      <c r="J612" s="1">
        <v>624.87000000000012</v>
      </c>
      <c r="K612" s="1">
        <v>208.29000000000005</v>
      </c>
      <c r="L612">
        <v>3</v>
      </c>
      <c r="M612">
        <v>1</v>
      </c>
      <c r="N612">
        <v>1</v>
      </c>
      <c r="O612">
        <v>1</v>
      </c>
      <c r="P612">
        <v>0</v>
      </c>
      <c r="Q612">
        <v>0</v>
      </c>
      <c r="R612">
        <v>69</v>
      </c>
      <c r="S612" s="5">
        <v>2</v>
      </c>
      <c r="T612" s="5">
        <v>2</v>
      </c>
      <c r="U612" s="5">
        <v>1</v>
      </c>
      <c r="V612" s="5">
        <v>5</v>
      </c>
    </row>
    <row r="613" spans="1:22" x14ac:dyDescent="0.35">
      <c r="A613">
        <v>612</v>
      </c>
      <c r="B613">
        <v>69</v>
      </c>
      <c r="C613" t="s">
        <v>72</v>
      </c>
      <c r="D613" t="s">
        <v>6</v>
      </c>
      <c r="E613" t="s">
        <v>10</v>
      </c>
      <c r="F613" t="s">
        <v>12</v>
      </c>
      <c r="G613">
        <v>0</v>
      </c>
      <c r="H613">
        <v>41</v>
      </c>
      <c r="I613" t="s">
        <v>18</v>
      </c>
      <c r="J613" s="1">
        <v>1688.2900000000002</v>
      </c>
      <c r="K613" s="1">
        <v>241.18428571428575</v>
      </c>
      <c r="L613">
        <v>7</v>
      </c>
      <c r="M613">
        <v>2</v>
      </c>
      <c r="N613">
        <v>0</v>
      </c>
      <c r="O613">
        <v>1</v>
      </c>
      <c r="P613">
        <v>0</v>
      </c>
      <c r="Q613">
        <v>1</v>
      </c>
      <c r="R613">
        <v>17</v>
      </c>
      <c r="S613" s="5">
        <v>3</v>
      </c>
      <c r="T613" s="5">
        <v>2</v>
      </c>
      <c r="U613" s="5">
        <v>3</v>
      </c>
      <c r="V613" s="5">
        <v>8</v>
      </c>
    </row>
    <row r="614" spans="1:22" x14ac:dyDescent="0.35">
      <c r="A614">
        <v>613</v>
      </c>
      <c r="B614">
        <v>56</v>
      </c>
      <c r="C614" t="s">
        <v>74</v>
      </c>
      <c r="D614" t="s">
        <v>5</v>
      </c>
      <c r="E614" t="s">
        <v>8</v>
      </c>
      <c r="F614" t="s">
        <v>13</v>
      </c>
      <c r="G614">
        <v>0</v>
      </c>
      <c r="H614">
        <v>32</v>
      </c>
      <c r="I614" t="s">
        <v>18</v>
      </c>
      <c r="J614" s="1">
        <v>612.17999999999995</v>
      </c>
      <c r="K614" s="1">
        <v>204.05999999999997</v>
      </c>
      <c r="L614">
        <v>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35</v>
      </c>
      <c r="S614" s="5">
        <v>2</v>
      </c>
      <c r="T614" s="5">
        <v>2</v>
      </c>
      <c r="U614" s="5">
        <v>1</v>
      </c>
      <c r="V614" s="5">
        <v>5</v>
      </c>
    </row>
    <row r="615" spans="1:22" x14ac:dyDescent="0.35">
      <c r="A615">
        <v>614</v>
      </c>
      <c r="B615">
        <v>64</v>
      </c>
      <c r="C615" t="s">
        <v>72</v>
      </c>
      <c r="D615" t="s">
        <v>6</v>
      </c>
      <c r="E615" t="s">
        <v>8</v>
      </c>
      <c r="F615" t="s">
        <v>13</v>
      </c>
      <c r="G615">
        <v>1</v>
      </c>
      <c r="H615">
        <v>24</v>
      </c>
      <c r="I615" t="s">
        <v>16</v>
      </c>
      <c r="J615" s="1">
        <v>1239.1599999999999</v>
      </c>
      <c r="K615" s="1">
        <v>413.05333333333328</v>
      </c>
      <c r="L615">
        <v>3</v>
      </c>
      <c r="M615">
        <v>1</v>
      </c>
      <c r="N615">
        <v>0</v>
      </c>
      <c r="O615">
        <v>0</v>
      </c>
      <c r="P615">
        <v>0</v>
      </c>
      <c r="Q615">
        <v>1</v>
      </c>
      <c r="R615">
        <v>21</v>
      </c>
      <c r="S615" s="5">
        <v>3</v>
      </c>
      <c r="T615" s="5">
        <v>2</v>
      </c>
      <c r="U615" s="5">
        <v>2</v>
      </c>
      <c r="V615" s="5">
        <v>7</v>
      </c>
    </row>
    <row r="616" spans="1:22" x14ac:dyDescent="0.35">
      <c r="A616">
        <v>615</v>
      </c>
      <c r="B616">
        <v>34</v>
      </c>
      <c r="C616" t="s">
        <v>75</v>
      </c>
      <c r="D616" t="s">
        <v>6</v>
      </c>
      <c r="E616" t="s">
        <v>10</v>
      </c>
      <c r="F616" t="s">
        <v>11</v>
      </c>
      <c r="G616">
        <v>0</v>
      </c>
      <c r="H616">
        <v>7</v>
      </c>
      <c r="I616" t="s">
        <v>18</v>
      </c>
      <c r="J616" s="1">
        <v>481.67999999999995</v>
      </c>
      <c r="K616" s="1">
        <v>160.55999999999997</v>
      </c>
      <c r="L616">
        <v>3</v>
      </c>
      <c r="M616">
        <v>2</v>
      </c>
      <c r="N616">
        <v>1</v>
      </c>
      <c r="O616">
        <v>0</v>
      </c>
      <c r="P616">
        <v>0</v>
      </c>
      <c r="Q616">
        <v>1</v>
      </c>
      <c r="R616">
        <v>192</v>
      </c>
      <c r="S616" s="5">
        <v>1</v>
      </c>
      <c r="T616" s="5">
        <v>2</v>
      </c>
      <c r="U616" s="5">
        <v>1</v>
      </c>
      <c r="V616" s="5">
        <v>4</v>
      </c>
    </row>
    <row r="617" spans="1:22" x14ac:dyDescent="0.35">
      <c r="A617">
        <v>616</v>
      </c>
      <c r="B617">
        <v>65</v>
      </c>
      <c r="C617" t="s">
        <v>72</v>
      </c>
      <c r="D617" t="s">
        <v>5</v>
      </c>
      <c r="E617" t="s">
        <v>7</v>
      </c>
      <c r="F617" t="s">
        <v>12</v>
      </c>
      <c r="G617">
        <v>1</v>
      </c>
      <c r="H617">
        <v>29</v>
      </c>
      <c r="I617" t="s">
        <v>18</v>
      </c>
      <c r="J617" s="1">
        <v>1674.35</v>
      </c>
      <c r="K617" s="1">
        <v>209.29374999999999</v>
      </c>
      <c r="L617">
        <v>8</v>
      </c>
      <c r="M617">
        <v>1</v>
      </c>
      <c r="N617">
        <v>1</v>
      </c>
      <c r="O617">
        <v>0</v>
      </c>
      <c r="P617">
        <v>0</v>
      </c>
      <c r="Q617">
        <v>1</v>
      </c>
      <c r="R617">
        <v>115</v>
      </c>
      <c r="S617" s="5">
        <v>1</v>
      </c>
      <c r="T617" s="5">
        <v>3</v>
      </c>
      <c r="U617" s="5">
        <v>3</v>
      </c>
      <c r="V617" s="5">
        <v>7</v>
      </c>
    </row>
    <row r="618" spans="1:22" x14ac:dyDescent="0.35">
      <c r="A618">
        <v>617</v>
      </c>
      <c r="B618">
        <v>58</v>
      </c>
      <c r="C618" t="s">
        <v>74</v>
      </c>
      <c r="D618" t="s">
        <v>6</v>
      </c>
      <c r="E618" t="s">
        <v>10</v>
      </c>
      <c r="F618" t="s">
        <v>11</v>
      </c>
      <c r="G618">
        <v>1</v>
      </c>
      <c r="H618">
        <v>2</v>
      </c>
      <c r="I618" t="s">
        <v>18</v>
      </c>
      <c r="J618" s="1">
        <v>2146.58</v>
      </c>
      <c r="K618" s="1">
        <v>306.65428571428572</v>
      </c>
      <c r="L618">
        <v>7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23</v>
      </c>
      <c r="S618" s="5">
        <v>3</v>
      </c>
      <c r="T618" s="5">
        <v>2</v>
      </c>
      <c r="U618" s="5">
        <v>3</v>
      </c>
      <c r="V618" s="5">
        <v>8</v>
      </c>
    </row>
    <row r="619" spans="1:22" x14ac:dyDescent="0.35">
      <c r="A619">
        <v>618</v>
      </c>
      <c r="B619">
        <v>18</v>
      </c>
      <c r="C619" t="s">
        <v>73</v>
      </c>
      <c r="D619" t="s">
        <v>5</v>
      </c>
      <c r="E619" t="s">
        <v>10</v>
      </c>
      <c r="F619" t="s">
        <v>11</v>
      </c>
      <c r="G619">
        <v>1</v>
      </c>
      <c r="H619">
        <v>16</v>
      </c>
      <c r="I619" t="s">
        <v>16</v>
      </c>
      <c r="J619" s="1">
        <v>1025.54</v>
      </c>
      <c r="K619" s="1">
        <v>146.50571428571428</v>
      </c>
      <c r="L619">
        <v>7</v>
      </c>
      <c r="M619">
        <v>2</v>
      </c>
      <c r="N619">
        <v>0</v>
      </c>
      <c r="O619">
        <v>0</v>
      </c>
      <c r="P619">
        <v>1</v>
      </c>
      <c r="Q619">
        <v>1</v>
      </c>
      <c r="R619">
        <v>24</v>
      </c>
      <c r="S619" s="5">
        <v>3</v>
      </c>
      <c r="T619" s="5">
        <v>2</v>
      </c>
      <c r="U619" s="5">
        <v>2</v>
      </c>
      <c r="V619" s="5">
        <v>7</v>
      </c>
    </row>
    <row r="620" spans="1:22" x14ac:dyDescent="0.35">
      <c r="A620">
        <v>619</v>
      </c>
      <c r="B620">
        <v>28</v>
      </c>
      <c r="C620" t="s">
        <v>73</v>
      </c>
      <c r="D620" t="s">
        <v>5</v>
      </c>
      <c r="E620" t="s">
        <v>9</v>
      </c>
      <c r="F620" t="s">
        <v>13</v>
      </c>
      <c r="G620">
        <v>1</v>
      </c>
      <c r="H620">
        <v>31</v>
      </c>
      <c r="I620" t="s">
        <v>18</v>
      </c>
      <c r="J620" s="1">
        <v>244.19</v>
      </c>
      <c r="K620" s="1">
        <v>244.19</v>
      </c>
      <c r="L620">
        <v>1</v>
      </c>
      <c r="M620">
        <v>1</v>
      </c>
      <c r="N620">
        <v>1</v>
      </c>
      <c r="O620">
        <v>0</v>
      </c>
      <c r="P620">
        <v>0</v>
      </c>
      <c r="Q620">
        <v>1</v>
      </c>
      <c r="R620">
        <v>265</v>
      </c>
      <c r="S620" s="5">
        <v>1</v>
      </c>
      <c r="T620" s="5">
        <v>1</v>
      </c>
      <c r="U620" s="5">
        <v>1</v>
      </c>
      <c r="V620" s="5">
        <v>3</v>
      </c>
    </row>
    <row r="621" spans="1:22" x14ac:dyDescent="0.35">
      <c r="A621">
        <v>620</v>
      </c>
      <c r="B621">
        <v>29</v>
      </c>
      <c r="C621" t="s">
        <v>73</v>
      </c>
      <c r="D621" t="s">
        <v>6</v>
      </c>
      <c r="E621" t="s">
        <v>7</v>
      </c>
      <c r="F621" t="s">
        <v>13</v>
      </c>
      <c r="G621">
        <v>0</v>
      </c>
      <c r="H621">
        <v>12</v>
      </c>
      <c r="I621" t="s">
        <v>18</v>
      </c>
      <c r="J621" s="1">
        <v>694.35</v>
      </c>
      <c r="K621" s="1">
        <v>231.45000000000002</v>
      </c>
      <c r="L621">
        <v>3</v>
      </c>
      <c r="M621">
        <v>1</v>
      </c>
      <c r="N621">
        <v>1</v>
      </c>
      <c r="O621">
        <v>1</v>
      </c>
      <c r="P621">
        <v>0</v>
      </c>
      <c r="Q621">
        <v>0</v>
      </c>
      <c r="R621">
        <v>14</v>
      </c>
      <c r="S621" s="5">
        <v>3</v>
      </c>
      <c r="T621" s="5">
        <v>2</v>
      </c>
      <c r="U621" s="5">
        <v>1</v>
      </c>
      <c r="V621" s="5">
        <v>6</v>
      </c>
    </row>
    <row r="622" spans="1:22" x14ac:dyDescent="0.35">
      <c r="A622">
        <v>621</v>
      </c>
      <c r="B622">
        <v>31</v>
      </c>
      <c r="C622" t="s">
        <v>75</v>
      </c>
      <c r="D622" t="s">
        <v>6</v>
      </c>
      <c r="E622" t="s">
        <v>8</v>
      </c>
      <c r="F622" t="s">
        <v>11</v>
      </c>
      <c r="G622">
        <v>0</v>
      </c>
      <c r="H622">
        <v>32</v>
      </c>
      <c r="I622" t="s">
        <v>18</v>
      </c>
      <c r="J622" s="1">
        <v>204.8</v>
      </c>
      <c r="K622" s="1">
        <v>102.4</v>
      </c>
      <c r="L622">
        <v>2</v>
      </c>
      <c r="M622">
        <v>1</v>
      </c>
      <c r="N622">
        <v>0</v>
      </c>
      <c r="O622">
        <v>0</v>
      </c>
      <c r="P622">
        <v>0</v>
      </c>
      <c r="Q622">
        <v>1</v>
      </c>
      <c r="R622">
        <v>316</v>
      </c>
      <c r="S622" s="5">
        <v>1</v>
      </c>
      <c r="T622" s="5">
        <v>1</v>
      </c>
      <c r="U622" s="5">
        <v>1</v>
      </c>
      <c r="V622" s="5">
        <v>3</v>
      </c>
    </row>
    <row r="623" spans="1:22" x14ac:dyDescent="0.35">
      <c r="A623">
        <v>622</v>
      </c>
      <c r="B623">
        <v>25</v>
      </c>
      <c r="C623" t="s">
        <v>73</v>
      </c>
      <c r="D623" t="s">
        <v>5</v>
      </c>
      <c r="E623" t="s">
        <v>7</v>
      </c>
      <c r="F623" t="s">
        <v>13</v>
      </c>
      <c r="G623">
        <v>0</v>
      </c>
      <c r="H623">
        <v>47</v>
      </c>
      <c r="I623" t="s">
        <v>18</v>
      </c>
      <c r="J623" s="1">
        <v>754.54</v>
      </c>
      <c r="K623" s="1">
        <v>150.90799999999999</v>
      </c>
      <c r="L623">
        <v>5</v>
      </c>
      <c r="M623">
        <v>1</v>
      </c>
      <c r="N623">
        <v>1</v>
      </c>
      <c r="O623">
        <v>0</v>
      </c>
      <c r="P623">
        <v>1</v>
      </c>
      <c r="Q623">
        <v>0</v>
      </c>
      <c r="R623">
        <v>25</v>
      </c>
      <c r="S623" s="5">
        <v>3</v>
      </c>
      <c r="T623" s="5">
        <v>2</v>
      </c>
      <c r="U623" s="5">
        <v>1</v>
      </c>
      <c r="V623" s="5">
        <v>6</v>
      </c>
    </row>
    <row r="624" spans="1:22" x14ac:dyDescent="0.35">
      <c r="A624">
        <v>623</v>
      </c>
      <c r="B624">
        <v>48</v>
      </c>
      <c r="C624" t="s">
        <v>74</v>
      </c>
      <c r="D624" t="s">
        <v>6</v>
      </c>
      <c r="E624" t="s">
        <v>7</v>
      </c>
      <c r="F624" t="s">
        <v>13</v>
      </c>
      <c r="G624">
        <v>0</v>
      </c>
      <c r="H624">
        <v>41</v>
      </c>
      <c r="I624" t="s">
        <v>18</v>
      </c>
      <c r="J624" s="1">
        <v>1074.25</v>
      </c>
      <c r="K624" s="1">
        <v>153.46428571428572</v>
      </c>
      <c r="L624">
        <v>7</v>
      </c>
      <c r="M624">
        <v>2</v>
      </c>
      <c r="N624">
        <v>1</v>
      </c>
      <c r="O624">
        <v>0</v>
      </c>
      <c r="P624">
        <v>1</v>
      </c>
      <c r="Q624">
        <v>0</v>
      </c>
      <c r="R624">
        <v>41</v>
      </c>
      <c r="S624" s="5">
        <v>2</v>
      </c>
      <c r="T624" s="5">
        <v>2</v>
      </c>
      <c r="U624" s="5">
        <v>2</v>
      </c>
      <c r="V624" s="5">
        <v>6</v>
      </c>
    </row>
    <row r="625" spans="1:22" x14ac:dyDescent="0.35">
      <c r="A625">
        <v>624</v>
      </c>
      <c r="B625">
        <v>24</v>
      </c>
      <c r="C625" t="s">
        <v>73</v>
      </c>
      <c r="D625" t="s">
        <v>6</v>
      </c>
      <c r="E625" t="s">
        <v>7</v>
      </c>
      <c r="F625" t="s">
        <v>12</v>
      </c>
      <c r="G625">
        <v>0</v>
      </c>
      <c r="H625">
        <v>18</v>
      </c>
      <c r="I625" t="s">
        <v>17</v>
      </c>
      <c r="J625" s="1">
        <v>934.44</v>
      </c>
      <c r="K625" s="1">
        <v>233.61</v>
      </c>
      <c r="L625">
        <v>4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130</v>
      </c>
      <c r="S625" s="5">
        <v>1</v>
      </c>
      <c r="T625" s="5">
        <v>2</v>
      </c>
      <c r="U625" s="5">
        <v>2</v>
      </c>
      <c r="V625" s="5">
        <v>5</v>
      </c>
    </row>
    <row r="626" spans="1:22" x14ac:dyDescent="0.35">
      <c r="A626">
        <v>625</v>
      </c>
      <c r="B626">
        <v>63</v>
      </c>
      <c r="C626" t="s">
        <v>72</v>
      </c>
      <c r="D626" t="s">
        <v>6</v>
      </c>
      <c r="E626" t="s">
        <v>9</v>
      </c>
      <c r="F626" t="s">
        <v>11</v>
      </c>
      <c r="G626">
        <v>1</v>
      </c>
      <c r="H626">
        <v>3</v>
      </c>
      <c r="I626" t="s">
        <v>16</v>
      </c>
      <c r="J626" s="1">
        <v>2452.39</v>
      </c>
      <c r="K626" s="1">
        <v>272.48777777777775</v>
      </c>
      <c r="L626">
        <v>9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9</v>
      </c>
      <c r="S626" s="5">
        <v>3</v>
      </c>
      <c r="T626" s="5">
        <v>3</v>
      </c>
      <c r="U626" s="5">
        <v>3</v>
      </c>
      <c r="V626" s="5">
        <v>9</v>
      </c>
    </row>
    <row r="627" spans="1:22" x14ac:dyDescent="0.35">
      <c r="A627">
        <v>626</v>
      </c>
      <c r="B627">
        <v>48</v>
      </c>
      <c r="C627" t="s">
        <v>74</v>
      </c>
      <c r="D627" t="s">
        <v>5</v>
      </c>
      <c r="E627" t="s">
        <v>9</v>
      </c>
      <c r="F627" t="s">
        <v>11</v>
      </c>
      <c r="G627">
        <v>0</v>
      </c>
      <c r="H627">
        <v>16</v>
      </c>
      <c r="I627" t="s">
        <v>17</v>
      </c>
      <c r="J627" s="1">
        <v>2416.8999999999996</v>
      </c>
      <c r="K627" s="1">
        <v>302.11249999999995</v>
      </c>
      <c r="L627">
        <v>8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28</v>
      </c>
      <c r="S627" s="5">
        <v>3</v>
      </c>
      <c r="T627" s="5">
        <v>3</v>
      </c>
      <c r="U627" s="5">
        <v>3</v>
      </c>
      <c r="V627" s="5">
        <v>9</v>
      </c>
    </row>
    <row r="628" spans="1:22" x14ac:dyDescent="0.35">
      <c r="A628">
        <v>627</v>
      </c>
      <c r="B628">
        <v>33</v>
      </c>
      <c r="C628" t="s">
        <v>75</v>
      </c>
      <c r="D628" t="s">
        <v>6</v>
      </c>
      <c r="E628" t="s">
        <v>8</v>
      </c>
      <c r="F628" t="s">
        <v>12</v>
      </c>
      <c r="G628">
        <v>1</v>
      </c>
      <c r="H628">
        <v>49</v>
      </c>
      <c r="I628" t="s">
        <v>17</v>
      </c>
      <c r="J628" s="1">
        <v>1929.48</v>
      </c>
      <c r="K628" s="1">
        <v>321.58</v>
      </c>
      <c r="L628">
        <v>6</v>
      </c>
      <c r="M628">
        <v>1</v>
      </c>
      <c r="N628">
        <v>0</v>
      </c>
      <c r="O628">
        <v>0</v>
      </c>
      <c r="P628">
        <v>0</v>
      </c>
      <c r="Q628">
        <v>1</v>
      </c>
      <c r="R628">
        <v>117</v>
      </c>
      <c r="S628" s="5">
        <v>1</v>
      </c>
      <c r="T628" s="5">
        <v>2</v>
      </c>
      <c r="U628" s="5">
        <v>3</v>
      </c>
      <c r="V628" s="5">
        <v>6</v>
      </c>
    </row>
    <row r="629" spans="1:22" x14ac:dyDescent="0.35">
      <c r="A629">
        <v>628</v>
      </c>
      <c r="B629">
        <v>59</v>
      </c>
      <c r="C629" t="s">
        <v>74</v>
      </c>
      <c r="D629" t="s">
        <v>6</v>
      </c>
      <c r="E629" t="s">
        <v>10</v>
      </c>
      <c r="F629" t="s">
        <v>13</v>
      </c>
      <c r="G629">
        <v>0</v>
      </c>
      <c r="H629">
        <v>42</v>
      </c>
      <c r="I629" t="s">
        <v>17</v>
      </c>
      <c r="J629" s="1">
        <v>67.650000000000006</v>
      </c>
      <c r="K629" s="1">
        <v>67.650000000000006</v>
      </c>
      <c r="L629">
        <v>1</v>
      </c>
      <c r="M629">
        <v>1</v>
      </c>
      <c r="N629">
        <v>0</v>
      </c>
      <c r="O629">
        <v>0</v>
      </c>
      <c r="P629">
        <v>1</v>
      </c>
      <c r="Q629">
        <v>0</v>
      </c>
      <c r="R629">
        <v>242</v>
      </c>
      <c r="S629" s="5">
        <v>1</v>
      </c>
      <c r="T629" s="5">
        <v>1</v>
      </c>
      <c r="U629" s="5">
        <v>1</v>
      </c>
      <c r="V629" s="5">
        <v>3</v>
      </c>
    </row>
    <row r="630" spans="1:22" x14ac:dyDescent="0.35">
      <c r="A630">
        <v>629</v>
      </c>
      <c r="B630">
        <v>56</v>
      </c>
      <c r="C630" t="s">
        <v>74</v>
      </c>
      <c r="D630" t="s">
        <v>5</v>
      </c>
      <c r="E630" t="s">
        <v>7</v>
      </c>
      <c r="F630" t="s">
        <v>12</v>
      </c>
      <c r="G630">
        <v>0</v>
      </c>
      <c r="H630">
        <v>18</v>
      </c>
      <c r="I630" t="s">
        <v>18</v>
      </c>
      <c r="J630" s="1">
        <v>657.36999999999989</v>
      </c>
      <c r="K630" s="1">
        <v>219.12333333333331</v>
      </c>
      <c r="L630">
        <v>3</v>
      </c>
      <c r="M630">
        <v>2</v>
      </c>
      <c r="N630">
        <v>1</v>
      </c>
      <c r="O630">
        <v>0</v>
      </c>
      <c r="P630">
        <v>0</v>
      </c>
      <c r="Q630">
        <v>1</v>
      </c>
      <c r="R630">
        <v>75</v>
      </c>
      <c r="S630" s="5">
        <v>2</v>
      </c>
      <c r="T630" s="5">
        <v>2</v>
      </c>
      <c r="U630" s="5">
        <v>1</v>
      </c>
      <c r="V630" s="5">
        <v>5</v>
      </c>
    </row>
    <row r="631" spans="1:22" x14ac:dyDescent="0.35">
      <c r="A631">
        <v>630</v>
      </c>
      <c r="B631">
        <v>61</v>
      </c>
      <c r="C631" t="s">
        <v>72</v>
      </c>
      <c r="D631" t="s">
        <v>6</v>
      </c>
      <c r="E631" t="s">
        <v>8</v>
      </c>
      <c r="F631" t="s">
        <v>12</v>
      </c>
      <c r="G631">
        <v>1</v>
      </c>
      <c r="H631">
        <v>44</v>
      </c>
      <c r="I631" t="s">
        <v>17</v>
      </c>
      <c r="J631" s="1">
        <v>942.44</v>
      </c>
      <c r="K631" s="1">
        <v>471.22</v>
      </c>
      <c r="L631">
        <v>2</v>
      </c>
      <c r="M631">
        <v>1</v>
      </c>
      <c r="N631">
        <v>1</v>
      </c>
      <c r="O631">
        <v>0</v>
      </c>
      <c r="P631">
        <v>1</v>
      </c>
      <c r="Q631">
        <v>0</v>
      </c>
      <c r="R631">
        <v>96</v>
      </c>
      <c r="S631" s="5">
        <v>1</v>
      </c>
      <c r="T631" s="5">
        <v>1</v>
      </c>
      <c r="U631" s="5">
        <v>2</v>
      </c>
      <c r="V631" s="5">
        <v>4</v>
      </c>
    </row>
    <row r="632" spans="1:22" x14ac:dyDescent="0.35">
      <c r="A632">
        <v>631</v>
      </c>
      <c r="B632">
        <v>36</v>
      </c>
      <c r="C632" t="s">
        <v>75</v>
      </c>
      <c r="D632" t="s">
        <v>5</v>
      </c>
      <c r="E632" t="s">
        <v>8</v>
      </c>
      <c r="F632" t="s">
        <v>12</v>
      </c>
      <c r="G632">
        <v>0</v>
      </c>
      <c r="H632">
        <v>15</v>
      </c>
      <c r="I632" t="s">
        <v>17</v>
      </c>
      <c r="J632" s="1">
        <v>238.83</v>
      </c>
      <c r="K632" s="1">
        <v>238.83</v>
      </c>
      <c r="L632">
        <v>1</v>
      </c>
      <c r="M632">
        <v>2</v>
      </c>
      <c r="N632">
        <v>1</v>
      </c>
      <c r="O632">
        <v>1</v>
      </c>
      <c r="P632">
        <v>1</v>
      </c>
      <c r="Q632">
        <v>0</v>
      </c>
      <c r="R632">
        <v>233</v>
      </c>
      <c r="S632" s="5">
        <v>1</v>
      </c>
      <c r="T632" s="5">
        <v>1</v>
      </c>
      <c r="U632" s="5">
        <v>1</v>
      </c>
      <c r="V632" s="5">
        <v>3</v>
      </c>
    </row>
    <row r="633" spans="1:22" x14ac:dyDescent="0.35">
      <c r="A633">
        <v>632</v>
      </c>
      <c r="B633">
        <v>25</v>
      </c>
      <c r="C633" t="s">
        <v>73</v>
      </c>
      <c r="D633" t="s">
        <v>5</v>
      </c>
      <c r="E633" t="s">
        <v>9</v>
      </c>
      <c r="F633" t="s">
        <v>13</v>
      </c>
      <c r="G633">
        <v>0</v>
      </c>
      <c r="H633">
        <v>41</v>
      </c>
      <c r="I633" t="s">
        <v>18</v>
      </c>
      <c r="J633" s="1">
        <v>1060.8599999999999</v>
      </c>
      <c r="K633" s="1">
        <v>176.80999999999997</v>
      </c>
      <c r="L633">
        <v>6</v>
      </c>
      <c r="M633">
        <v>1</v>
      </c>
      <c r="N633">
        <v>1</v>
      </c>
      <c r="O633">
        <v>0</v>
      </c>
      <c r="P633">
        <v>1</v>
      </c>
      <c r="Q633">
        <v>0</v>
      </c>
      <c r="R633">
        <v>53</v>
      </c>
      <c r="S633" s="5">
        <v>2</v>
      </c>
      <c r="T633" s="5">
        <v>2</v>
      </c>
      <c r="U633" s="5">
        <v>2</v>
      </c>
      <c r="V633" s="5">
        <v>6</v>
      </c>
    </row>
    <row r="634" spans="1:22" x14ac:dyDescent="0.35">
      <c r="A634">
        <v>633</v>
      </c>
      <c r="B634">
        <v>46</v>
      </c>
      <c r="C634" t="s">
        <v>74</v>
      </c>
      <c r="D634" t="s">
        <v>5</v>
      </c>
      <c r="E634" t="s">
        <v>10</v>
      </c>
      <c r="F634" t="s">
        <v>12</v>
      </c>
      <c r="G634">
        <v>0</v>
      </c>
      <c r="H634">
        <v>37</v>
      </c>
      <c r="I634" t="s">
        <v>18</v>
      </c>
      <c r="J634" s="1">
        <v>1985.7200000000003</v>
      </c>
      <c r="K634" s="1">
        <v>248.21500000000003</v>
      </c>
      <c r="L634">
        <v>8</v>
      </c>
      <c r="M634">
        <v>2</v>
      </c>
      <c r="N634">
        <v>1</v>
      </c>
      <c r="O634">
        <v>0</v>
      </c>
      <c r="P634">
        <v>0</v>
      </c>
      <c r="Q634">
        <v>1</v>
      </c>
      <c r="R634">
        <v>2</v>
      </c>
      <c r="S634" s="5">
        <v>3</v>
      </c>
      <c r="T634" s="5">
        <v>3</v>
      </c>
      <c r="U634" s="5">
        <v>3</v>
      </c>
      <c r="V634" s="5">
        <v>9</v>
      </c>
    </row>
    <row r="635" spans="1:22" x14ac:dyDescent="0.35">
      <c r="A635">
        <v>634</v>
      </c>
      <c r="B635">
        <v>19</v>
      </c>
      <c r="C635" t="s">
        <v>73</v>
      </c>
      <c r="D635" t="s">
        <v>5</v>
      </c>
      <c r="E635" t="s">
        <v>10</v>
      </c>
      <c r="F635" t="s">
        <v>11</v>
      </c>
      <c r="G635">
        <v>0</v>
      </c>
      <c r="H635">
        <v>23</v>
      </c>
      <c r="I635" t="s">
        <v>16</v>
      </c>
      <c r="J635" s="1">
        <v>1053.54</v>
      </c>
      <c r="K635" s="1">
        <v>263.38499999999999</v>
      </c>
      <c r="L635">
        <v>4</v>
      </c>
      <c r="M635">
        <v>2</v>
      </c>
      <c r="N635">
        <v>1</v>
      </c>
      <c r="O635">
        <v>1</v>
      </c>
      <c r="P635">
        <v>1</v>
      </c>
      <c r="Q635">
        <v>0</v>
      </c>
      <c r="R635">
        <v>93</v>
      </c>
      <c r="S635" s="5">
        <v>1</v>
      </c>
      <c r="T635" s="5">
        <v>2</v>
      </c>
      <c r="U635" s="5">
        <v>2</v>
      </c>
      <c r="V635" s="5">
        <v>5</v>
      </c>
    </row>
    <row r="636" spans="1:22" x14ac:dyDescent="0.35">
      <c r="A636">
        <v>635</v>
      </c>
      <c r="B636">
        <v>59</v>
      </c>
      <c r="C636" t="s">
        <v>74</v>
      </c>
      <c r="D636" t="s">
        <v>6</v>
      </c>
      <c r="E636" t="s">
        <v>9</v>
      </c>
      <c r="F636" t="s">
        <v>13</v>
      </c>
      <c r="G636">
        <v>0</v>
      </c>
      <c r="H636">
        <v>26</v>
      </c>
      <c r="I636" t="s">
        <v>18</v>
      </c>
      <c r="J636" s="1">
        <v>1574.74</v>
      </c>
      <c r="K636" s="1">
        <v>314.94799999999998</v>
      </c>
      <c r="L636">
        <v>5</v>
      </c>
      <c r="M636">
        <v>1</v>
      </c>
      <c r="N636">
        <v>1</v>
      </c>
      <c r="O636">
        <v>0</v>
      </c>
      <c r="P636">
        <v>0</v>
      </c>
      <c r="Q636">
        <v>1</v>
      </c>
      <c r="R636">
        <v>214</v>
      </c>
      <c r="S636" s="5">
        <v>1</v>
      </c>
      <c r="T636" s="5">
        <v>2</v>
      </c>
      <c r="U636" s="5">
        <v>2</v>
      </c>
      <c r="V636" s="5">
        <v>5</v>
      </c>
    </row>
    <row r="637" spans="1:22" x14ac:dyDescent="0.35">
      <c r="A637">
        <v>636</v>
      </c>
      <c r="B637">
        <v>20</v>
      </c>
      <c r="C637" t="s">
        <v>73</v>
      </c>
      <c r="D637" t="s">
        <v>5</v>
      </c>
      <c r="E637" t="s">
        <v>7</v>
      </c>
      <c r="F637" t="s">
        <v>12</v>
      </c>
      <c r="G637">
        <v>0</v>
      </c>
      <c r="H637">
        <v>7</v>
      </c>
      <c r="I637" t="s">
        <v>18</v>
      </c>
      <c r="J637" s="1">
        <v>1041.7199999999998</v>
      </c>
      <c r="K637" s="1">
        <v>208.34399999999997</v>
      </c>
      <c r="L637">
        <v>5</v>
      </c>
      <c r="M637">
        <v>2</v>
      </c>
      <c r="N637">
        <v>1</v>
      </c>
      <c r="O637">
        <v>0</v>
      </c>
      <c r="P637">
        <v>1</v>
      </c>
      <c r="Q637">
        <v>0</v>
      </c>
      <c r="R637">
        <v>41</v>
      </c>
      <c r="S637" s="5">
        <v>2</v>
      </c>
      <c r="T637" s="5">
        <v>2</v>
      </c>
      <c r="U637" s="5">
        <v>2</v>
      </c>
      <c r="V637" s="5">
        <v>6</v>
      </c>
    </row>
    <row r="638" spans="1:22" x14ac:dyDescent="0.35">
      <c r="A638">
        <v>637</v>
      </c>
      <c r="B638">
        <v>68</v>
      </c>
      <c r="C638" t="s">
        <v>72</v>
      </c>
      <c r="D638" t="s">
        <v>5</v>
      </c>
      <c r="E638" t="s">
        <v>9</v>
      </c>
      <c r="F638" t="s">
        <v>12</v>
      </c>
      <c r="G638">
        <v>0</v>
      </c>
      <c r="H638">
        <v>48</v>
      </c>
      <c r="I638" t="s">
        <v>18</v>
      </c>
      <c r="J638" s="1">
        <v>1629.9600000000003</v>
      </c>
      <c r="K638" s="1">
        <v>203.74500000000003</v>
      </c>
      <c r="L638">
        <v>8</v>
      </c>
      <c r="M638">
        <v>1</v>
      </c>
      <c r="N638">
        <v>0</v>
      </c>
      <c r="O638">
        <v>0</v>
      </c>
      <c r="P638">
        <v>0</v>
      </c>
      <c r="Q638">
        <v>1</v>
      </c>
      <c r="R638">
        <v>73</v>
      </c>
      <c r="S638" s="5">
        <v>2</v>
      </c>
      <c r="T638" s="5">
        <v>3</v>
      </c>
      <c r="U638" s="5">
        <v>3</v>
      </c>
      <c r="V638" s="5">
        <v>8</v>
      </c>
    </row>
    <row r="639" spans="1:22" x14ac:dyDescent="0.35">
      <c r="A639">
        <v>638</v>
      </c>
      <c r="B639">
        <v>46</v>
      </c>
      <c r="C639" t="s">
        <v>74</v>
      </c>
      <c r="D639" t="s">
        <v>5</v>
      </c>
      <c r="E639" t="s">
        <v>8</v>
      </c>
      <c r="F639" t="s">
        <v>12</v>
      </c>
      <c r="G639">
        <v>0</v>
      </c>
      <c r="H639">
        <v>21</v>
      </c>
      <c r="I639" t="s">
        <v>17</v>
      </c>
      <c r="J639" s="1">
        <v>194.63</v>
      </c>
      <c r="K639" s="1">
        <v>97.314999999999998</v>
      </c>
      <c r="L639">
        <v>2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89</v>
      </c>
      <c r="S639" s="5">
        <v>1</v>
      </c>
      <c r="T639" s="5">
        <v>1</v>
      </c>
      <c r="U639" s="5">
        <v>1</v>
      </c>
      <c r="V639" s="5">
        <v>3</v>
      </c>
    </row>
    <row r="640" spans="1:22" x14ac:dyDescent="0.35">
      <c r="A640">
        <v>639</v>
      </c>
      <c r="B640">
        <v>32</v>
      </c>
      <c r="C640" t="s">
        <v>75</v>
      </c>
      <c r="D640" t="s">
        <v>6</v>
      </c>
      <c r="E640" t="s">
        <v>9</v>
      </c>
      <c r="F640" t="s">
        <v>12</v>
      </c>
      <c r="G640">
        <v>0</v>
      </c>
      <c r="H640">
        <v>29</v>
      </c>
      <c r="I640" t="s">
        <v>17</v>
      </c>
      <c r="J640" s="1">
        <v>1874.2199999999998</v>
      </c>
      <c r="K640" s="1">
        <v>234.27749999999997</v>
      </c>
      <c r="L640">
        <v>8</v>
      </c>
      <c r="M640">
        <v>1</v>
      </c>
      <c r="N640">
        <v>1</v>
      </c>
      <c r="O640">
        <v>0</v>
      </c>
      <c r="P640">
        <v>1</v>
      </c>
      <c r="Q640">
        <v>0</v>
      </c>
      <c r="R640">
        <v>2</v>
      </c>
      <c r="S640" s="5">
        <v>3</v>
      </c>
      <c r="T640" s="5">
        <v>3</v>
      </c>
      <c r="U640" s="5">
        <v>3</v>
      </c>
      <c r="V640" s="5">
        <v>9</v>
      </c>
    </row>
    <row r="641" spans="1:22" x14ac:dyDescent="0.35">
      <c r="A641">
        <v>640</v>
      </c>
      <c r="B641">
        <v>55</v>
      </c>
      <c r="C641" t="s">
        <v>74</v>
      </c>
      <c r="D641" t="s">
        <v>5</v>
      </c>
      <c r="E641" t="s">
        <v>10</v>
      </c>
      <c r="F641" t="s">
        <v>12</v>
      </c>
      <c r="G641">
        <v>0</v>
      </c>
      <c r="H641">
        <v>45</v>
      </c>
      <c r="I641" t="s">
        <v>17</v>
      </c>
      <c r="J641" s="1">
        <v>2408.65</v>
      </c>
      <c r="K641" s="1">
        <v>301.08125000000001</v>
      </c>
      <c r="L641">
        <v>8</v>
      </c>
      <c r="M641">
        <v>2</v>
      </c>
      <c r="N641">
        <v>1</v>
      </c>
      <c r="O641">
        <v>1</v>
      </c>
      <c r="P641">
        <v>0</v>
      </c>
      <c r="Q641">
        <v>1</v>
      </c>
      <c r="R641">
        <v>12</v>
      </c>
      <c r="S641" s="5">
        <v>3</v>
      </c>
      <c r="T641" s="5">
        <v>3</v>
      </c>
      <c r="U641" s="5">
        <v>3</v>
      </c>
      <c r="V641" s="5">
        <v>9</v>
      </c>
    </row>
    <row r="642" spans="1:22" x14ac:dyDescent="0.35">
      <c r="A642">
        <v>641</v>
      </c>
      <c r="B642">
        <v>45</v>
      </c>
      <c r="C642" t="s">
        <v>75</v>
      </c>
      <c r="D642" t="s">
        <v>5</v>
      </c>
      <c r="E642" t="s">
        <v>7</v>
      </c>
      <c r="F642" t="s">
        <v>12</v>
      </c>
      <c r="G642">
        <v>1</v>
      </c>
      <c r="H642">
        <v>7</v>
      </c>
      <c r="I642" t="s">
        <v>18</v>
      </c>
      <c r="J642" s="1">
        <v>1717.5700000000002</v>
      </c>
      <c r="K642" s="1">
        <v>190.84111111111113</v>
      </c>
      <c r="L642">
        <v>9</v>
      </c>
      <c r="M642">
        <v>2</v>
      </c>
      <c r="N642">
        <v>1</v>
      </c>
      <c r="O642">
        <v>1</v>
      </c>
      <c r="P642">
        <v>1</v>
      </c>
      <c r="Q642">
        <v>0</v>
      </c>
      <c r="R642">
        <v>34</v>
      </c>
      <c r="S642" s="5">
        <v>2</v>
      </c>
      <c r="T642" s="5">
        <v>3</v>
      </c>
      <c r="U642" s="5">
        <v>3</v>
      </c>
      <c r="V642" s="5">
        <v>8</v>
      </c>
    </row>
    <row r="643" spans="1:22" x14ac:dyDescent="0.35">
      <c r="A643">
        <v>642</v>
      </c>
      <c r="B643">
        <v>54</v>
      </c>
      <c r="C643" t="s">
        <v>74</v>
      </c>
      <c r="D643" t="s">
        <v>5</v>
      </c>
      <c r="E643" t="s">
        <v>8</v>
      </c>
      <c r="F643" t="s">
        <v>11</v>
      </c>
      <c r="G643">
        <v>0</v>
      </c>
      <c r="H643">
        <v>6</v>
      </c>
      <c r="I643" t="s">
        <v>18</v>
      </c>
      <c r="J643" s="1">
        <v>1587.3799999999999</v>
      </c>
      <c r="K643" s="1">
        <v>264.56333333333333</v>
      </c>
      <c r="L643">
        <v>6</v>
      </c>
      <c r="M643">
        <v>1</v>
      </c>
      <c r="N643">
        <v>1</v>
      </c>
      <c r="O643">
        <v>1</v>
      </c>
      <c r="P643">
        <v>0</v>
      </c>
      <c r="Q643">
        <v>0</v>
      </c>
      <c r="R643">
        <v>174</v>
      </c>
      <c r="S643" s="5">
        <v>1</v>
      </c>
      <c r="T643" s="5">
        <v>2</v>
      </c>
      <c r="U643" s="5">
        <v>3</v>
      </c>
      <c r="V643" s="5">
        <v>6</v>
      </c>
    </row>
    <row r="644" spans="1:22" x14ac:dyDescent="0.35">
      <c r="A644">
        <v>643</v>
      </c>
      <c r="B644">
        <v>49</v>
      </c>
      <c r="C644" t="s">
        <v>74</v>
      </c>
      <c r="D644" t="s">
        <v>5</v>
      </c>
      <c r="E644" t="s">
        <v>8</v>
      </c>
      <c r="F644" t="s">
        <v>13</v>
      </c>
      <c r="G644">
        <v>1</v>
      </c>
      <c r="H644">
        <v>27</v>
      </c>
      <c r="I644" t="s">
        <v>18</v>
      </c>
      <c r="J644" s="1">
        <v>1060.42</v>
      </c>
      <c r="K644" s="1">
        <v>151.48857142857145</v>
      </c>
      <c r="L644">
        <v>7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3</v>
      </c>
      <c r="S644" s="5">
        <v>3</v>
      </c>
      <c r="T644" s="5">
        <v>2</v>
      </c>
      <c r="U644" s="5">
        <v>2</v>
      </c>
      <c r="V644" s="5">
        <v>7</v>
      </c>
    </row>
    <row r="645" spans="1:22" x14ac:dyDescent="0.35">
      <c r="A645">
        <v>644</v>
      </c>
      <c r="B645">
        <v>47</v>
      </c>
      <c r="C645" t="s">
        <v>74</v>
      </c>
      <c r="D645" t="s">
        <v>5</v>
      </c>
      <c r="E645" t="s">
        <v>10</v>
      </c>
      <c r="F645" t="s">
        <v>11</v>
      </c>
      <c r="G645">
        <v>1</v>
      </c>
      <c r="H645">
        <v>43</v>
      </c>
      <c r="I645" t="s">
        <v>16</v>
      </c>
      <c r="J645" s="1">
        <v>266.05</v>
      </c>
      <c r="K645" s="1">
        <v>133.02500000000001</v>
      </c>
      <c r="L645">
        <v>2</v>
      </c>
      <c r="M645">
        <v>1</v>
      </c>
      <c r="N645">
        <v>0</v>
      </c>
      <c r="O645">
        <v>0</v>
      </c>
      <c r="P645">
        <v>0</v>
      </c>
      <c r="Q645">
        <v>1</v>
      </c>
      <c r="R645">
        <v>56</v>
      </c>
      <c r="S645" s="5">
        <v>2</v>
      </c>
      <c r="T645" s="5">
        <v>1</v>
      </c>
      <c r="U645" s="5">
        <v>1</v>
      </c>
      <c r="V645" s="5">
        <v>4</v>
      </c>
    </row>
    <row r="646" spans="1:22" x14ac:dyDescent="0.35">
      <c r="A646">
        <v>645</v>
      </c>
      <c r="B646">
        <v>68</v>
      </c>
      <c r="C646" t="s">
        <v>72</v>
      </c>
      <c r="D646" t="s">
        <v>5</v>
      </c>
      <c r="E646" t="s">
        <v>9</v>
      </c>
      <c r="F646" t="s">
        <v>12</v>
      </c>
      <c r="G646">
        <v>0</v>
      </c>
      <c r="H646">
        <v>46</v>
      </c>
      <c r="I646" t="s">
        <v>17</v>
      </c>
      <c r="J646" s="1">
        <v>328.56</v>
      </c>
      <c r="K646" s="1">
        <v>328.56</v>
      </c>
      <c r="L646">
        <v>1</v>
      </c>
      <c r="M646">
        <v>2</v>
      </c>
      <c r="N646">
        <v>1</v>
      </c>
      <c r="O646">
        <v>0</v>
      </c>
      <c r="P646">
        <v>0</v>
      </c>
      <c r="Q646">
        <v>1</v>
      </c>
      <c r="R646">
        <v>152</v>
      </c>
      <c r="S646" s="5">
        <v>1</v>
      </c>
      <c r="T646" s="5">
        <v>1</v>
      </c>
      <c r="U646" s="5">
        <v>1</v>
      </c>
      <c r="V646" s="5">
        <v>3</v>
      </c>
    </row>
    <row r="647" spans="1:22" x14ac:dyDescent="0.35">
      <c r="A647">
        <v>646</v>
      </c>
      <c r="B647">
        <v>64</v>
      </c>
      <c r="C647" t="s">
        <v>72</v>
      </c>
      <c r="D647" t="s">
        <v>5</v>
      </c>
      <c r="E647" t="s">
        <v>8</v>
      </c>
      <c r="F647" t="s">
        <v>12</v>
      </c>
      <c r="G647">
        <v>1</v>
      </c>
      <c r="H647">
        <v>17</v>
      </c>
      <c r="I647" t="s">
        <v>17</v>
      </c>
      <c r="J647" s="1">
        <v>163.69</v>
      </c>
      <c r="K647" s="1">
        <v>163.69</v>
      </c>
      <c r="L647">
        <v>1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238</v>
      </c>
      <c r="S647" s="5">
        <v>1</v>
      </c>
      <c r="T647" s="5">
        <v>1</v>
      </c>
      <c r="U647" s="5">
        <v>1</v>
      </c>
      <c r="V647" s="5">
        <v>3</v>
      </c>
    </row>
    <row r="648" spans="1:22" x14ac:dyDescent="0.35">
      <c r="A648">
        <v>647</v>
      </c>
      <c r="B648">
        <v>47</v>
      </c>
      <c r="C648" t="s">
        <v>74</v>
      </c>
      <c r="D648" t="s">
        <v>5</v>
      </c>
      <c r="E648" t="s">
        <v>9</v>
      </c>
      <c r="F648" t="s">
        <v>12</v>
      </c>
      <c r="G648">
        <v>0</v>
      </c>
      <c r="H648">
        <v>24</v>
      </c>
      <c r="I648" t="s">
        <v>16</v>
      </c>
      <c r="J648" s="1">
        <v>12.46</v>
      </c>
      <c r="K648" s="1">
        <v>12.46</v>
      </c>
      <c r="L648">
        <v>1</v>
      </c>
      <c r="M648">
        <v>2</v>
      </c>
      <c r="N648">
        <v>1</v>
      </c>
      <c r="O648">
        <v>1</v>
      </c>
      <c r="P648">
        <v>0</v>
      </c>
      <c r="Q648">
        <v>1</v>
      </c>
      <c r="R648">
        <v>353</v>
      </c>
      <c r="S648" s="5">
        <v>1</v>
      </c>
      <c r="T648" s="5">
        <v>1</v>
      </c>
      <c r="U648" s="5">
        <v>1</v>
      </c>
      <c r="V648" s="5">
        <v>3</v>
      </c>
    </row>
    <row r="649" spans="1:22" x14ac:dyDescent="0.35">
      <c r="A649">
        <v>648</v>
      </c>
      <c r="B649">
        <v>68</v>
      </c>
      <c r="C649" t="s">
        <v>72</v>
      </c>
      <c r="D649" t="s">
        <v>5</v>
      </c>
      <c r="E649" t="s">
        <v>8</v>
      </c>
      <c r="F649" t="s">
        <v>11</v>
      </c>
      <c r="G649">
        <v>0</v>
      </c>
      <c r="H649">
        <v>28</v>
      </c>
      <c r="I649" t="s">
        <v>17</v>
      </c>
      <c r="J649" s="1">
        <v>1028.17</v>
      </c>
      <c r="K649" s="1">
        <v>342.72333333333336</v>
      </c>
      <c r="L649">
        <v>3</v>
      </c>
      <c r="M649">
        <v>1</v>
      </c>
      <c r="N649">
        <v>0</v>
      </c>
      <c r="O649">
        <v>0</v>
      </c>
      <c r="P649">
        <v>0</v>
      </c>
      <c r="Q649">
        <v>1</v>
      </c>
      <c r="R649">
        <v>180</v>
      </c>
      <c r="S649" s="5">
        <v>1</v>
      </c>
      <c r="T649" s="5">
        <v>2</v>
      </c>
      <c r="U649" s="5">
        <v>2</v>
      </c>
      <c r="V649" s="5">
        <v>5</v>
      </c>
    </row>
    <row r="650" spans="1:22" x14ac:dyDescent="0.35">
      <c r="A650">
        <v>649</v>
      </c>
      <c r="B650">
        <v>51</v>
      </c>
      <c r="C650" t="s">
        <v>74</v>
      </c>
      <c r="D650" t="s">
        <v>5</v>
      </c>
      <c r="E650" t="s">
        <v>10</v>
      </c>
      <c r="F650" t="s">
        <v>12</v>
      </c>
      <c r="G650">
        <v>0</v>
      </c>
      <c r="H650">
        <v>26</v>
      </c>
      <c r="I650" t="s">
        <v>17</v>
      </c>
      <c r="J650" s="1">
        <v>759.56999999999994</v>
      </c>
      <c r="K650" s="1">
        <v>189.89249999999998</v>
      </c>
      <c r="L650">
        <v>4</v>
      </c>
      <c r="M650">
        <v>1</v>
      </c>
      <c r="N650">
        <v>1</v>
      </c>
      <c r="O650">
        <v>0</v>
      </c>
      <c r="P650">
        <v>1</v>
      </c>
      <c r="Q650">
        <v>0</v>
      </c>
      <c r="R650">
        <v>50</v>
      </c>
      <c r="S650" s="5">
        <v>2</v>
      </c>
      <c r="T650" s="5">
        <v>2</v>
      </c>
      <c r="U650" s="5">
        <v>1</v>
      </c>
      <c r="V650" s="5">
        <v>5</v>
      </c>
    </row>
    <row r="651" spans="1:22" x14ac:dyDescent="0.35">
      <c r="A651">
        <v>650</v>
      </c>
      <c r="B651">
        <v>30</v>
      </c>
      <c r="C651" t="s">
        <v>73</v>
      </c>
      <c r="D651" t="s">
        <v>5</v>
      </c>
      <c r="E651" t="s">
        <v>8</v>
      </c>
      <c r="F651" t="s">
        <v>11</v>
      </c>
      <c r="G651">
        <v>1</v>
      </c>
      <c r="H651">
        <v>38</v>
      </c>
      <c r="I651" t="s">
        <v>18</v>
      </c>
      <c r="J651" s="1">
        <v>499.67</v>
      </c>
      <c r="K651" s="1">
        <v>249.83500000000001</v>
      </c>
      <c r="L651">
        <v>2</v>
      </c>
      <c r="M651">
        <v>1</v>
      </c>
      <c r="N651">
        <v>0</v>
      </c>
      <c r="O651">
        <v>1</v>
      </c>
      <c r="P651">
        <v>0</v>
      </c>
      <c r="Q651">
        <v>0</v>
      </c>
      <c r="R651">
        <v>2</v>
      </c>
      <c r="S651" s="5">
        <v>3</v>
      </c>
      <c r="T651" s="5">
        <v>1</v>
      </c>
      <c r="U651" s="5">
        <v>1</v>
      </c>
      <c r="V651" s="5">
        <v>5</v>
      </c>
    </row>
    <row r="652" spans="1:22" x14ac:dyDescent="0.35">
      <c r="A652">
        <v>651</v>
      </c>
      <c r="B652">
        <v>50</v>
      </c>
      <c r="C652" t="s">
        <v>74</v>
      </c>
      <c r="D652" t="s">
        <v>5</v>
      </c>
      <c r="E652" t="s">
        <v>8</v>
      </c>
      <c r="F652" t="s">
        <v>13</v>
      </c>
      <c r="G652">
        <v>0</v>
      </c>
      <c r="H652">
        <v>26</v>
      </c>
      <c r="I652" t="s">
        <v>18</v>
      </c>
      <c r="J652" s="1">
        <v>1467.02</v>
      </c>
      <c r="K652" s="1">
        <v>209.57428571428571</v>
      </c>
      <c r="L652">
        <v>7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22</v>
      </c>
      <c r="S652" s="5">
        <v>3</v>
      </c>
      <c r="T652" s="5">
        <v>2</v>
      </c>
      <c r="U652" s="5">
        <v>2</v>
      </c>
      <c r="V652" s="5">
        <v>7</v>
      </c>
    </row>
    <row r="653" spans="1:22" x14ac:dyDescent="0.35">
      <c r="A653">
        <v>652</v>
      </c>
      <c r="B653">
        <v>59</v>
      </c>
      <c r="C653" t="s">
        <v>74</v>
      </c>
      <c r="D653" t="s">
        <v>6</v>
      </c>
      <c r="E653" t="s">
        <v>7</v>
      </c>
      <c r="F653" t="s">
        <v>11</v>
      </c>
      <c r="G653">
        <v>0</v>
      </c>
      <c r="H653">
        <v>40</v>
      </c>
      <c r="I653" t="s">
        <v>17</v>
      </c>
      <c r="J653" s="1">
        <v>1245.8599999999999</v>
      </c>
      <c r="K653" s="1">
        <v>249.17199999999997</v>
      </c>
      <c r="L653">
        <v>5</v>
      </c>
      <c r="M653">
        <v>2</v>
      </c>
      <c r="N653">
        <v>1</v>
      </c>
      <c r="O653">
        <v>1</v>
      </c>
      <c r="P653">
        <v>0</v>
      </c>
      <c r="Q653">
        <v>1</v>
      </c>
      <c r="R653">
        <v>79</v>
      </c>
      <c r="S653" s="5">
        <v>2</v>
      </c>
      <c r="T653" s="5">
        <v>2</v>
      </c>
      <c r="U653" s="5">
        <v>2</v>
      </c>
      <c r="V653" s="5">
        <v>6</v>
      </c>
    </row>
    <row r="654" spans="1:22" x14ac:dyDescent="0.35">
      <c r="A654">
        <v>653</v>
      </c>
      <c r="B654">
        <v>34</v>
      </c>
      <c r="C654" t="s">
        <v>75</v>
      </c>
      <c r="D654" t="s">
        <v>6</v>
      </c>
      <c r="E654" t="s">
        <v>8</v>
      </c>
      <c r="F654" t="s">
        <v>11</v>
      </c>
      <c r="G654">
        <v>0</v>
      </c>
      <c r="H654">
        <v>1</v>
      </c>
      <c r="I654" t="s">
        <v>16</v>
      </c>
      <c r="J654" s="1">
        <v>392.17</v>
      </c>
      <c r="K654" s="1">
        <v>392.17</v>
      </c>
      <c r="L654">
        <v>1</v>
      </c>
      <c r="M654">
        <v>1</v>
      </c>
      <c r="N654">
        <v>0</v>
      </c>
      <c r="O654">
        <v>0</v>
      </c>
      <c r="P654">
        <v>0</v>
      </c>
      <c r="Q654">
        <v>1</v>
      </c>
      <c r="R654">
        <v>122</v>
      </c>
      <c r="S654" s="5">
        <v>1</v>
      </c>
      <c r="T654" s="5">
        <v>1</v>
      </c>
      <c r="U654" s="5">
        <v>1</v>
      </c>
      <c r="V654" s="5">
        <v>3</v>
      </c>
    </row>
    <row r="655" spans="1:22" x14ac:dyDescent="0.35">
      <c r="A655">
        <v>654</v>
      </c>
      <c r="B655">
        <v>20</v>
      </c>
      <c r="C655" t="s">
        <v>73</v>
      </c>
      <c r="D655" t="s">
        <v>5</v>
      </c>
      <c r="E655" t="s">
        <v>10</v>
      </c>
      <c r="F655" t="s">
        <v>13</v>
      </c>
      <c r="G655">
        <v>0</v>
      </c>
      <c r="H655">
        <v>19</v>
      </c>
      <c r="I655" t="s">
        <v>16</v>
      </c>
      <c r="J655" s="1">
        <v>1437.1699999999998</v>
      </c>
      <c r="K655" s="1">
        <v>159.68555555555554</v>
      </c>
      <c r="L655">
        <v>9</v>
      </c>
      <c r="M655">
        <v>1</v>
      </c>
      <c r="N655">
        <v>0</v>
      </c>
      <c r="O655">
        <v>0</v>
      </c>
      <c r="P655">
        <v>1</v>
      </c>
      <c r="Q655">
        <v>0</v>
      </c>
      <c r="R655">
        <v>62</v>
      </c>
      <c r="S655" s="5">
        <v>2</v>
      </c>
      <c r="T655" s="5">
        <v>3</v>
      </c>
      <c r="U655" s="5">
        <v>2</v>
      </c>
      <c r="V655" s="5">
        <v>7</v>
      </c>
    </row>
    <row r="656" spans="1:22" x14ac:dyDescent="0.35">
      <c r="A656">
        <v>655</v>
      </c>
      <c r="B656">
        <v>26</v>
      </c>
      <c r="C656" t="s">
        <v>73</v>
      </c>
      <c r="D656" t="s">
        <v>6</v>
      </c>
      <c r="E656" t="s">
        <v>8</v>
      </c>
      <c r="F656" t="s">
        <v>12</v>
      </c>
      <c r="G656">
        <v>0</v>
      </c>
      <c r="H656">
        <v>26</v>
      </c>
      <c r="I656" t="s">
        <v>16</v>
      </c>
      <c r="J656" s="1">
        <v>2097.25</v>
      </c>
      <c r="K656" s="1">
        <v>233.02777777777777</v>
      </c>
      <c r="L656">
        <v>9</v>
      </c>
      <c r="M656">
        <v>2</v>
      </c>
      <c r="N656">
        <v>1</v>
      </c>
      <c r="O656">
        <v>1</v>
      </c>
      <c r="P656">
        <v>1</v>
      </c>
      <c r="Q656">
        <v>0</v>
      </c>
      <c r="R656">
        <v>146</v>
      </c>
      <c r="S656" s="5">
        <v>1</v>
      </c>
      <c r="T656" s="5">
        <v>3</v>
      </c>
      <c r="U656" s="5">
        <v>3</v>
      </c>
      <c r="V656" s="5">
        <v>7</v>
      </c>
    </row>
    <row r="657" spans="1:22" x14ac:dyDescent="0.35">
      <c r="A657">
        <v>656</v>
      </c>
      <c r="B657">
        <v>69</v>
      </c>
      <c r="C657" t="s">
        <v>72</v>
      </c>
      <c r="D657" t="s">
        <v>6</v>
      </c>
      <c r="E657" t="s">
        <v>10</v>
      </c>
      <c r="F657" t="s">
        <v>11</v>
      </c>
      <c r="G657">
        <v>0</v>
      </c>
      <c r="H657">
        <v>35</v>
      </c>
      <c r="I657" t="s">
        <v>16</v>
      </c>
      <c r="J657" s="1">
        <v>1567.52</v>
      </c>
      <c r="K657" s="1">
        <v>223.93142857142857</v>
      </c>
      <c r="L657">
        <v>7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45</v>
      </c>
      <c r="S657" s="5">
        <v>2</v>
      </c>
      <c r="T657" s="5">
        <v>2</v>
      </c>
      <c r="U657" s="5">
        <v>2</v>
      </c>
      <c r="V657" s="5">
        <v>6</v>
      </c>
    </row>
    <row r="658" spans="1:22" x14ac:dyDescent="0.35">
      <c r="A658">
        <v>657</v>
      </c>
      <c r="B658">
        <v>28</v>
      </c>
      <c r="C658" t="s">
        <v>73</v>
      </c>
      <c r="D658" t="s">
        <v>6</v>
      </c>
      <c r="E658" t="s">
        <v>9</v>
      </c>
      <c r="F658" t="s">
        <v>13</v>
      </c>
      <c r="G658">
        <v>1</v>
      </c>
      <c r="H658">
        <v>16</v>
      </c>
      <c r="I658" t="s">
        <v>18</v>
      </c>
      <c r="J658" s="1">
        <v>1135.3000000000002</v>
      </c>
      <c r="K658" s="1">
        <v>227.06000000000003</v>
      </c>
      <c r="L658">
        <v>5</v>
      </c>
      <c r="M658">
        <v>1</v>
      </c>
      <c r="N658">
        <v>0</v>
      </c>
      <c r="O658">
        <v>0</v>
      </c>
      <c r="P658">
        <v>0</v>
      </c>
      <c r="Q658">
        <v>1</v>
      </c>
      <c r="R658">
        <v>117</v>
      </c>
      <c r="S658" s="5">
        <v>1</v>
      </c>
      <c r="T658" s="5">
        <v>2</v>
      </c>
      <c r="U658" s="5">
        <v>2</v>
      </c>
      <c r="V658" s="5">
        <v>5</v>
      </c>
    </row>
    <row r="659" spans="1:22" x14ac:dyDescent="0.35">
      <c r="A659">
        <v>658</v>
      </c>
      <c r="B659">
        <v>66</v>
      </c>
      <c r="C659" t="s">
        <v>72</v>
      </c>
      <c r="D659" t="s">
        <v>5</v>
      </c>
      <c r="E659" t="s">
        <v>10</v>
      </c>
      <c r="F659" t="s">
        <v>11</v>
      </c>
      <c r="G659">
        <v>1</v>
      </c>
      <c r="H659">
        <v>13</v>
      </c>
      <c r="I659" t="s">
        <v>16</v>
      </c>
      <c r="J659" s="1">
        <v>1132.79</v>
      </c>
      <c r="K659" s="1">
        <v>188.79833333333332</v>
      </c>
      <c r="L659">
        <v>6</v>
      </c>
      <c r="M659">
        <v>1</v>
      </c>
      <c r="N659">
        <v>1</v>
      </c>
      <c r="O659">
        <v>0</v>
      </c>
      <c r="P659">
        <v>0</v>
      </c>
      <c r="Q659">
        <v>1</v>
      </c>
      <c r="R659">
        <v>108</v>
      </c>
      <c r="S659" s="5">
        <v>1</v>
      </c>
      <c r="T659" s="5">
        <v>2</v>
      </c>
      <c r="U659" s="5">
        <v>2</v>
      </c>
      <c r="V659" s="5">
        <v>5</v>
      </c>
    </row>
    <row r="660" spans="1:22" x14ac:dyDescent="0.35">
      <c r="A660">
        <v>659</v>
      </c>
      <c r="B660">
        <v>44</v>
      </c>
      <c r="C660" t="s">
        <v>75</v>
      </c>
      <c r="D660" t="s">
        <v>6</v>
      </c>
      <c r="E660" t="s">
        <v>9</v>
      </c>
      <c r="F660" t="s">
        <v>11</v>
      </c>
      <c r="G660">
        <v>0</v>
      </c>
      <c r="H660">
        <v>10</v>
      </c>
      <c r="I660" t="s">
        <v>17</v>
      </c>
      <c r="J660" s="1">
        <v>1658.16</v>
      </c>
      <c r="K660" s="1">
        <v>276.36</v>
      </c>
      <c r="L660">
        <v>6</v>
      </c>
      <c r="M660">
        <v>2</v>
      </c>
      <c r="N660">
        <v>1</v>
      </c>
      <c r="O660">
        <v>1</v>
      </c>
      <c r="P660">
        <v>0</v>
      </c>
      <c r="Q660">
        <v>1</v>
      </c>
      <c r="R660">
        <v>31</v>
      </c>
      <c r="S660" s="5">
        <v>2</v>
      </c>
      <c r="T660" s="5">
        <v>2</v>
      </c>
      <c r="U660" s="5">
        <v>3</v>
      </c>
      <c r="V660" s="5">
        <v>7</v>
      </c>
    </row>
    <row r="661" spans="1:22" x14ac:dyDescent="0.35">
      <c r="A661">
        <v>660</v>
      </c>
      <c r="B661">
        <v>45</v>
      </c>
      <c r="C661" t="s">
        <v>75</v>
      </c>
      <c r="D661" t="s">
        <v>6</v>
      </c>
      <c r="E661" t="s">
        <v>8</v>
      </c>
      <c r="F661" t="s">
        <v>13</v>
      </c>
      <c r="G661">
        <v>0</v>
      </c>
      <c r="H661">
        <v>8</v>
      </c>
      <c r="I661" t="s">
        <v>16</v>
      </c>
      <c r="J661" s="1">
        <v>2676.26</v>
      </c>
      <c r="K661" s="1">
        <v>334.53250000000003</v>
      </c>
      <c r="L661">
        <v>8</v>
      </c>
      <c r="M661">
        <v>2</v>
      </c>
      <c r="N661">
        <v>1</v>
      </c>
      <c r="O661">
        <v>1</v>
      </c>
      <c r="P661">
        <v>0</v>
      </c>
      <c r="Q661">
        <v>1</v>
      </c>
      <c r="R661">
        <v>73</v>
      </c>
      <c r="S661" s="5">
        <v>2</v>
      </c>
      <c r="T661" s="5">
        <v>3</v>
      </c>
      <c r="U661" s="5">
        <v>3</v>
      </c>
      <c r="V661" s="5">
        <v>8</v>
      </c>
    </row>
    <row r="662" spans="1:22" x14ac:dyDescent="0.35">
      <c r="A662">
        <v>661</v>
      </c>
      <c r="B662">
        <v>19</v>
      </c>
      <c r="C662" t="s">
        <v>73</v>
      </c>
      <c r="D662" t="s">
        <v>5</v>
      </c>
      <c r="E662" t="s">
        <v>10</v>
      </c>
      <c r="F662" t="s">
        <v>11</v>
      </c>
      <c r="G662">
        <v>0</v>
      </c>
      <c r="H662">
        <v>27</v>
      </c>
      <c r="I662" t="s">
        <v>16</v>
      </c>
      <c r="J662" s="1">
        <v>1579.69</v>
      </c>
      <c r="K662" s="1">
        <v>197.46125000000001</v>
      </c>
      <c r="L662">
        <v>8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8</v>
      </c>
      <c r="S662" s="5">
        <v>3</v>
      </c>
      <c r="T662" s="5">
        <v>3</v>
      </c>
      <c r="U662" s="5">
        <v>3</v>
      </c>
      <c r="V662" s="5">
        <v>9</v>
      </c>
    </row>
    <row r="663" spans="1:22" x14ac:dyDescent="0.35">
      <c r="A663">
        <v>662</v>
      </c>
      <c r="B663">
        <v>18</v>
      </c>
      <c r="C663" t="s">
        <v>73</v>
      </c>
      <c r="D663" t="s">
        <v>6</v>
      </c>
      <c r="E663" t="s">
        <v>7</v>
      </c>
      <c r="F663" t="s">
        <v>13</v>
      </c>
      <c r="G663">
        <v>0</v>
      </c>
      <c r="H663">
        <v>26</v>
      </c>
      <c r="I663" t="s">
        <v>16</v>
      </c>
      <c r="J663" s="1">
        <v>758.41000000000008</v>
      </c>
      <c r="K663" s="1">
        <v>189.60250000000002</v>
      </c>
      <c r="L663">
        <v>4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171</v>
      </c>
      <c r="S663" s="5">
        <v>1</v>
      </c>
      <c r="T663" s="5">
        <v>2</v>
      </c>
      <c r="U663" s="5">
        <v>1</v>
      </c>
      <c r="V663" s="5">
        <v>4</v>
      </c>
    </row>
    <row r="664" spans="1:22" x14ac:dyDescent="0.35">
      <c r="A664">
        <v>663</v>
      </c>
      <c r="B664">
        <v>23</v>
      </c>
      <c r="C664" t="s">
        <v>73</v>
      </c>
      <c r="D664" t="s">
        <v>6</v>
      </c>
      <c r="E664" t="s">
        <v>10</v>
      </c>
      <c r="F664" t="s">
        <v>11</v>
      </c>
      <c r="G664">
        <v>0</v>
      </c>
      <c r="H664">
        <v>3</v>
      </c>
      <c r="I664" t="s">
        <v>16</v>
      </c>
      <c r="J664" s="1">
        <v>1160.9900000000002</v>
      </c>
      <c r="K664" s="1">
        <v>193.49833333333336</v>
      </c>
      <c r="L664">
        <v>6</v>
      </c>
      <c r="M664">
        <v>1</v>
      </c>
      <c r="N664">
        <v>1</v>
      </c>
      <c r="O664">
        <v>1</v>
      </c>
      <c r="P664">
        <v>0</v>
      </c>
      <c r="Q664">
        <v>0</v>
      </c>
      <c r="R664">
        <v>103</v>
      </c>
      <c r="S664" s="5">
        <v>1</v>
      </c>
      <c r="T664" s="5">
        <v>2</v>
      </c>
      <c r="U664" s="5">
        <v>2</v>
      </c>
      <c r="V664" s="5">
        <v>5</v>
      </c>
    </row>
    <row r="665" spans="1:22" x14ac:dyDescent="0.35">
      <c r="A665">
        <v>664</v>
      </c>
      <c r="B665">
        <v>42</v>
      </c>
      <c r="C665" t="s">
        <v>75</v>
      </c>
      <c r="D665" t="s">
        <v>6</v>
      </c>
      <c r="E665" t="s">
        <v>9</v>
      </c>
      <c r="F665" t="s">
        <v>12</v>
      </c>
      <c r="G665">
        <v>0</v>
      </c>
      <c r="H665">
        <v>45</v>
      </c>
      <c r="I665" t="s">
        <v>18</v>
      </c>
      <c r="J665" s="1">
        <v>1972.9399999999998</v>
      </c>
      <c r="K665" s="1">
        <v>328.82333333333332</v>
      </c>
      <c r="L665">
        <v>6</v>
      </c>
      <c r="M665">
        <v>1</v>
      </c>
      <c r="N665">
        <v>1</v>
      </c>
      <c r="O665">
        <v>1</v>
      </c>
      <c r="P665">
        <v>0</v>
      </c>
      <c r="Q665">
        <v>0</v>
      </c>
      <c r="R665">
        <v>34</v>
      </c>
      <c r="S665" s="5">
        <v>2</v>
      </c>
      <c r="T665" s="5">
        <v>2</v>
      </c>
      <c r="U665" s="5">
        <v>3</v>
      </c>
      <c r="V665" s="5">
        <v>7</v>
      </c>
    </row>
    <row r="666" spans="1:22" x14ac:dyDescent="0.35">
      <c r="A666">
        <v>665</v>
      </c>
      <c r="B666">
        <v>52</v>
      </c>
      <c r="C666" t="s">
        <v>74</v>
      </c>
      <c r="D666" t="s">
        <v>6</v>
      </c>
      <c r="E666" t="s">
        <v>9</v>
      </c>
      <c r="F666" t="s">
        <v>13</v>
      </c>
      <c r="G666">
        <v>0</v>
      </c>
      <c r="H666">
        <v>36</v>
      </c>
      <c r="I666" t="s">
        <v>18</v>
      </c>
      <c r="J666" s="1">
        <v>1405.19</v>
      </c>
      <c r="K666" s="1">
        <v>281.03800000000001</v>
      </c>
      <c r="L666">
        <v>5</v>
      </c>
      <c r="M666">
        <v>1</v>
      </c>
      <c r="N666">
        <v>1</v>
      </c>
      <c r="O666">
        <v>1</v>
      </c>
      <c r="P666">
        <v>0</v>
      </c>
      <c r="Q666">
        <v>0</v>
      </c>
      <c r="R666">
        <v>123</v>
      </c>
      <c r="S666" s="5">
        <v>1</v>
      </c>
      <c r="T666" s="5">
        <v>2</v>
      </c>
      <c r="U666" s="5">
        <v>2</v>
      </c>
      <c r="V666" s="5">
        <v>5</v>
      </c>
    </row>
    <row r="667" spans="1:22" x14ac:dyDescent="0.35">
      <c r="A667">
        <v>666</v>
      </c>
      <c r="B667">
        <v>33</v>
      </c>
      <c r="C667" t="s">
        <v>75</v>
      </c>
      <c r="D667" t="s">
        <v>5</v>
      </c>
      <c r="E667" t="s">
        <v>7</v>
      </c>
      <c r="F667" t="s">
        <v>12</v>
      </c>
      <c r="G667">
        <v>0</v>
      </c>
      <c r="H667">
        <v>41</v>
      </c>
      <c r="I667" t="s">
        <v>18</v>
      </c>
      <c r="J667" s="1">
        <v>474.38</v>
      </c>
      <c r="K667" s="1">
        <v>474.38</v>
      </c>
      <c r="L667">
        <v>1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351</v>
      </c>
      <c r="S667" s="5">
        <v>1</v>
      </c>
      <c r="T667" s="5">
        <v>1</v>
      </c>
      <c r="U667" s="5">
        <v>1</v>
      </c>
      <c r="V667" s="5">
        <v>3</v>
      </c>
    </row>
    <row r="668" spans="1:22" x14ac:dyDescent="0.35">
      <c r="A668">
        <v>667</v>
      </c>
      <c r="B668">
        <v>21</v>
      </c>
      <c r="C668" t="s">
        <v>73</v>
      </c>
      <c r="D668" t="s">
        <v>6</v>
      </c>
      <c r="E668" t="s">
        <v>10</v>
      </c>
      <c r="F668" t="s">
        <v>11</v>
      </c>
      <c r="G668">
        <v>0</v>
      </c>
      <c r="H668">
        <v>8</v>
      </c>
      <c r="I668" t="s">
        <v>18</v>
      </c>
      <c r="J668" s="1">
        <v>1442.15</v>
      </c>
      <c r="K668" s="1">
        <v>240.35833333333335</v>
      </c>
      <c r="L668">
        <v>6</v>
      </c>
      <c r="M668">
        <v>1</v>
      </c>
      <c r="N668">
        <v>0</v>
      </c>
      <c r="O668">
        <v>0</v>
      </c>
      <c r="P668">
        <v>1</v>
      </c>
      <c r="Q668">
        <v>0</v>
      </c>
      <c r="R668">
        <v>126</v>
      </c>
      <c r="S668" s="5">
        <v>1</v>
      </c>
      <c r="T668" s="5">
        <v>2</v>
      </c>
      <c r="U668" s="5">
        <v>2</v>
      </c>
      <c r="V668" s="5">
        <v>5</v>
      </c>
    </row>
    <row r="669" spans="1:22" x14ac:dyDescent="0.35">
      <c r="A669">
        <v>668</v>
      </c>
      <c r="B669">
        <v>64</v>
      </c>
      <c r="C669" t="s">
        <v>72</v>
      </c>
      <c r="D669" t="s">
        <v>5</v>
      </c>
      <c r="E669" t="s">
        <v>8</v>
      </c>
      <c r="F669" t="s">
        <v>12</v>
      </c>
      <c r="G669">
        <v>0</v>
      </c>
      <c r="H669">
        <v>32</v>
      </c>
      <c r="I669" t="s">
        <v>17</v>
      </c>
      <c r="J669" s="1">
        <v>1668.59</v>
      </c>
      <c r="K669" s="1">
        <v>238.36999999999998</v>
      </c>
      <c r="L669">
        <v>7</v>
      </c>
      <c r="M669">
        <v>1</v>
      </c>
      <c r="N669">
        <v>1</v>
      </c>
      <c r="O669">
        <v>0</v>
      </c>
      <c r="P669">
        <v>0</v>
      </c>
      <c r="Q669">
        <v>1</v>
      </c>
      <c r="R669">
        <v>6</v>
      </c>
      <c r="S669" s="5">
        <v>3</v>
      </c>
      <c r="T669" s="5">
        <v>2</v>
      </c>
      <c r="U669" s="5">
        <v>3</v>
      </c>
      <c r="V669" s="5">
        <v>8</v>
      </c>
    </row>
    <row r="670" spans="1:22" x14ac:dyDescent="0.35">
      <c r="A670">
        <v>669</v>
      </c>
      <c r="B670">
        <v>55</v>
      </c>
      <c r="C670" t="s">
        <v>74</v>
      </c>
      <c r="D670" t="s">
        <v>6</v>
      </c>
      <c r="E670" t="s">
        <v>10</v>
      </c>
      <c r="F670" t="s">
        <v>13</v>
      </c>
      <c r="G670">
        <v>0</v>
      </c>
      <c r="H670">
        <v>19</v>
      </c>
      <c r="I670" t="s">
        <v>17</v>
      </c>
      <c r="J670" s="1">
        <v>2232.41</v>
      </c>
      <c r="K670" s="1">
        <v>279.05124999999998</v>
      </c>
      <c r="L670">
        <v>8</v>
      </c>
      <c r="M670">
        <v>2</v>
      </c>
      <c r="N670">
        <v>1</v>
      </c>
      <c r="O670">
        <v>1</v>
      </c>
      <c r="P670">
        <v>1</v>
      </c>
      <c r="Q670">
        <v>0</v>
      </c>
      <c r="R670">
        <v>59</v>
      </c>
      <c r="S670" s="5">
        <v>2</v>
      </c>
      <c r="T670" s="5">
        <v>3</v>
      </c>
      <c r="U670" s="5">
        <v>3</v>
      </c>
      <c r="V670" s="5">
        <v>8</v>
      </c>
    </row>
    <row r="671" spans="1:22" x14ac:dyDescent="0.35">
      <c r="A671">
        <v>670</v>
      </c>
      <c r="B671">
        <v>61</v>
      </c>
      <c r="C671" t="s">
        <v>72</v>
      </c>
      <c r="D671" t="s">
        <v>6</v>
      </c>
      <c r="E671" t="s">
        <v>10</v>
      </c>
      <c r="F671" t="s">
        <v>11</v>
      </c>
      <c r="G671">
        <v>0</v>
      </c>
      <c r="H671">
        <v>12</v>
      </c>
      <c r="I671" t="s">
        <v>18</v>
      </c>
      <c r="J671" s="1">
        <v>143.34</v>
      </c>
      <c r="K671" s="1">
        <v>143.34</v>
      </c>
      <c r="L671">
        <v>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56</v>
      </c>
      <c r="S671" s="5">
        <v>2</v>
      </c>
      <c r="T671" s="5">
        <v>1</v>
      </c>
      <c r="U671" s="5">
        <v>1</v>
      </c>
      <c r="V671" s="5">
        <v>4</v>
      </c>
    </row>
    <row r="672" spans="1:22" x14ac:dyDescent="0.35">
      <c r="A672">
        <v>671</v>
      </c>
      <c r="B672">
        <v>37</v>
      </c>
      <c r="C672" t="s">
        <v>75</v>
      </c>
      <c r="D672" t="s">
        <v>6</v>
      </c>
      <c r="E672" t="s">
        <v>10</v>
      </c>
      <c r="F672" t="s">
        <v>13</v>
      </c>
      <c r="G672">
        <v>0</v>
      </c>
      <c r="H672">
        <v>45</v>
      </c>
      <c r="I672" t="s">
        <v>18</v>
      </c>
      <c r="J672" s="1">
        <v>2587.4699999999998</v>
      </c>
      <c r="K672" s="1">
        <v>287.49666666666667</v>
      </c>
      <c r="L672">
        <v>9</v>
      </c>
      <c r="M672">
        <v>1</v>
      </c>
      <c r="N672">
        <v>0</v>
      </c>
      <c r="O672">
        <v>1</v>
      </c>
      <c r="P672">
        <v>0</v>
      </c>
      <c r="Q672">
        <v>0</v>
      </c>
      <c r="R672">
        <v>20</v>
      </c>
      <c r="S672" s="5">
        <v>3</v>
      </c>
      <c r="T672" s="5">
        <v>3</v>
      </c>
      <c r="U672" s="5">
        <v>3</v>
      </c>
      <c r="V672" s="5">
        <v>9</v>
      </c>
    </row>
    <row r="673" spans="1:22" x14ac:dyDescent="0.35">
      <c r="A673">
        <v>672</v>
      </c>
      <c r="B673">
        <v>42</v>
      </c>
      <c r="C673" t="s">
        <v>75</v>
      </c>
      <c r="D673" t="s">
        <v>6</v>
      </c>
      <c r="E673" t="s">
        <v>7</v>
      </c>
      <c r="F673" t="s">
        <v>11</v>
      </c>
      <c r="G673">
        <v>0</v>
      </c>
      <c r="H673">
        <v>45</v>
      </c>
      <c r="I673" t="s">
        <v>16</v>
      </c>
      <c r="J673" s="1">
        <v>77.31</v>
      </c>
      <c r="K673" s="1">
        <v>77.31</v>
      </c>
      <c r="L673">
        <v>1</v>
      </c>
      <c r="M673">
        <v>2</v>
      </c>
      <c r="N673">
        <v>0</v>
      </c>
      <c r="O673">
        <v>0</v>
      </c>
      <c r="P673">
        <v>0</v>
      </c>
      <c r="Q673">
        <v>1</v>
      </c>
      <c r="R673">
        <v>215</v>
      </c>
      <c r="S673" s="5">
        <v>1</v>
      </c>
      <c r="T673" s="5">
        <v>1</v>
      </c>
      <c r="U673" s="5">
        <v>1</v>
      </c>
      <c r="V673" s="5">
        <v>3</v>
      </c>
    </row>
    <row r="674" spans="1:22" x14ac:dyDescent="0.35">
      <c r="A674">
        <v>673</v>
      </c>
      <c r="B674">
        <v>24</v>
      </c>
      <c r="C674" t="s">
        <v>73</v>
      </c>
      <c r="D674" t="s">
        <v>6</v>
      </c>
      <c r="E674" t="s">
        <v>7</v>
      </c>
      <c r="F674" t="s">
        <v>12</v>
      </c>
      <c r="G674">
        <v>0</v>
      </c>
      <c r="H674">
        <v>13</v>
      </c>
      <c r="I674" t="s">
        <v>16</v>
      </c>
      <c r="J674" s="1">
        <v>1779.5</v>
      </c>
      <c r="K674" s="1">
        <v>222.4375</v>
      </c>
      <c r="L674">
        <v>8</v>
      </c>
      <c r="M674">
        <v>2</v>
      </c>
      <c r="N674">
        <v>0</v>
      </c>
      <c r="O674">
        <v>1</v>
      </c>
      <c r="P674">
        <v>0</v>
      </c>
      <c r="Q674">
        <v>1</v>
      </c>
      <c r="R674">
        <v>25</v>
      </c>
      <c r="S674" s="5">
        <v>3</v>
      </c>
      <c r="T674" s="5">
        <v>3</v>
      </c>
      <c r="U674" s="5">
        <v>3</v>
      </c>
      <c r="V674" s="5">
        <v>9</v>
      </c>
    </row>
    <row r="675" spans="1:22" x14ac:dyDescent="0.35">
      <c r="A675">
        <v>674</v>
      </c>
      <c r="B675">
        <v>38</v>
      </c>
      <c r="C675" t="s">
        <v>75</v>
      </c>
      <c r="D675" t="s">
        <v>5</v>
      </c>
      <c r="E675" t="s">
        <v>7</v>
      </c>
      <c r="F675" t="s">
        <v>12</v>
      </c>
      <c r="G675">
        <v>1</v>
      </c>
      <c r="H675">
        <v>44</v>
      </c>
      <c r="I675" t="s">
        <v>18</v>
      </c>
      <c r="J675" s="1">
        <v>2314.4899999999998</v>
      </c>
      <c r="K675" s="1">
        <v>257.16555555555556</v>
      </c>
      <c r="L675">
        <v>9</v>
      </c>
      <c r="M675">
        <v>2</v>
      </c>
      <c r="N675">
        <v>1</v>
      </c>
      <c r="O675">
        <v>1</v>
      </c>
      <c r="P675">
        <v>0</v>
      </c>
      <c r="Q675">
        <v>1</v>
      </c>
      <c r="R675">
        <v>102</v>
      </c>
      <c r="S675" s="5">
        <v>1</v>
      </c>
      <c r="T675" s="5">
        <v>3</v>
      </c>
      <c r="U675" s="5">
        <v>3</v>
      </c>
      <c r="V675" s="5">
        <v>7</v>
      </c>
    </row>
    <row r="676" spans="1:22" x14ac:dyDescent="0.35">
      <c r="A676">
        <v>675</v>
      </c>
      <c r="B676">
        <v>24</v>
      </c>
      <c r="C676" t="s">
        <v>73</v>
      </c>
      <c r="D676" t="s">
        <v>5</v>
      </c>
      <c r="E676" t="s">
        <v>7</v>
      </c>
      <c r="F676" t="s">
        <v>13</v>
      </c>
      <c r="G676">
        <v>0</v>
      </c>
      <c r="H676">
        <v>48</v>
      </c>
      <c r="I676" t="s">
        <v>18</v>
      </c>
      <c r="J676" s="1">
        <v>2461.3000000000002</v>
      </c>
      <c r="K676" s="1">
        <v>273.47777777777782</v>
      </c>
      <c r="L676">
        <v>9</v>
      </c>
      <c r="M676">
        <v>2</v>
      </c>
      <c r="N676">
        <v>0</v>
      </c>
      <c r="O676">
        <v>0</v>
      </c>
      <c r="P676">
        <v>1</v>
      </c>
      <c r="Q676">
        <v>0</v>
      </c>
      <c r="R676">
        <v>5</v>
      </c>
      <c r="S676" s="5">
        <v>3</v>
      </c>
      <c r="T676" s="5">
        <v>3</v>
      </c>
      <c r="U676" s="5">
        <v>3</v>
      </c>
      <c r="V676" s="5">
        <v>9</v>
      </c>
    </row>
    <row r="677" spans="1:22" x14ac:dyDescent="0.35">
      <c r="A677">
        <v>676</v>
      </c>
      <c r="B677">
        <v>46</v>
      </c>
      <c r="C677" t="s">
        <v>74</v>
      </c>
      <c r="D677" t="s">
        <v>5</v>
      </c>
      <c r="E677" t="s">
        <v>7</v>
      </c>
      <c r="F677" t="s">
        <v>13</v>
      </c>
      <c r="G677">
        <v>0</v>
      </c>
      <c r="H677">
        <v>45</v>
      </c>
      <c r="I677" t="s">
        <v>16</v>
      </c>
      <c r="J677" s="1">
        <v>923.55</v>
      </c>
      <c r="K677" s="1">
        <v>184.70999999999998</v>
      </c>
      <c r="L677">
        <v>5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1</v>
      </c>
      <c r="S677" s="5">
        <v>3</v>
      </c>
      <c r="T677" s="5">
        <v>2</v>
      </c>
      <c r="U677" s="5">
        <v>2</v>
      </c>
      <c r="V677" s="5">
        <v>7</v>
      </c>
    </row>
    <row r="678" spans="1:22" x14ac:dyDescent="0.35">
      <c r="A678">
        <v>677</v>
      </c>
      <c r="B678">
        <v>69</v>
      </c>
      <c r="C678" t="s">
        <v>72</v>
      </c>
      <c r="D678" t="s">
        <v>6</v>
      </c>
      <c r="E678" t="s">
        <v>8</v>
      </c>
      <c r="F678" t="s">
        <v>11</v>
      </c>
      <c r="G678">
        <v>1</v>
      </c>
      <c r="H678">
        <v>7</v>
      </c>
      <c r="I678" t="s">
        <v>17</v>
      </c>
      <c r="J678" s="1">
        <v>308.82</v>
      </c>
      <c r="K678" s="1">
        <v>308.82</v>
      </c>
      <c r="L678">
        <v>1</v>
      </c>
      <c r="M678">
        <v>2</v>
      </c>
      <c r="N678">
        <v>1</v>
      </c>
      <c r="O678">
        <v>1</v>
      </c>
      <c r="P678">
        <v>0</v>
      </c>
      <c r="Q678">
        <v>0</v>
      </c>
      <c r="R678">
        <v>253</v>
      </c>
      <c r="S678" s="5">
        <v>1</v>
      </c>
      <c r="T678" s="5">
        <v>1</v>
      </c>
      <c r="U678" s="5">
        <v>1</v>
      </c>
      <c r="V678" s="5">
        <v>3</v>
      </c>
    </row>
    <row r="679" spans="1:22" x14ac:dyDescent="0.35">
      <c r="A679">
        <v>678</v>
      </c>
      <c r="B679">
        <v>24</v>
      </c>
      <c r="C679" t="s">
        <v>73</v>
      </c>
      <c r="D679" t="s">
        <v>5</v>
      </c>
      <c r="E679" t="s">
        <v>10</v>
      </c>
      <c r="F679" t="s">
        <v>13</v>
      </c>
      <c r="G679">
        <v>0</v>
      </c>
      <c r="H679">
        <v>47</v>
      </c>
      <c r="I679" t="s">
        <v>18</v>
      </c>
      <c r="J679" s="1">
        <v>864.3</v>
      </c>
      <c r="K679" s="1">
        <v>216.07499999999999</v>
      </c>
      <c r="L679">
        <v>4</v>
      </c>
      <c r="M679">
        <v>1</v>
      </c>
      <c r="N679">
        <v>0</v>
      </c>
      <c r="O679">
        <v>1</v>
      </c>
      <c r="P679">
        <v>0</v>
      </c>
      <c r="Q679">
        <v>0</v>
      </c>
      <c r="R679">
        <v>21</v>
      </c>
      <c r="S679" s="5">
        <v>3</v>
      </c>
      <c r="T679" s="5">
        <v>2</v>
      </c>
      <c r="U679" s="5">
        <v>2</v>
      </c>
      <c r="V679" s="5">
        <v>7</v>
      </c>
    </row>
    <row r="680" spans="1:22" x14ac:dyDescent="0.35">
      <c r="A680">
        <v>679</v>
      </c>
      <c r="B680">
        <v>20</v>
      </c>
      <c r="C680" t="s">
        <v>73</v>
      </c>
      <c r="D680" t="s">
        <v>6</v>
      </c>
      <c r="E680" t="s">
        <v>10</v>
      </c>
      <c r="F680" t="s">
        <v>13</v>
      </c>
      <c r="G680">
        <v>0</v>
      </c>
      <c r="H680">
        <v>47</v>
      </c>
      <c r="I680" t="s">
        <v>17</v>
      </c>
      <c r="J680" s="1">
        <v>1700.3</v>
      </c>
      <c r="K680" s="1">
        <v>242.9</v>
      </c>
      <c r="L680">
        <v>7</v>
      </c>
      <c r="M680">
        <v>2</v>
      </c>
      <c r="N680">
        <v>1</v>
      </c>
      <c r="O680">
        <v>0</v>
      </c>
      <c r="P680">
        <v>1</v>
      </c>
      <c r="Q680">
        <v>0</v>
      </c>
      <c r="R680">
        <v>5</v>
      </c>
      <c r="S680" s="5">
        <v>3</v>
      </c>
      <c r="T680" s="5">
        <v>2</v>
      </c>
      <c r="U680" s="5">
        <v>3</v>
      </c>
      <c r="V680" s="5">
        <v>8</v>
      </c>
    </row>
    <row r="681" spans="1:22" x14ac:dyDescent="0.35">
      <c r="A681">
        <v>680</v>
      </c>
      <c r="B681">
        <v>46</v>
      </c>
      <c r="C681" t="s">
        <v>74</v>
      </c>
      <c r="D681" t="s">
        <v>5</v>
      </c>
      <c r="E681" t="s">
        <v>8</v>
      </c>
      <c r="F681" t="s">
        <v>12</v>
      </c>
      <c r="G681">
        <v>0</v>
      </c>
      <c r="H681">
        <v>16</v>
      </c>
      <c r="I681" t="s">
        <v>17</v>
      </c>
      <c r="J681" s="1">
        <v>2490.8499999999995</v>
      </c>
      <c r="K681" s="1">
        <v>276.76111111111106</v>
      </c>
      <c r="L681">
        <v>9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18</v>
      </c>
      <c r="S681" s="5">
        <v>3</v>
      </c>
      <c r="T681" s="5">
        <v>3</v>
      </c>
      <c r="U681" s="5">
        <v>3</v>
      </c>
      <c r="V681" s="5">
        <v>9</v>
      </c>
    </row>
    <row r="682" spans="1:22" x14ac:dyDescent="0.35">
      <c r="A682">
        <v>681</v>
      </c>
      <c r="B682">
        <v>46</v>
      </c>
      <c r="C682" t="s">
        <v>74</v>
      </c>
      <c r="D682" t="s">
        <v>5</v>
      </c>
      <c r="E682" t="s">
        <v>8</v>
      </c>
      <c r="F682" t="s">
        <v>13</v>
      </c>
      <c r="G682">
        <v>0</v>
      </c>
      <c r="H682">
        <v>32</v>
      </c>
      <c r="I682" t="s">
        <v>16</v>
      </c>
      <c r="J682" s="1">
        <v>1463.19</v>
      </c>
      <c r="K682" s="1">
        <v>365.79750000000001</v>
      </c>
      <c r="L682">
        <v>4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96</v>
      </c>
      <c r="S682" s="5">
        <v>1</v>
      </c>
      <c r="T682" s="5">
        <v>2</v>
      </c>
      <c r="U682" s="5">
        <v>2</v>
      </c>
      <c r="V682" s="5">
        <v>5</v>
      </c>
    </row>
    <row r="683" spans="1:22" x14ac:dyDescent="0.35">
      <c r="A683">
        <v>682</v>
      </c>
      <c r="B683">
        <v>56</v>
      </c>
      <c r="C683" t="s">
        <v>74</v>
      </c>
      <c r="D683" t="s">
        <v>5</v>
      </c>
      <c r="E683" t="s">
        <v>8</v>
      </c>
      <c r="F683" t="s">
        <v>13</v>
      </c>
      <c r="G683">
        <v>1</v>
      </c>
      <c r="H683">
        <v>9</v>
      </c>
      <c r="I683" t="s">
        <v>16</v>
      </c>
      <c r="J683" s="1">
        <v>1084.1100000000001</v>
      </c>
      <c r="K683" s="1">
        <v>216.82200000000003</v>
      </c>
      <c r="L683">
        <v>5</v>
      </c>
      <c r="M683">
        <v>1</v>
      </c>
      <c r="N683">
        <v>0</v>
      </c>
      <c r="O683">
        <v>0</v>
      </c>
      <c r="P683">
        <v>0</v>
      </c>
      <c r="Q683">
        <v>1</v>
      </c>
      <c r="R683">
        <v>15</v>
      </c>
      <c r="S683" s="5">
        <v>3</v>
      </c>
      <c r="T683" s="5">
        <v>2</v>
      </c>
      <c r="U683" s="5">
        <v>2</v>
      </c>
      <c r="V683" s="5">
        <v>7</v>
      </c>
    </row>
    <row r="684" spans="1:22" x14ac:dyDescent="0.35">
      <c r="A684">
        <v>683</v>
      </c>
      <c r="B684">
        <v>55</v>
      </c>
      <c r="C684" t="s">
        <v>74</v>
      </c>
      <c r="D684" t="s">
        <v>6</v>
      </c>
      <c r="E684" t="s">
        <v>8</v>
      </c>
      <c r="F684" t="s">
        <v>11</v>
      </c>
      <c r="G684">
        <v>0</v>
      </c>
      <c r="H684">
        <v>26</v>
      </c>
      <c r="I684" t="s">
        <v>18</v>
      </c>
      <c r="J684" s="1">
        <v>1383.28</v>
      </c>
      <c r="K684" s="1">
        <v>276.65600000000001</v>
      </c>
      <c r="L684">
        <v>5</v>
      </c>
      <c r="M684">
        <v>2</v>
      </c>
      <c r="N684">
        <v>1</v>
      </c>
      <c r="O684">
        <v>0</v>
      </c>
      <c r="P684">
        <v>1</v>
      </c>
      <c r="Q684">
        <v>0</v>
      </c>
      <c r="R684">
        <v>37</v>
      </c>
      <c r="S684" s="5">
        <v>2</v>
      </c>
      <c r="T684" s="5">
        <v>2</v>
      </c>
      <c r="U684" s="5">
        <v>2</v>
      </c>
      <c r="V684" s="5">
        <v>6</v>
      </c>
    </row>
    <row r="685" spans="1:22" x14ac:dyDescent="0.35">
      <c r="A685">
        <v>684</v>
      </c>
      <c r="B685">
        <v>23</v>
      </c>
      <c r="C685" t="s">
        <v>73</v>
      </c>
      <c r="D685" t="s">
        <v>5</v>
      </c>
      <c r="E685" t="s">
        <v>7</v>
      </c>
      <c r="F685" t="s">
        <v>12</v>
      </c>
      <c r="G685">
        <v>0</v>
      </c>
      <c r="H685">
        <v>48</v>
      </c>
      <c r="I685" t="s">
        <v>16</v>
      </c>
      <c r="J685" s="1">
        <v>1240.94</v>
      </c>
      <c r="K685" s="1">
        <v>248.18800000000002</v>
      </c>
      <c r="L685">
        <v>5</v>
      </c>
      <c r="M685">
        <v>1</v>
      </c>
      <c r="N685">
        <v>0</v>
      </c>
      <c r="O685">
        <v>0</v>
      </c>
      <c r="P685">
        <v>1</v>
      </c>
      <c r="Q685">
        <v>0</v>
      </c>
      <c r="R685">
        <v>45</v>
      </c>
      <c r="S685" s="5">
        <v>2</v>
      </c>
      <c r="T685" s="5">
        <v>2</v>
      </c>
      <c r="U685" s="5">
        <v>2</v>
      </c>
      <c r="V685" s="5">
        <v>6</v>
      </c>
    </row>
    <row r="686" spans="1:22" x14ac:dyDescent="0.35">
      <c r="A686">
        <v>685</v>
      </c>
      <c r="B686">
        <v>63</v>
      </c>
      <c r="C686" t="s">
        <v>72</v>
      </c>
      <c r="D686" t="s">
        <v>6</v>
      </c>
      <c r="E686" t="s">
        <v>10</v>
      </c>
      <c r="F686" t="s">
        <v>12</v>
      </c>
      <c r="G686">
        <v>1</v>
      </c>
      <c r="H686">
        <v>40</v>
      </c>
      <c r="I686" t="s">
        <v>17</v>
      </c>
      <c r="J686" s="1">
        <v>534.74</v>
      </c>
      <c r="K686" s="1">
        <v>267.37</v>
      </c>
      <c r="L686">
        <v>2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288</v>
      </c>
      <c r="S686" s="5">
        <v>1</v>
      </c>
      <c r="T686" s="5">
        <v>1</v>
      </c>
      <c r="U686" s="5">
        <v>1</v>
      </c>
      <c r="V686" s="5">
        <v>3</v>
      </c>
    </row>
    <row r="687" spans="1:22" x14ac:dyDescent="0.35">
      <c r="A687">
        <v>686</v>
      </c>
      <c r="B687">
        <v>27</v>
      </c>
      <c r="C687" t="s">
        <v>73</v>
      </c>
      <c r="D687" t="s">
        <v>5</v>
      </c>
      <c r="E687" t="s">
        <v>8</v>
      </c>
      <c r="F687" t="s">
        <v>11</v>
      </c>
      <c r="G687">
        <v>0</v>
      </c>
      <c r="H687">
        <v>47</v>
      </c>
      <c r="I687" t="s">
        <v>17</v>
      </c>
      <c r="J687" s="1">
        <v>1019.67</v>
      </c>
      <c r="K687" s="1">
        <v>254.91749999999999</v>
      </c>
      <c r="L687">
        <v>4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27</v>
      </c>
      <c r="S687" s="5">
        <v>3</v>
      </c>
      <c r="T687" s="5">
        <v>2</v>
      </c>
      <c r="U687" s="5">
        <v>2</v>
      </c>
      <c r="V687" s="5">
        <v>7</v>
      </c>
    </row>
    <row r="688" spans="1:22" x14ac:dyDescent="0.35">
      <c r="A688">
        <v>687</v>
      </c>
      <c r="B688">
        <v>54</v>
      </c>
      <c r="C688" t="s">
        <v>74</v>
      </c>
      <c r="D688" t="s">
        <v>6</v>
      </c>
      <c r="E688" t="s">
        <v>9</v>
      </c>
      <c r="F688" t="s">
        <v>12</v>
      </c>
      <c r="G688">
        <v>0</v>
      </c>
      <c r="H688">
        <v>20</v>
      </c>
      <c r="I688" t="s">
        <v>18</v>
      </c>
      <c r="J688" s="1">
        <v>1446.69</v>
      </c>
      <c r="K688" s="1">
        <v>160.74333333333334</v>
      </c>
      <c r="L688">
        <v>9</v>
      </c>
      <c r="M688">
        <v>1</v>
      </c>
      <c r="N688">
        <v>0</v>
      </c>
      <c r="O688">
        <v>0</v>
      </c>
      <c r="P688">
        <v>0</v>
      </c>
      <c r="Q688">
        <v>1</v>
      </c>
      <c r="R688">
        <v>14</v>
      </c>
      <c r="S688" s="5">
        <v>3</v>
      </c>
      <c r="T688" s="5">
        <v>3</v>
      </c>
      <c r="U688" s="5">
        <v>2</v>
      </c>
      <c r="V688" s="5">
        <v>8</v>
      </c>
    </row>
    <row r="689" spans="1:22" x14ac:dyDescent="0.35">
      <c r="A689">
        <v>688</v>
      </c>
      <c r="B689">
        <v>31</v>
      </c>
      <c r="C689" t="s">
        <v>75</v>
      </c>
      <c r="D689" t="s">
        <v>6</v>
      </c>
      <c r="E689" t="s">
        <v>8</v>
      </c>
      <c r="F689" t="s">
        <v>11</v>
      </c>
      <c r="G689">
        <v>0</v>
      </c>
      <c r="H689">
        <v>6</v>
      </c>
      <c r="I689" t="s">
        <v>17</v>
      </c>
      <c r="J689" s="1">
        <v>2281.4700000000003</v>
      </c>
      <c r="K689" s="1">
        <v>253.4966666666667</v>
      </c>
      <c r="L689">
        <v>9</v>
      </c>
      <c r="M689">
        <v>2</v>
      </c>
      <c r="N689">
        <v>1</v>
      </c>
      <c r="O689">
        <v>0</v>
      </c>
      <c r="P689">
        <v>0</v>
      </c>
      <c r="Q689">
        <v>1</v>
      </c>
      <c r="R689">
        <v>19</v>
      </c>
      <c r="S689" s="5">
        <v>3</v>
      </c>
      <c r="T689" s="5">
        <v>3</v>
      </c>
      <c r="U689" s="5">
        <v>3</v>
      </c>
      <c r="V689" s="5">
        <v>9</v>
      </c>
    </row>
    <row r="690" spans="1:22" x14ac:dyDescent="0.35">
      <c r="A690">
        <v>689</v>
      </c>
      <c r="B690">
        <v>39</v>
      </c>
      <c r="C690" t="s">
        <v>75</v>
      </c>
      <c r="D690" t="s">
        <v>6</v>
      </c>
      <c r="E690" t="s">
        <v>10</v>
      </c>
      <c r="F690" t="s">
        <v>11</v>
      </c>
      <c r="G690">
        <v>0</v>
      </c>
      <c r="H690">
        <v>11</v>
      </c>
      <c r="I690" t="s">
        <v>16</v>
      </c>
      <c r="J690" s="1">
        <v>897.51</v>
      </c>
      <c r="K690" s="1">
        <v>224.3775</v>
      </c>
      <c r="L690">
        <v>4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10</v>
      </c>
      <c r="S690" s="5">
        <v>3</v>
      </c>
      <c r="T690" s="5">
        <v>2</v>
      </c>
      <c r="U690" s="5">
        <v>2</v>
      </c>
      <c r="V690" s="5">
        <v>7</v>
      </c>
    </row>
    <row r="691" spans="1:22" x14ac:dyDescent="0.35">
      <c r="A691">
        <v>690</v>
      </c>
      <c r="B691">
        <v>49</v>
      </c>
      <c r="C691" t="s">
        <v>74</v>
      </c>
      <c r="D691" t="s">
        <v>6</v>
      </c>
      <c r="E691" t="s">
        <v>9</v>
      </c>
      <c r="F691" t="s">
        <v>13</v>
      </c>
      <c r="G691">
        <v>0</v>
      </c>
      <c r="H691">
        <v>29</v>
      </c>
      <c r="I691" t="s">
        <v>18</v>
      </c>
      <c r="J691" s="1">
        <v>638.06000000000006</v>
      </c>
      <c r="K691" s="1">
        <v>212.6866666666667</v>
      </c>
      <c r="L691">
        <v>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11</v>
      </c>
      <c r="S691" s="5">
        <v>3</v>
      </c>
      <c r="T691" s="5">
        <v>2</v>
      </c>
      <c r="U691" s="5">
        <v>1</v>
      </c>
      <c r="V691" s="5">
        <v>6</v>
      </c>
    </row>
    <row r="692" spans="1:22" x14ac:dyDescent="0.35">
      <c r="A692">
        <v>691</v>
      </c>
      <c r="B692">
        <v>35</v>
      </c>
      <c r="C692" t="s">
        <v>75</v>
      </c>
      <c r="D692" t="s">
        <v>6</v>
      </c>
      <c r="E692" t="s">
        <v>8</v>
      </c>
      <c r="F692" t="s">
        <v>13</v>
      </c>
      <c r="G692">
        <v>1</v>
      </c>
      <c r="H692">
        <v>7</v>
      </c>
      <c r="I692" t="s">
        <v>16</v>
      </c>
      <c r="J692" s="1">
        <v>683.19</v>
      </c>
      <c r="K692" s="1">
        <v>341.59500000000003</v>
      </c>
      <c r="L692">
        <v>2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40</v>
      </c>
      <c r="S692" s="5">
        <v>2</v>
      </c>
      <c r="T692" s="5">
        <v>1</v>
      </c>
      <c r="U692" s="5">
        <v>1</v>
      </c>
      <c r="V692" s="5">
        <v>4</v>
      </c>
    </row>
    <row r="693" spans="1:22" x14ac:dyDescent="0.35">
      <c r="A693">
        <v>692</v>
      </c>
      <c r="B693">
        <v>53</v>
      </c>
      <c r="C693" t="s">
        <v>74</v>
      </c>
      <c r="D693" t="s">
        <v>6</v>
      </c>
      <c r="E693" t="s">
        <v>7</v>
      </c>
      <c r="F693" t="s">
        <v>11</v>
      </c>
      <c r="G693">
        <v>0</v>
      </c>
      <c r="H693">
        <v>29</v>
      </c>
      <c r="I693" t="s">
        <v>17</v>
      </c>
      <c r="J693" s="1">
        <v>1421.2599999999998</v>
      </c>
      <c r="K693" s="1">
        <v>284.25199999999995</v>
      </c>
      <c r="L693">
        <v>5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38</v>
      </c>
      <c r="S693" s="5">
        <v>2</v>
      </c>
      <c r="T693" s="5">
        <v>2</v>
      </c>
      <c r="U693" s="5">
        <v>2</v>
      </c>
      <c r="V693" s="5">
        <v>6</v>
      </c>
    </row>
    <row r="694" spans="1:22" x14ac:dyDescent="0.35">
      <c r="A694">
        <v>693</v>
      </c>
      <c r="B694">
        <v>63</v>
      </c>
      <c r="C694" t="s">
        <v>72</v>
      </c>
      <c r="D694" t="s">
        <v>6</v>
      </c>
      <c r="E694" t="s">
        <v>7</v>
      </c>
      <c r="F694" t="s">
        <v>13</v>
      </c>
      <c r="G694">
        <v>0</v>
      </c>
      <c r="H694">
        <v>43</v>
      </c>
      <c r="I694" t="s">
        <v>16</v>
      </c>
      <c r="J694" s="1">
        <v>2154.62</v>
      </c>
      <c r="K694" s="1">
        <v>269.32749999999999</v>
      </c>
      <c r="L694">
        <v>8</v>
      </c>
      <c r="M694">
        <v>1</v>
      </c>
      <c r="N694">
        <v>0</v>
      </c>
      <c r="O694">
        <v>1</v>
      </c>
      <c r="P694">
        <v>0</v>
      </c>
      <c r="Q694">
        <v>0</v>
      </c>
      <c r="R694">
        <v>16</v>
      </c>
      <c r="S694" s="5">
        <v>3</v>
      </c>
      <c r="T694" s="5">
        <v>3</v>
      </c>
      <c r="U694" s="5">
        <v>3</v>
      </c>
      <c r="V694" s="5">
        <v>9</v>
      </c>
    </row>
    <row r="695" spans="1:22" x14ac:dyDescent="0.35">
      <c r="A695">
        <v>694</v>
      </c>
      <c r="B695">
        <v>69</v>
      </c>
      <c r="C695" t="s">
        <v>72</v>
      </c>
      <c r="D695" t="s">
        <v>6</v>
      </c>
      <c r="E695" t="s">
        <v>9</v>
      </c>
      <c r="F695" t="s">
        <v>13</v>
      </c>
      <c r="G695">
        <v>0</v>
      </c>
      <c r="H695">
        <v>4</v>
      </c>
      <c r="I695" t="s">
        <v>18</v>
      </c>
      <c r="J695" s="1">
        <v>1500.44</v>
      </c>
      <c r="K695" s="1">
        <v>214.34857142857143</v>
      </c>
      <c r="L695">
        <v>7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89</v>
      </c>
      <c r="S695" s="5">
        <v>1</v>
      </c>
      <c r="T695" s="5">
        <v>2</v>
      </c>
      <c r="U695" s="5">
        <v>2</v>
      </c>
      <c r="V695" s="5">
        <v>5</v>
      </c>
    </row>
    <row r="696" spans="1:22" x14ac:dyDescent="0.35">
      <c r="A696">
        <v>695</v>
      </c>
      <c r="B696">
        <v>26</v>
      </c>
      <c r="C696" t="s">
        <v>73</v>
      </c>
      <c r="D696" t="s">
        <v>6</v>
      </c>
      <c r="E696" t="s">
        <v>7</v>
      </c>
      <c r="F696" t="s">
        <v>12</v>
      </c>
      <c r="G696">
        <v>1</v>
      </c>
      <c r="H696">
        <v>24</v>
      </c>
      <c r="I696" t="s">
        <v>16</v>
      </c>
      <c r="J696" s="1">
        <v>2615.4300000000003</v>
      </c>
      <c r="K696" s="1">
        <v>290.60333333333335</v>
      </c>
      <c r="L696">
        <v>9</v>
      </c>
      <c r="M696">
        <v>2</v>
      </c>
      <c r="N696">
        <v>1</v>
      </c>
      <c r="O696">
        <v>0</v>
      </c>
      <c r="P696">
        <v>0</v>
      </c>
      <c r="Q696">
        <v>1</v>
      </c>
      <c r="R696">
        <v>6</v>
      </c>
      <c r="S696" s="5">
        <v>3</v>
      </c>
      <c r="T696" s="5">
        <v>3</v>
      </c>
      <c r="U696" s="5">
        <v>3</v>
      </c>
      <c r="V696" s="5">
        <v>9</v>
      </c>
    </row>
    <row r="697" spans="1:22" x14ac:dyDescent="0.35">
      <c r="A697">
        <v>696</v>
      </c>
      <c r="B697">
        <v>43</v>
      </c>
      <c r="C697" t="s">
        <v>75</v>
      </c>
      <c r="D697" t="s">
        <v>6</v>
      </c>
      <c r="E697" t="s">
        <v>9</v>
      </c>
      <c r="F697" t="s">
        <v>12</v>
      </c>
      <c r="G697">
        <v>1</v>
      </c>
      <c r="H697">
        <v>3</v>
      </c>
      <c r="I697" t="s">
        <v>17</v>
      </c>
      <c r="J697" s="1">
        <v>55.77</v>
      </c>
      <c r="K697" s="1">
        <v>55.77</v>
      </c>
      <c r="L697">
        <v>1</v>
      </c>
      <c r="M697">
        <v>1</v>
      </c>
      <c r="N697">
        <v>1</v>
      </c>
      <c r="O697">
        <v>1</v>
      </c>
      <c r="P697">
        <v>0</v>
      </c>
      <c r="Q697">
        <v>0</v>
      </c>
      <c r="R697">
        <v>279</v>
      </c>
      <c r="S697" s="5">
        <v>1</v>
      </c>
      <c r="T697" s="5">
        <v>1</v>
      </c>
      <c r="U697" s="5">
        <v>1</v>
      </c>
      <c r="V697" s="5">
        <v>3</v>
      </c>
    </row>
    <row r="698" spans="1:22" x14ac:dyDescent="0.35">
      <c r="A698">
        <v>697</v>
      </c>
      <c r="B698">
        <v>39</v>
      </c>
      <c r="C698" t="s">
        <v>75</v>
      </c>
      <c r="D698" t="s">
        <v>5</v>
      </c>
      <c r="E698" t="s">
        <v>8</v>
      </c>
      <c r="F698" t="s">
        <v>13</v>
      </c>
      <c r="G698">
        <v>0</v>
      </c>
      <c r="H698">
        <v>12</v>
      </c>
      <c r="I698" t="s">
        <v>18</v>
      </c>
      <c r="J698" s="1">
        <v>489.1</v>
      </c>
      <c r="K698" s="1">
        <v>244.55</v>
      </c>
      <c r="L698">
        <v>2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108</v>
      </c>
      <c r="S698" s="5">
        <v>1</v>
      </c>
      <c r="T698" s="5">
        <v>1</v>
      </c>
      <c r="U698" s="5">
        <v>1</v>
      </c>
      <c r="V698" s="5">
        <v>3</v>
      </c>
    </row>
    <row r="699" spans="1:22" x14ac:dyDescent="0.35">
      <c r="A699">
        <v>698</v>
      </c>
      <c r="B699">
        <v>63</v>
      </c>
      <c r="C699" t="s">
        <v>72</v>
      </c>
      <c r="D699" t="s">
        <v>6</v>
      </c>
      <c r="E699" t="s">
        <v>10</v>
      </c>
      <c r="F699" t="s">
        <v>11</v>
      </c>
      <c r="G699">
        <v>0</v>
      </c>
      <c r="H699">
        <v>35</v>
      </c>
      <c r="I699" t="s">
        <v>17</v>
      </c>
      <c r="J699" s="1">
        <v>273.02</v>
      </c>
      <c r="K699" s="1">
        <v>136.51</v>
      </c>
      <c r="L699">
        <v>2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54</v>
      </c>
      <c r="S699" s="5">
        <v>2</v>
      </c>
      <c r="T699" s="5">
        <v>1</v>
      </c>
      <c r="U699" s="5">
        <v>1</v>
      </c>
      <c r="V699" s="5">
        <v>4</v>
      </c>
    </row>
    <row r="700" spans="1:22" x14ac:dyDescent="0.35">
      <c r="A700">
        <v>699</v>
      </c>
      <c r="B700">
        <v>55</v>
      </c>
      <c r="C700" t="s">
        <v>74</v>
      </c>
      <c r="D700" t="s">
        <v>5</v>
      </c>
      <c r="E700" t="s">
        <v>9</v>
      </c>
      <c r="F700" t="s">
        <v>11</v>
      </c>
      <c r="G700">
        <v>1</v>
      </c>
      <c r="H700">
        <v>8</v>
      </c>
      <c r="I700" t="s">
        <v>16</v>
      </c>
      <c r="J700" s="1">
        <v>994.15999999999985</v>
      </c>
      <c r="K700" s="1">
        <v>248.53999999999996</v>
      </c>
      <c r="L700">
        <v>4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35</v>
      </c>
      <c r="S700" s="5">
        <v>2</v>
      </c>
      <c r="T700" s="5">
        <v>2</v>
      </c>
      <c r="U700" s="5">
        <v>2</v>
      </c>
      <c r="V700" s="5">
        <v>6</v>
      </c>
    </row>
    <row r="701" spans="1:22" x14ac:dyDescent="0.35">
      <c r="A701">
        <v>700</v>
      </c>
      <c r="B701">
        <v>40</v>
      </c>
      <c r="C701" t="s">
        <v>75</v>
      </c>
      <c r="D701" t="s">
        <v>5</v>
      </c>
      <c r="E701" t="s">
        <v>8</v>
      </c>
      <c r="F701" t="s">
        <v>13</v>
      </c>
      <c r="G701">
        <v>0</v>
      </c>
      <c r="H701">
        <v>38</v>
      </c>
      <c r="I701" t="s">
        <v>18</v>
      </c>
      <c r="J701" s="1">
        <v>2810.28</v>
      </c>
      <c r="K701" s="1">
        <v>351.28500000000003</v>
      </c>
      <c r="L701">
        <v>8</v>
      </c>
      <c r="M701">
        <v>2</v>
      </c>
      <c r="N701">
        <v>1</v>
      </c>
      <c r="O701">
        <v>0</v>
      </c>
      <c r="P701">
        <v>0</v>
      </c>
      <c r="Q701">
        <v>1</v>
      </c>
      <c r="R701">
        <v>105</v>
      </c>
      <c r="S701" s="5">
        <v>1</v>
      </c>
      <c r="T701" s="5">
        <v>3</v>
      </c>
      <c r="U701" s="5">
        <v>3</v>
      </c>
      <c r="V701" s="5">
        <v>7</v>
      </c>
    </row>
    <row r="702" spans="1:22" x14ac:dyDescent="0.35">
      <c r="A702">
        <v>701</v>
      </c>
      <c r="B702">
        <v>34</v>
      </c>
      <c r="C702" t="s">
        <v>75</v>
      </c>
      <c r="D702" t="s">
        <v>6</v>
      </c>
      <c r="E702" t="s">
        <v>9</v>
      </c>
      <c r="F702" t="s">
        <v>13</v>
      </c>
      <c r="G702">
        <v>0</v>
      </c>
      <c r="H702">
        <v>41</v>
      </c>
      <c r="I702" t="s">
        <v>18</v>
      </c>
      <c r="J702" s="1">
        <v>2395.1000000000004</v>
      </c>
      <c r="K702" s="1">
        <v>266.12222222222226</v>
      </c>
      <c r="L702">
        <v>9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60</v>
      </c>
      <c r="S702" s="5">
        <v>2</v>
      </c>
      <c r="T702" s="5">
        <v>3</v>
      </c>
      <c r="U702" s="5">
        <v>3</v>
      </c>
      <c r="V702" s="5">
        <v>8</v>
      </c>
    </row>
    <row r="703" spans="1:22" x14ac:dyDescent="0.35">
      <c r="A703">
        <v>702</v>
      </c>
      <c r="B703">
        <v>43</v>
      </c>
      <c r="C703" t="s">
        <v>75</v>
      </c>
      <c r="D703" t="s">
        <v>5</v>
      </c>
      <c r="E703" t="s">
        <v>10</v>
      </c>
      <c r="F703" t="s">
        <v>11</v>
      </c>
      <c r="G703">
        <v>1</v>
      </c>
      <c r="H703">
        <v>38</v>
      </c>
      <c r="I703" t="s">
        <v>16</v>
      </c>
      <c r="J703" s="1">
        <v>681.7700000000001</v>
      </c>
      <c r="K703" s="1">
        <v>136.35400000000001</v>
      </c>
      <c r="L703">
        <v>5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74</v>
      </c>
      <c r="S703" s="5">
        <v>2</v>
      </c>
      <c r="T703" s="5">
        <v>2</v>
      </c>
      <c r="U703" s="5">
        <v>1</v>
      </c>
      <c r="V703" s="5">
        <v>5</v>
      </c>
    </row>
    <row r="704" spans="1:22" x14ac:dyDescent="0.35">
      <c r="A704">
        <v>703</v>
      </c>
      <c r="B704">
        <v>64</v>
      </c>
      <c r="C704" t="s">
        <v>72</v>
      </c>
      <c r="D704" t="s">
        <v>6</v>
      </c>
      <c r="E704" t="s">
        <v>7</v>
      </c>
      <c r="F704" t="s">
        <v>12</v>
      </c>
      <c r="G704">
        <v>0</v>
      </c>
      <c r="H704">
        <v>15</v>
      </c>
      <c r="I704" t="s">
        <v>16</v>
      </c>
      <c r="J704" s="1">
        <v>1289.5500000000002</v>
      </c>
      <c r="K704" s="1">
        <v>184.22142857142859</v>
      </c>
      <c r="L704">
        <v>7</v>
      </c>
      <c r="M704">
        <v>2</v>
      </c>
      <c r="N704">
        <v>0</v>
      </c>
      <c r="O704">
        <v>1</v>
      </c>
      <c r="P704">
        <v>0</v>
      </c>
      <c r="Q704">
        <v>1</v>
      </c>
      <c r="R704">
        <v>58</v>
      </c>
      <c r="S704" s="5">
        <v>2</v>
      </c>
      <c r="T704" s="5">
        <v>2</v>
      </c>
      <c r="U704" s="5">
        <v>2</v>
      </c>
      <c r="V704" s="5">
        <v>6</v>
      </c>
    </row>
    <row r="705" spans="1:22" x14ac:dyDescent="0.35">
      <c r="A705">
        <v>704</v>
      </c>
      <c r="B705">
        <v>55</v>
      </c>
      <c r="C705" t="s">
        <v>74</v>
      </c>
      <c r="D705" t="s">
        <v>6</v>
      </c>
      <c r="E705" t="s">
        <v>7</v>
      </c>
      <c r="F705" t="s">
        <v>12</v>
      </c>
      <c r="G705">
        <v>0</v>
      </c>
      <c r="H705">
        <v>5</v>
      </c>
      <c r="I705" t="s">
        <v>17</v>
      </c>
      <c r="J705" s="1">
        <v>948.68</v>
      </c>
      <c r="K705" s="1">
        <v>316.22666666666663</v>
      </c>
      <c r="L705">
        <v>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245</v>
      </c>
      <c r="S705" s="5">
        <v>1</v>
      </c>
      <c r="T705" s="5">
        <v>2</v>
      </c>
      <c r="U705" s="5">
        <v>2</v>
      </c>
      <c r="V705" s="5">
        <v>5</v>
      </c>
    </row>
    <row r="706" spans="1:22" x14ac:dyDescent="0.35">
      <c r="A706">
        <v>705</v>
      </c>
      <c r="B706">
        <v>19</v>
      </c>
      <c r="C706" t="s">
        <v>73</v>
      </c>
      <c r="D706" t="s">
        <v>5</v>
      </c>
      <c r="E706" t="s">
        <v>9</v>
      </c>
      <c r="F706" t="s">
        <v>11</v>
      </c>
      <c r="G706">
        <v>0</v>
      </c>
      <c r="H706">
        <v>40</v>
      </c>
      <c r="I706" t="s">
        <v>17</v>
      </c>
      <c r="J706" s="1">
        <v>1783.4699999999998</v>
      </c>
      <c r="K706" s="1">
        <v>254.78142857142853</v>
      </c>
      <c r="L706">
        <v>7</v>
      </c>
      <c r="M706">
        <v>2</v>
      </c>
      <c r="N706">
        <v>1</v>
      </c>
      <c r="O706">
        <v>0</v>
      </c>
      <c r="P706">
        <v>0</v>
      </c>
      <c r="Q706">
        <v>1</v>
      </c>
      <c r="R706">
        <v>127</v>
      </c>
      <c r="S706" s="5">
        <v>1</v>
      </c>
      <c r="T706" s="5">
        <v>2</v>
      </c>
      <c r="U706" s="5">
        <v>3</v>
      </c>
      <c r="V706" s="5">
        <v>6</v>
      </c>
    </row>
    <row r="707" spans="1:22" x14ac:dyDescent="0.35">
      <c r="A707">
        <v>706</v>
      </c>
      <c r="B707">
        <v>23</v>
      </c>
      <c r="C707" t="s">
        <v>73</v>
      </c>
      <c r="D707" t="s">
        <v>6</v>
      </c>
      <c r="E707" t="s">
        <v>10</v>
      </c>
      <c r="F707" t="s">
        <v>13</v>
      </c>
      <c r="G707">
        <v>0</v>
      </c>
      <c r="H707">
        <v>16</v>
      </c>
      <c r="I707" t="s">
        <v>18</v>
      </c>
      <c r="J707" s="1">
        <v>104</v>
      </c>
      <c r="K707" s="1">
        <v>104</v>
      </c>
      <c r="L707">
        <v>1</v>
      </c>
      <c r="M707">
        <v>1</v>
      </c>
      <c r="N707">
        <v>1</v>
      </c>
      <c r="O707">
        <v>0</v>
      </c>
      <c r="P707">
        <v>1</v>
      </c>
      <c r="Q707">
        <v>0</v>
      </c>
      <c r="R707">
        <v>221</v>
      </c>
      <c r="S707" s="5">
        <v>1</v>
      </c>
      <c r="T707" s="5">
        <v>1</v>
      </c>
      <c r="U707" s="5">
        <v>1</v>
      </c>
      <c r="V707" s="5">
        <v>3</v>
      </c>
    </row>
    <row r="708" spans="1:22" x14ac:dyDescent="0.35">
      <c r="A708">
        <v>707</v>
      </c>
      <c r="B708">
        <v>24</v>
      </c>
      <c r="C708" t="s">
        <v>73</v>
      </c>
      <c r="D708" t="s">
        <v>5</v>
      </c>
      <c r="E708" t="s">
        <v>8</v>
      </c>
      <c r="F708" t="s">
        <v>12</v>
      </c>
      <c r="G708">
        <v>0</v>
      </c>
      <c r="H708">
        <v>46</v>
      </c>
      <c r="I708" t="s">
        <v>18</v>
      </c>
      <c r="J708" s="1">
        <v>35.24</v>
      </c>
      <c r="K708" s="1">
        <v>35.24</v>
      </c>
      <c r="L708">
        <v>1</v>
      </c>
      <c r="M708">
        <v>1</v>
      </c>
      <c r="N708">
        <v>1</v>
      </c>
      <c r="O708">
        <v>0</v>
      </c>
      <c r="P708">
        <v>0</v>
      </c>
      <c r="Q708">
        <v>1</v>
      </c>
      <c r="R708">
        <v>260</v>
      </c>
      <c r="S708" s="5">
        <v>1</v>
      </c>
      <c r="T708" s="5">
        <v>1</v>
      </c>
      <c r="U708" s="5">
        <v>1</v>
      </c>
      <c r="V708" s="5">
        <v>3</v>
      </c>
    </row>
    <row r="709" spans="1:22" x14ac:dyDescent="0.35">
      <c r="A709">
        <v>708</v>
      </c>
      <c r="B709">
        <v>30</v>
      </c>
      <c r="C709" t="s">
        <v>73</v>
      </c>
      <c r="D709" t="s">
        <v>5</v>
      </c>
      <c r="E709" t="s">
        <v>8</v>
      </c>
      <c r="F709" t="s">
        <v>11</v>
      </c>
      <c r="G709">
        <v>0</v>
      </c>
      <c r="H709">
        <v>28</v>
      </c>
      <c r="I709" t="s">
        <v>17</v>
      </c>
      <c r="J709" s="1">
        <v>807.48</v>
      </c>
      <c r="K709" s="1">
        <v>269.16000000000003</v>
      </c>
      <c r="L709">
        <v>3</v>
      </c>
      <c r="M709">
        <v>1</v>
      </c>
      <c r="N709">
        <v>1</v>
      </c>
      <c r="O709">
        <v>0</v>
      </c>
      <c r="P709">
        <v>1</v>
      </c>
      <c r="Q709">
        <v>0</v>
      </c>
      <c r="R709">
        <v>16</v>
      </c>
      <c r="S709" s="5">
        <v>3</v>
      </c>
      <c r="T709" s="5">
        <v>2</v>
      </c>
      <c r="U709" s="5">
        <v>1</v>
      </c>
      <c r="V709" s="5">
        <v>6</v>
      </c>
    </row>
    <row r="710" spans="1:22" x14ac:dyDescent="0.35">
      <c r="A710">
        <v>709</v>
      </c>
      <c r="B710">
        <v>44</v>
      </c>
      <c r="C710" t="s">
        <v>75</v>
      </c>
      <c r="D710" t="s">
        <v>5</v>
      </c>
      <c r="E710" t="s">
        <v>8</v>
      </c>
      <c r="F710" t="s">
        <v>13</v>
      </c>
      <c r="G710">
        <v>0</v>
      </c>
      <c r="H710">
        <v>13</v>
      </c>
      <c r="I710" t="s">
        <v>16</v>
      </c>
      <c r="J710" s="1">
        <v>346.94</v>
      </c>
      <c r="K710" s="1">
        <v>346.94</v>
      </c>
      <c r="L710">
        <v>1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234</v>
      </c>
      <c r="S710" s="5">
        <v>1</v>
      </c>
      <c r="T710" s="5">
        <v>1</v>
      </c>
      <c r="U710" s="5">
        <v>1</v>
      </c>
      <c r="V710" s="5">
        <v>3</v>
      </c>
    </row>
    <row r="711" spans="1:22" x14ac:dyDescent="0.35">
      <c r="A711">
        <v>710</v>
      </c>
      <c r="B711">
        <v>28</v>
      </c>
      <c r="C711" t="s">
        <v>73</v>
      </c>
      <c r="D711" t="s">
        <v>5</v>
      </c>
      <c r="E711" t="s">
        <v>9</v>
      </c>
      <c r="F711" t="s">
        <v>13</v>
      </c>
      <c r="G711">
        <v>0</v>
      </c>
      <c r="H711">
        <v>41</v>
      </c>
      <c r="I711" t="s">
        <v>17</v>
      </c>
      <c r="J711" s="1">
        <v>1373.66</v>
      </c>
      <c r="K711" s="1">
        <v>228.94333333333336</v>
      </c>
      <c r="L711">
        <v>6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26</v>
      </c>
      <c r="S711" s="5">
        <v>3</v>
      </c>
      <c r="T711" s="5">
        <v>2</v>
      </c>
      <c r="U711" s="5">
        <v>2</v>
      </c>
      <c r="V711" s="5">
        <v>7</v>
      </c>
    </row>
    <row r="712" spans="1:22" x14ac:dyDescent="0.35">
      <c r="A712">
        <v>711</v>
      </c>
      <c r="B712">
        <v>32</v>
      </c>
      <c r="C712" t="s">
        <v>75</v>
      </c>
      <c r="D712" t="s">
        <v>6</v>
      </c>
      <c r="E712" t="s">
        <v>7</v>
      </c>
      <c r="F712" t="s">
        <v>12</v>
      </c>
      <c r="G712">
        <v>0</v>
      </c>
      <c r="H712">
        <v>11</v>
      </c>
      <c r="I712" t="s">
        <v>17</v>
      </c>
      <c r="J712" s="1">
        <v>391.99</v>
      </c>
      <c r="K712" s="1">
        <v>391.99</v>
      </c>
      <c r="L712">
        <v>1</v>
      </c>
      <c r="M712">
        <v>1</v>
      </c>
      <c r="N712">
        <v>1</v>
      </c>
      <c r="O712">
        <v>1</v>
      </c>
      <c r="P712">
        <v>0</v>
      </c>
      <c r="Q712">
        <v>0</v>
      </c>
      <c r="R712">
        <v>218</v>
      </c>
      <c r="S712" s="5">
        <v>1</v>
      </c>
      <c r="T712" s="5">
        <v>1</v>
      </c>
      <c r="U712" s="5">
        <v>1</v>
      </c>
      <c r="V712" s="5">
        <v>3</v>
      </c>
    </row>
    <row r="713" spans="1:22" x14ac:dyDescent="0.35">
      <c r="A713">
        <v>712</v>
      </c>
      <c r="B713">
        <v>26</v>
      </c>
      <c r="C713" t="s">
        <v>73</v>
      </c>
      <c r="D713" t="s">
        <v>6</v>
      </c>
      <c r="E713" t="s">
        <v>9</v>
      </c>
      <c r="F713" t="s">
        <v>13</v>
      </c>
      <c r="G713">
        <v>0</v>
      </c>
      <c r="H713">
        <v>37</v>
      </c>
      <c r="I713" t="s">
        <v>16</v>
      </c>
      <c r="J713" s="1">
        <v>1159.3899999999999</v>
      </c>
      <c r="K713" s="1">
        <v>231.87799999999999</v>
      </c>
      <c r="L713">
        <v>5</v>
      </c>
      <c r="M713">
        <v>2</v>
      </c>
      <c r="N713">
        <v>0</v>
      </c>
      <c r="O713">
        <v>0</v>
      </c>
      <c r="P713">
        <v>0</v>
      </c>
      <c r="Q713">
        <v>1</v>
      </c>
      <c r="R713">
        <v>28</v>
      </c>
      <c r="S713" s="5">
        <v>3</v>
      </c>
      <c r="T713" s="5">
        <v>2</v>
      </c>
      <c r="U713" s="5">
        <v>2</v>
      </c>
      <c r="V713" s="5">
        <v>7</v>
      </c>
    </row>
    <row r="714" spans="1:22" x14ac:dyDescent="0.35">
      <c r="A714">
        <v>713</v>
      </c>
      <c r="B714">
        <v>25</v>
      </c>
      <c r="C714" t="s">
        <v>73</v>
      </c>
      <c r="D714" t="s">
        <v>6</v>
      </c>
      <c r="E714" t="s">
        <v>9</v>
      </c>
      <c r="F714" t="s">
        <v>11</v>
      </c>
      <c r="G714">
        <v>0</v>
      </c>
      <c r="H714">
        <v>3</v>
      </c>
      <c r="I714" t="s">
        <v>17</v>
      </c>
      <c r="J714" s="1">
        <v>1792.5399999999997</v>
      </c>
      <c r="K714" s="1">
        <v>224.06749999999997</v>
      </c>
      <c r="L714">
        <v>8</v>
      </c>
      <c r="M714">
        <v>1</v>
      </c>
      <c r="N714">
        <v>0</v>
      </c>
      <c r="O714">
        <v>0</v>
      </c>
      <c r="P714">
        <v>0</v>
      </c>
      <c r="Q714">
        <v>1</v>
      </c>
      <c r="R714">
        <v>55</v>
      </c>
      <c r="S714" s="5">
        <v>2</v>
      </c>
      <c r="T714" s="5">
        <v>3</v>
      </c>
      <c r="U714" s="5">
        <v>3</v>
      </c>
      <c r="V714" s="5">
        <v>8</v>
      </c>
    </row>
    <row r="715" spans="1:22" x14ac:dyDescent="0.35">
      <c r="A715">
        <v>714</v>
      </c>
      <c r="B715">
        <v>63</v>
      </c>
      <c r="C715" t="s">
        <v>72</v>
      </c>
      <c r="D715" t="s">
        <v>5</v>
      </c>
      <c r="E715" t="s">
        <v>9</v>
      </c>
      <c r="F715" t="s">
        <v>11</v>
      </c>
      <c r="G715">
        <v>0</v>
      </c>
      <c r="H715">
        <v>8</v>
      </c>
      <c r="I715" t="s">
        <v>16</v>
      </c>
      <c r="J715" s="1">
        <v>1170.3200000000002</v>
      </c>
      <c r="K715" s="1">
        <v>146.29000000000002</v>
      </c>
      <c r="L715">
        <v>8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7</v>
      </c>
      <c r="S715" s="5">
        <v>3</v>
      </c>
      <c r="T715" s="5">
        <v>3</v>
      </c>
      <c r="U715" s="5">
        <v>2</v>
      </c>
      <c r="V715" s="5">
        <v>8</v>
      </c>
    </row>
    <row r="716" spans="1:22" x14ac:dyDescent="0.35">
      <c r="A716">
        <v>715</v>
      </c>
      <c r="B716">
        <v>23</v>
      </c>
      <c r="C716" t="s">
        <v>73</v>
      </c>
      <c r="D716" t="s">
        <v>6</v>
      </c>
      <c r="E716" t="s">
        <v>8</v>
      </c>
      <c r="F716" t="s">
        <v>11</v>
      </c>
      <c r="G716">
        <v>0</v>
      </c>
      <c r="H716">
        <v>38</v>
      </c>
      <c r="I716" t="s">
        <v>18</v>
      </c>
      <c r="J716" s="1">
        <v>555.91</v>
      </c>
      <c r="K716" s="1">
        <v>277.95499999999998</v>
      </c>
      <c r="L716">
        <v>2</v>
      </c>
      <c r="M716">
        <v>1</v>
      </c>
      <c r="N716">
        <v>1</v>
      </c>
      <c r="O716">
        <v>0</v>
      </c>
      <c r="P716">
        <v>0</v>
      </c>
      <c r="Q716">
        <v>1</v>
      </c>
      <c r="R716">
        <v>143</v>
      </c>
      <c r="S716" s="5">
        <v>1</v>
      </c>
      <c r="T716" s="5">
        <v>1</v>
      </c>
      <c r="U716" s="5">
        <v>1</v>
      </c>
      <c r="V716" s="5">
        <v>3</v>
      </c>
    </row>
    <row r="717" spans="1:22" x14ac:dyDescent="0.35">
      <c r="A717">
        <v>716</v>
      </c>
      <c r="B717">
        <v>65</v>
      </c>
      <c r="C717" t="s">
        <v>72</v>
      </c>
      <c r="D717" t="s">
        <v>5</v>
      </c>
      <c r="E717" t="s">
        <v>10</v>
      </c>
      <c r="F717" t="s">
        <v>11</v>
      </c>
      <c r="G717">
        <v>1</v>
      </c>
      <c r="H717">
        <v>47</v>
      </c>
      <c r="I717" t="s">
        <v>16</v>
      </c>
      <c r="J717" s="1">
        <v>3220.3</v>
      </c>
      <c r="K717" s="1">
        <v>357.81111111111113</v>
      </c>
      <c r="L717">
        <v>9</v>
      </c>
      <c r="M717">
        <v>2</v>
      </c>
      <c r="N717">
        <v>1</v>
      </c>
      <c r="O717">
        <v>0</v>
      </c>
      <c r="P717">
        <v>0</v>
      </c>
      <c r="Q717">
        <v>1</v>
      </c>
      <c r="R717">
        <v>44</v>
      </c>
      <c r="S717" s="5">
        <v>2</v>
      </c>
      <c r="T717" s="5">
        <v>3</v>
      </c>
      <c r="U717" s="5">
        <v>3</v>
      </c>
      <c r="V717" s="5">
        <v>8</v>
      </c>
    </row>
    <row r="718" spans="1:22" x14ac:dyDescent="0.35">
      <c r="A718">
        <v>717</v>
      </c>
      <c r="B718">
        <v>60</v>
      </c>
      <c r="C718" t="s">
        <v>74</v>
      </c>
      <c r="D718" t="s">
        <v>5</v>
      </c>
      <c r="E718" t="s">
        <v>9</v>
      </c>
      <c r="F718" t="s">
        <v>13</v>
      </c>
      <c r="G718">
        <v>0</v>
      </c>
      <c r="H718">
        <v>34</v>
      </c>
      <c r="I718" t="s">
        <v>17</v>
      </c>
      <c r="J718" s="1">
        <v>1950.63</v>
      </c>
      <c r="K718" s="1">
        <v>278.66142857142859</v>
      </c>
      <c r="L718">
        <v>7</v>
      </c>
      <c r="M718">
        <v>2</v>
      </c>
      <c r="N718">
        <v>1</v>
      </c>
      <c r="O718">
        <v>0</v>
      </c>
      <c r="P718">
        <v>1</v>
      </c>
      <c r="Q718">
        <v>1</v>
      </c>
      <c r="R718">
        <v>92</v>
      </c>
      <c r="S718" s="5">
        <v>1</v>
      </c>
      <c r="T718" s="5">
        <v>2</v>
      </c>
      <c r="U718" s="5">
        <v>3</v>
      </c>
      <c r="V718" s="5">
        <v>6</v>
      </c>
    </row>
    <row r="719" spans="1:22" x14ac:dyDescent="0.35">
      <c r="A719">
        <v>718</v>
      </c>
      <c r="B719">
        <v>21</v>
      </c>
      <c r="C719" t="s">
        <v>73</v>
      </c>
      <c r="D719" t="s">
        <v>5</v>
      </c>
      <c r="E719" t="s">
        <v>8</v>
      </c>
      <c r="F719" t="s">
        <v>11</v>
      </c>
      <c r="G719">
        <v>0</v>
      </c>
      <c r="H719">
        <v>38</v>
      </c>
      <c r="I719" t="s">
        <v>16</v>
      </c>
      <c r="J719" s="1">
        <v>1845.21</v>
      </c>
      <c r="K719" s="1">
        <v>307.53500000000003</v>
      </c>
      <c r="L719">
        <v>6</v>
      </c>
      <c r="M719">
        <v>1</v>
      </c>
      <c r="N719">
        <v>1</v>
      </c>
      <c r="O719">
        <v>0</v>
      </c>
      <c r="P719">
        <v>1</v>
      </c>
      <c r="Q719">
        <v>0</v>
      </c>
      <c r="R719">
        <v>75</v>
      </c>
      <c r="S719" s="5">
        <v>2</v>
      </c>
      <c r="T719" s="5">
        <v>2</v>
      </c>
      <c r="U719" s="5">
        <v>3</v>
      </c>
      <c r="V719" s="5">
        <v>7</v>
      </c>
    </row>
    <row r="720" spans="1:22" x14ac:dyDescent="0.35">
      <c r="A720">
        <v>719</v>
      </c>
      <c r="B720">
        <v>28</v>
      </c>
      <c r="C720" t="s">
        <v>73</v>
      </c>
      <c r="D720" t="s">
        <v>5</v>
      </c>
      <c r="E720" t="s">
        <v>9</v>
      </c>
      <c r="F720" t="s">
        <v>12</v>
      </c>
      <c r="G720">
        <v>0</v>
      </c>
      <c r="H720">
        <v>42</v>
      </c>
      <c r="I720" t="s">
        <v>18</v>
      </c>
      <c r="J720" s="1">
        <v>434.86</v>
      </c>
      <c r="K720" s="1">
        <v>217.43</v>
      </c>
      <c r="L720">
        <v>2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96</v>
      </c>
      <c r="S720" s="5">
        <v>1</v>
      </c>
      <c r="T720" s="5">
        <v>1</v>
      </c>
      <c r="U720" s="5">
        <v>1</v>
      </c>
      <c r="V720" s="5">
        <v>3</v>
      </c>
    </row>
    <row r="721" spans="1:22" x14ac:dyDescent="0.35">
      <c r="A721">
        <v>720</v>
      </c>
      <c r="B721">
        <v>68</v>
      </c>
      <c r="C721" t="s">
        <v>72</v>
      </c>
      <c r="D721" t="s">
        <v>5</v>
      </c>
      <c r="E721" t="s">
        <v>9</v>
      </c>
      <c r="F721" t="s">
        <v>13</v>
      </c>
      <c r="G721">
        <v>0</v>
      </c>
      <c r="H721">
        <v>24</v>
      </c>
      <c r="I721" t="s">
        <v>17</v>
      </c>
      <c r="J721" s="1">
        <v>1551.13</v>
      </c>
      <c r="K721" s="1">
        <v>258.5216666666667</v>
      </c>
      <c r="L721">
        <v>6</v>
      </c>
      <c r="M721">
        <v>2</v>
      </c>
      <c r="N721">
        <v>1</v>
      </c>
      <c r="O721">
        <v>0</v>
      </c>
      <c r="P721">
        <v>1</v>
      </c>
      <c r="Q721">
        <v>1</v>
      </c>
      <c r="R721">
        <v>101</v>
      </c>
      <c r="S721" s="5">
        <v>1</v>
      </c>
      <c r="T721" s="5">
        <v>2</v>
      </c>
      <c r="U721" s="5">
        <v>2</v>
      </c>
      <c r="V721" s="5">
        <v>5</v>
      </c>
    </row>
    <row r="722" spans="1:22" x14ac:dyDescent="0.35">
      <c r="A722">
        <v>721</v>
      </c>
      <c r="B722">
        <v>45</v>
      </c>
      <c r="C722" t="s">
        <v>75</v>
      </c>
      <c r="D722" t="s">
        <v>5</v>
      </c>
      <c r="E722" t="s">
        <v>8</v>
      </c>
      <c r="F722" t="s">
        <v>13</v>
      </c>
      <c r="G722">
        <v>0</v>
      </c>
      <c r="H722">
        <v>18</v>
      </c>
      <c r="I722" t="s">
        <v>17</v>
      </c>
      <c r="J722" s="1">
        <v>921.33</v>
      </c>
      <c r="K722" s="1">
        <v>184.26600000000002</v>
      </c>
      <c r="L722">
        <v>5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168</v>
      </c>
      <c r="S722" s="5">
        <v>1</v>
      </c>
      <c r="T722" s="5">
        <v>2</v>
      </c>
      <c r="U722" s="5">
        <v>2</v>
      </c>
      <c r="V722" s="5">
        <v>5</v>
      </c>
    </row>
    <row r="723" spans="1:22" x14ac:dyDescent="0.35">
      <c r="A723">
        <v>722</v>
      </c>
      <c r="B723">
        <v>43</v>
      </c>
      <c r="C723" t="s">
        <v>75</v>
      </c>
      <c r="D723" t="s">
        <v>6</v>
      </c>
      <c r="E723" t="s">
        <v>10</v>
      </c>
      <c r="F723" t="s">
        <v>13</v>
      </c>
      <c r="G723">
        <v>0</v>
      </c>
      <c r="H723">
        <v>25</v>
      </c>
      <c r="I723" t="s">
        <v>17</v>
      </c>
      <c r="J723" s="1">
        <v>814.74</v>
      </c>
      <c r="K723" s="1">
        <v>271.58</v>
      </c>
      <c r="L723">
        <v>3</v>
      </c>
      <c r="M723">
        <v>1</v>
      </c>
      <c r="N723">
        <v>1</v>
      </c>
      <c r="O723">
        <v>0</v>
      </c>
      <c r="P723">
        <v>0</v>
      </c>
      <c r="Q723">
        <v>1</v>
      </c>
      <c r="R723">
        <v>26</v>
      </c>
      <c r="S723" s="5">
        <v>3</v>
      </c>
      <c r="T723" s="5">
        <v>2</v>
      </c>
      <c r="U723" s="5">
        <v>1</v>
      </c>
      <c r="V723" s="5">
        <v>6</v>
      </c>
    </row>
    <row r="724" spans="1:22" x14ac:dyDescent="0.35">
      <c r="A724">
        <v>723</v>
      </c>
      <c r="B724">
        <v>21</v>
      </c>
      <c r="C724" t="s">
        <v>73</v>
      </c>
      <c r="D724" t="s">
        <v>6</v>
      </c>
      <c r="E724" t="s">
        <v>10</v>
      </c>
      <c r="F724" t="s">
        <v>11</v>
      </c>
      <c r="G724">
        <v>0</v>
      </c>
      <c r="H724">
        <v>13</v>
      </c>
      <c r="I724" t="s">
        <v>17</v>
      </c>
      <c r="J724" s="1">
        <v>2143.56</v>
      </c>
      <c r="K724" s="1">
        <v>306.22285714285715</v>
      </c>
      <c r="L724">
        <v>7</v>
      </c>
      <c r="M724">
        <v>2</v>
      </c>
      <c r="N724">
        <v>0</v>
      </c>
      <c r="O724">
        <v>0</v>
      </c>
      <c r="P724">
        <v>1</v>
      </c>
      <c r="Q724">
        <v>1</v>
      </c>
      <c r="R724">
        <v>58</v>
      </c>
      <c r="S724" s="5">
        <v>2</v>
      </c>
      <c r="T724" s="5">
        <v>2</v>
      </c>
      <c r="U724" s="5">
        <v>3</v>
      </c>
      <c r="V724" s="5">
        <v>7</v>
      </c>
    </row>
    <row r="725" spans="1:22" x14ac:dyDescent="0.35">
      <c r="A725">
        <v>724</v>
      </c>
      <c r="B725">
        <v>32</v>
      </c>
      <c r="C725" t="s">
        <v>75</v>
      </c>
      <c r="D725" t="s">
        <v>6</v>
      </c>
      <c r="E725" t="s">
        <v>7</v>
      </c>
      <c r="F725" t="s">
        <v>13</v>
      </c>
      <c r="G725">
        <v>0</v>
      </c>
      <c r="H725">
        <v>39</v>
      </c>
      <c r="I725" t="s">
        <v>17</v>
      </c>
      <c r="J725" s="1">
        <v>477.73</v>
      </c>
      <c r="K725" s="1">
        <v>238.86500000000001</v>
      </c>
      <c r="L725">
        <v>2</v>
      </c>
      <c r="M725">
        <v>1</v>
      </c>
      <c r="N725">
        <v>1</v>
      </c>
      <c r="O725">
        <v>0</v>
      </c>
      <c r="P725">
        <v>1</v>
      </c>
      <c r="Q725">
        <v>0</v>
      </c>
      <c r="R725">
        <v>220</v>
      </c>
      <c r="S725" s="5">
        <v>1</v>
      </c>
      <c r="T725" s="5">
        <v>1</v>
      </c>
      <c r="U725" s="5">
        <v>1</v>
      </c>
      <c r="V725" s="5">
        <v>3</v>
      </c>
    </row>
    <row r="726" spans="1:22" x14ac:dyDescent="0.35">
      <c r="A726">
        <v>725</v>
      </c>
      <c r="B726">
        <v>36</v>
      </c>
      <c r="C726" t="s">
        <v>75</v>
      </c>
      <c r="D726" t="s">
        <v>5</v>
      </c>
      <c r="E726" t="s">
        <v>9</v>
      </c>
      <c r="F726" t="s">
        <v>11</v>
      </c>
      <c r="G726">
        <v>0</v>
      </c>
      <c r="H726">
        <v>22</v>
      </c>
      <c r="I726" t="s">
        <v>16</v>
      </c>
      <c r="J726" s="1">
        <v>627.29</v>
      </c>
      <c r="K726" s="1">
        <v>313.64499999999998</v>
      </c>
      <c r="L726">
        <v>2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240</v>
      </c>
      <c r="S726" s="5">
        <v>1</v>
      </c>
      <c r="T726" s="5">
        <v>1</v>
      </c>
      <c r="U726" s="5">
        <v>1</v>
      </c>
      <c r="V726" s="5">
        <v>3</v>
      </c>
    </row>
    <row r="727" spans="1:22" x14ac:dyDescent="0.35">
      <c r="A727">
        <v>726</v>
      </c>
      <c r="B727">
        <v>23</v>
      </c>
      <c r="C727" t="s">
        <v>73</v>
      </c>
      <c r="D727" t="s">
        <v>5</v>
      </c>
      <c r="E727" t="s">
        <v>7</v>
      </c>
      <c r="F727" t="s">
        <v>11</v>
      </c>
      <c r="G727">
        <v>0</v>
      </c>
      <c r="H727">
        <v>30</v>
      </c>
      <c r="I727" t="s">
        <v>18</v>
      </c>
      <c r="J727" s="1">
        <v>2048.2000000000003</v>
      </c>
      <c r="K727" s="1">
        <v>256.02500000000003</v>
      </c>
      <c r="L727">
        <v>8</v>
      </c>
      <c r="M727">
        <v>1</v>
      </c>
      <c r="N727">
        <v>0</v>
      </c>
      <c r="O727">
        <v>1</v>
      </c>
      <c r="P727">
        <v>0</v>
      </c>
      <c r="Q727">
        <v>0</v>
      </c>
      <c r="R727">
        <v>9</v>
      </c>
      <c r="S727" s="5">
        <v>3</v>
      </c>
      <c r="T727" s="5">
        <v>3</v>
      </c>
      <c r="U727" s="5">
        <v>3</v>
      </c>
      <c r="V727" s="5">
        <v>9</v>
      </c>
    </row>
    <row r="728" spans="1:22" x14ac:dyDescent="0.35">
      <c r="A728">
        <v>727</v>
      </c>
      <c r="B728">
        <v>22</v>
      </c>
      <c r="C728" t="s">
        <v>73</v>
      </c>
      <c r="D728" t="s">
        <v>6</v>
      </c>
      <c r="E728" t="s">
        <v>8</v>
      </c>
      <c r="F728" t="s">
        <v>13</v>
      </c>
      <c r="G728">
        <v>0</v>
      </c>
      <c r="H728">
        <v>30</v>
      </c>
      <c r="I728" t="s">
        <v>16</v>
      </c>
      <c r="J728" s="1">
        <v>1252.1000000000001</v>
      </c>
      <c r="K728" s="1">
        <v>208.68333333333337</v>
      </c>
      <c r="L728">
        <v>6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8</v>
      </c>
      <c r="S728" s="5">
        <v>3</v>
      </c>
      <c r="T728" s="5">
        <v>2</v>
      </c>
      <c r="U728" s="5">
        <v>2</v>
      </c>
      <c r="V728" s="5">
        <v>7</v>
      </c>
    </row>
    <row r="729" spans="1:22" x14ac:dyDescent="0.35">
      <c r="A729">
        <v>728</v>
      </c>
      <c r="B729">
        <v>35</v>
      </c>
      <c r="C729" t="s">
        <v>75</v>
      </c>
      <c r="D729" t="s">
        <v>6</v>
      </c>
      <c r="E729" t="s">
        <v>9</v>
      </c>
      <c r="F729" t="s">
        <v>13</v>
      </c>
      <c r="G729">
        <v>0</v>
      </c>
      <c r="H729">
        <v>37</v>
      </c>
      <c r="I729" t="s">
        <v>17</v>
      </c>
      <c r="J729" s="1">
        <v>1552.44</v>
      </c>
      <c r="K729" s="1">
        <v>310.488</v>
      </c>
      <c r="L729">
        <v>5</v>
      </c>
      <c r="M729">
        <v>1</v>
      </c>
      <c r="N729">
        <v>1</v>
      </c>
      <c r="O729">
        <v>1</v>
      </c>
      <c r="P729">
        <v>0</v>
      </c>
      <c r="Q729">
        <v>0</v>
      </c>
      <c r="R729">
        <v>57</v>
      </c>
      <c r="S729" s="5">
        <v>2</v>
      </c>
      <c r="T729" s="5">
        <v>2</v>
      </c>
      <c r="U729" s="5">
        <v>2</v>
      </c>
      <c r="V729" s="5">
        <v>6</v>
      </c>
    </row>
    <row r="730" spans="1:22" x14ac:dyDescent="0.35">
      <c r="A730">
        <v>729</v>
      </c>
      <c r="B730">
        <v>23</v>
      </c>
      <c r="C730" t="s">
        <v>73</v>
      </c>
      <c r="D730" t="s">
        <v>6</v>
      </c>
      <c r="E730" t="s">
        <v>8</v>
      </c>
      <c r="F730" t="s">
        <v>11</v>
      </c>
      <c r="G730">
        <v>0</v>
      </c>
      <c r="H730">
        <v>45</v>
      </c>
      <c r="I730" t="s">
        <v>16</v>
      </c>
      <c r="J730" s="1">
        <v>161.07</v>
      </c>
      <c r="K730" s="1">
        <v>80.534999999999997</v>
      </c>
      <c r="L730">
        <v>2</v>
      </c>
      <c r="M730">
        <v>1</v>
      </c>
      <c r="N730">
        <v>0</v>
      </c>
      <c r="O730">
        <v>0</v>
      </c>
      <c r="P730">
        <v>1</v>
      </c>
      <c r="Q730">
        <v>0</v>
      </c>
      <c r="R730">
        <v>12</v>
      </c>
      <c r="S730" s="5">
        <v>3</v>
      </c>
      <c r="T730" s="5">
        <v>1</v>
      </c>
      <c r="U730" s="5">
        <v>1</v>
      </c>
      <c r="V730" s="5">
        <v>5</v>
      </c>
    </row>
    <row r="731" spans="1:22" x14ac:dyDescent="0.35">
      <c r="A731">
        <v>730</v>
      </c>
      <c r="B731">
        <v>48</v>
      </c>
      <c r="C731" t="s">
        <v>74</v>
      </c>
      <c r="D731" t="s">
        <v>5</v>
      </c>
      <c r="E731" t="s">
        <v>7</v>
      </c>
      <c r="F731" t="s">
        <v>13</v>
      </c>
      <c r="G731">
        <v>0</v>
      </c>
      <c r="H731">
        <v>43</v>
      </c>
      <c r="I731" t="s">
        <v>17</v>
      </c>
      <c r="J731" s="1">
        <v>1247.79</v>
      </c>
      <c r="K731" s="1">
        <v>207.965</v>
      </c>
      <c r="L731">
        <v>6</v>
      </c>
      <c r="M731">
        <v>1</v>
      </c>
      <c r="N731">
        <v>0</v>
      </c>
      <c r="O731">
        <v>0</v>
      </c>
      <c r="P731">
        <v>0</v>
      </c>
      <c r="Q731">
        <v>1</v>
      </c>
      <c r="R731">
        <v>105</v>
      </c>
      <c r="S731" s="5">
        <v>1</v>
      </c>
      <c r="T731" s="5">
        <v>2</v>
      </c>
      <c r="U731" s="5">
        <v>2</v>
      </c>
      <c r="V731" s="5">
        <v>5</v>
      </c>
    </row>
    <row r="732" spans="1:22" x14ac:dyDescent="0.35">
      <c r="A732">
        <v>731</v>
      </c>
      <c r="B732">
        <v>42</v>
      </c>
      <c r="C732" t="s">
        <v>75</v>
      </c>
      <c r="D732" t="s">
        <v>6</v>
      </c>
      <c r="E732" t="s">
        <v>8</v>
      </c>
      <c r="F732" t="s">
        <v>13</v>
      </c>
      <c r="G732">
        <v>0</v>
      </c>
      <c r="H732">
        <v>15</v>
      </c>
      <c r="I732" t="s">
        <v>18</v>
      </c>
      <c r="J732" s="1">
        <v>1559.5</v>
      </c>
      <c r="K732" s="1">
        <v>194.9375</v>
      </c>
      <c r="L732">
        <v>8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90</v>
      </c>
      <c r="S732" s="5">
        <v>1</v>
      </c>
      <c r="T732" s="5">
        <v>3</v>
      </c>
      <c r="U732" s="5">
        <v>2</v>
      </c>
      <c r="V732" s="5">
        <v>6</v>
      </c>
    </row>
    <row r="733" spans="1:22" x14ac:dyDescent="0.35">
      <c r="A733">
        <v>732</v>
      </c>
      <c r="B733">
        <v>21</v>
      </c>
      <c r="C733" t="s">
        <v>73</v>
      </c>
      <c r="D733" t="s">
        <v>6</v>
      </c>
      <c r="E733" t="s">
        <v>8</v>
      </c>
      <c r="F733" t="s">
        <v>11</v>
      </c>
      <c r="G733">
        <v>0</v>
      </c>
      <c r="H733">
        <v>35</v>
      </c>
      <c r="I733" t="s">
        <v>16</v>
      </c>
      <c r="J733" s="1">
        <v>1865.7199999999998</v>
      </c>
      <c r="K733" s="1">
        <v>207.30222222222221</v>
      </c>
      <c r="L733">
        <v>9</v>
      </c>
      <c r="M733">
        <v>1</v>
      </c>
      <c r="N733">
        <v>1</v>
      </c>
      <c r="O733">
        <v>0</v>
      </c>
      <c r="P733">
        <v>1</v>
      </c>
      <c r="Q733">
        <v>0</v>
      </c>
      <c r="R733">
        <v>113</v>
      </c>
      <c r="S733" s="5">
        <v>1</v>
      </c>
      <c r="T733" s="5">
        <v>3</v>
      </c>
      <c r="U733" s="5">
        <v>3</v>
      </c>
      <c r="V733" s="5">
        <v>7</v>
      </c>
    </row>
    <row r="734" spans="1:22" x14ac:dyDescent="0.35">
      <c r="A734">
        <v>733</v>
      </c>
      <c r="B734">
        <v>23</v>
      </c>
      <c r="C734" t="s">
        <v>73</v>
      </c>
      <c r="D734" t="s">
        <v>5</v>
      </c>
      <c r="E734" t="s">
        <v>10</v>
      </c>
      <c r="F734" t="s">
        <v>11</v>
      </c>
      <c r="G734">
        <v>1</v>
      </c>
      <c r="H734">
        <v>6</v>
      </c>
      <c r="I734" t="s">
        <v>18</v>
      </c>
      <c r="J734" s="1">
        <v>681.14</v>
      </c>
      <c r="K734" s="1">
        <v>227.04666666666665</v>
      </c>
      <c r="L734">
        <v>3</v>
      </c>
      <c r="M734">
        <v>2</v>
      </c>
      <c r="N734">
        <v>1</v>
      </c>
      <c r="O734">
        <v>0</v>
      </c>
      <c r="P734">
        <v>1</v>
      </c>
      <c r="Q734">
        <v>0</v>
      </c>
      <c r="R734">
        <v>50</v>
      </c>
      <c r="S734" s="5">
        <v>2</v>
      </c>
      <c r="T734" s="5">
        <v>2</v>
      </c>
      <c r="U734" s="5">
        <v>1</v>
      </c>
      <c r="V734" s="5">
        <v>5</v>
      </c>
    </row>
    <row r="735" spans="1:22" x14ac:dyDescent="0.35">
      <c r="A735">
        <v>734</v>
      </c>
      <c r="B735">
        <v>58</v>
      </c>
      <c r="C735" t="s">
        <v>74</v>
      </c>
      <c r="D735" t="s">
        <v>5</v>
      </c>
      <c r="E735" t="s">
        <v>9</v>
      </c>
      <c r="F735" t="s">
        <v>13</v>
      </c>
      <c r="G735">
        <v>0</v>
      </c>
      <c r="H735">
        <v>11</v>
      </c>
      <c r="I735" t="s">
        <v>16</v>
      </c>
      <c r="J735" s="1">
        <v>1047.1199999999999</v>
      </c>
      <c r="K735" s="1">
        <v>209.42399999999998</v>
      </c>
      <c r="L735">
        <v>5</v>
      </c>
      <c r="M735">
        <v>2</v>
      </c>
      <c r="N735">
        <v>1</v>
      </c>
      <c r="O735">
        <v>1</v>
      </c>
      <c r="P735">
        <v>1</v>
      </c>
      <c r="Q735">
        <v>0</v>
      </c>
      <c r="R735">
        <v>61</v>
      </c>
      <c r="S735" s="5">
        <v>2</v>
      </c>
      <c r="T735" s="5">
        <v>2</v>
      </c>
      <c r="U735" s="5">
        <v>2</v>
      </c>
      <c r="V735" s="5">
        <v>6</v>
      </c>
    </row>
    <row r="736" spans="1:22" x14ac:dyDescent="0.35">
      <c r="A736">
        <v>735</v>
      </c>
      <c r="B736">
        <v>54</v>
      </c>
      <c r="C736" t="s">
        <v>74</v>
      </c>
      <c r="D736" t="s">
        <v>6</v>
      </c>
      <c r="E736" t="s">
        <v>9</v>
      </c>
      <c r="F736" t="s">
        <v>11</v>
      </c>
      <c r="G736">
        <v>0</v>
      </c>
      <c r="H736">
        <v>28</v>
      </c>
      <c r="I736" t="s">
        <v>17</v>
      </c>
      <c r="J736" s="1">
        <v>2165.4900000000002</v>
      </c>
      <c r="K736" s="1">
        <v>270.68625000000003</v>
      </c>
      <c r="L736">
        <v>8</v>
      </c>
      <c r="M736">
        <v>2</v>
      </c>
      <c r="N736">
        <v>1</v>
      </c>
      <c r="O736">
        <v>0</v>
      </c>
      <c r="P736">
        <v>0</v>
      </c>
      <c r="Q736">
        <v>1</v>
      </c>
      <c r="R736">
        <v>16</v>
      </c>
      <c r="S736" s="5">
        <v>3</v>
      </c>
      <c r="T736" s="5">
        <v>3</v>
      </c>
      <c r="U736" s="5">
        <v>3</v>
      </c>
      <c r="V736" s="5">
        <v>9</v>
      </c>
    </row>
    <row r="737" spans="1:22" x14ac:dyDescent="0.35">
      <c r="A737">
        <v>736</v>
      </c>
      <c r="B737">
        <v>67</v>
      </c>
      <c r="C737" t="s">
        <v>72</v>
      </c>
      <c r="D737" t="s">
        <v>6</v>
      </c>
      <c r="E737" t="s">
        <v>9</v>
      </c>
      <c r="F737" t="s">
        <v>11</v>
      </c>
      <c r="G737">
        <v>0</v>
      </c>
      <c r="H737">
        <v>30</v>
      </c>
      <c r="I737" t="s">
        <v>17</v>
      </c>
      <c r="J737" s="1">
        <v>576.29999999999995</v>
      </c>
      <c r="K737" s="1">
        <v>192.1</v>
      </c>
      <c r="L737">
        <v>3</v>
      </c>
      <c r="M737">
        <v>1</v>
      </c>
      <c r="N737">
        <v>1</v>
      </c>
      <c r="O737">
        <v>1</v>
      </c>
      <c r="P737">
        <v>0</v>
      </c>
      <c r="Q737">
        <v>0</v>
      </c>
      <c r="R737">
        <v>149</v>
      </c>
      <c r="S737" s="5">
        <v>1</v>
      </c>
      <c r="T737" s="5">
        <v>2</v>
      </c>
      <c r="U737" s="5">
        <v>1</v>
      </c>
      <c r="V737" s="5">
        <v>4</v>
      </c>
    </row>
    <row r="738" spans="1:22" x14ac:dyDescent="0.35">
      <c r="A738">
        <v>737</v>
      </c>
      <c r="B738">
        <v>42</v>
      </c>
      <c r="C738" t="s">
        <v>75</v>
      </c>
      <c r="D738" t="s">
        <v>5</v>
      </c>
      <c r="E738" t="s">
        <v>8</v>
      </c>
      <c r="F738" t="s">
        <v>12</v>
      </c>
      <c r="G738">
        <v>0</v>
      </c>
      <c r="H738">
        <v>16</v>
      </c>
      <c r="I738" t="s">
        <v>16</v>
      </c>
      <c r="J738" s="1">
        <v>2132.0499999999997</v>
      </c>
      <c r="K738" s="1">
        <v>236.89444444444442</v>
      </c>
      <c r="L738">
        <v>9</v>
      </c>
      <c r="M738">
        <v>2</v>
      </c>
      <c r="N738">
        <v>1</v>
      </c>
      <c r="O738">
        <v>0</v>
      </c>
      <c r="P738">
        <v>1</v>
      </c>
      <c r="Q738">
        <v>1</v>
      </c>
      <c r="R738">
        <v>44</v>
      </c>
      <c r="S738" s="5">
        <v>2</v>
      </c>
      <c r="T738" s="5">
        <v>3</v>
      </c>
      <c r="U738" s="5">
        <v>3</v>
      </c>
      <c r="V738" s="5">
        <v>8</v>
      </c>
    </row>
    <row r="739" spans="1:22" x14ac:dyDescent="0.35">
      <c r="A739">
        <v>738</v>
      </c>
      <c r="B739">
        <v>51</v>
      </c>
      <c r="C739" t="s">
        <v>74</v>
      </c>
      <c r="D739" t="s">
        <v>5</v>
      </c>
      <c r="E739" t="s">
        <v>10</v>
      </c>
      <c r="F739" t="s">
        <v>13</v>
      </c>
      <c r="G739">
        <v>0</v>
      </c>
      <c r="H739">
        <v>28</v>
      </c>
      <c r="I739" t="s">
        <v>16</v>
      </c>
      <c r="J739" s="1">
        <v>675.36</v>
      </c>
      <c r="K739" s="1">
        <v>225.12</v>
      </c>
      <c r="L739">
        <v>3</v>
      </c>
      <c r="M739">
        <v>2</v>
      </c>
      <c r="N739">
        <v>1</v>
      </c>
      <c r="O739">
        <v>1</v>
      </c>
      <c r="P739">
        <v>0</v>
      </c>
      <c r="Q739">
        <v>0</v>
      </c>
      <c r="R739">
        <v>228</v>
      </c>
      <c r="S739" s="5">
        <v>1</v>
      </c>
      <c r="T739" s="5">
        <v>2</v>
      </c>
      <c r="U739" s="5">
        <v>1</v>
      </c>
      <c r="V739" s="5">
        <v>4</v>
      </c>
    </row>
    <row r="740" spans="1:22" x14ac:dyDescent="0.35">
      <c r="A740">
        <v>739</v>
      </c>
      <c r="B740">
        <v>36</v>
      </c>
      <c r="C740" t="s">
        <v>75</v>
      </c>
      <c r="D740" t="s">
        <v>5</v>
      </c>
      <c r="E740" t="s">
        <v>7</v>
      </c>
      <c r="F740" t="s">
        <v>13</v>
      </c>
      <c r="G740">
        <v>0</v>
      </c>
      <c r="H740">
        <v>25</v>
      </c>
      <c r="I740" t="s">
        <v>18</v>
      </c>
      <c r="J740" s="1">
        <v>338.96999999999997</v>
      </c>
      <c r="K740" s="1">
        <v>169.48499999999999</v>
      </c>
      <c r="L740">
        <v>2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83</v>
      </c>
      <c r="S740" s="5">
        <v>1</v>
      </c>
      <c r="T740" s="5">
        <v>1</v>
      </c>
      <c r="U740" s="5">
        <v>1</v>
      </c>
      <c r="V740" s="5">
        <v>3</v>
      </c>
    </row>
    <row r="741" spans="1:22" x14ac:dyDescent="0.35">
      <c r="A741">
        <v>740</v>
      </c>
      <c r="B741">
        <v>51</v>
      </c>
      <c r="C741" t="s">
        <v>74</v>
      </c>
      <c r="D741" t="s">
        <v>5</v>
      </c>
      <c r="E741" t="s">
        <v>9</v>
      </c>
      <c r="F741" t="s">
        <v>13</v>
      </c>
      <c r="G741">
        <v>0</v>
      </c>
      <c r="H741">
        <v>48</v>
      </c>
      <c r="I741" t="s">
        <v>18</v>
      </c>
      <c r="J741" s="1">
        <v>2094.81</v>
      </c>
      <c r="K741" s="1">
        <v>232.75666666666666</v>
      </c>
      <c r="L741">
        <v>9</v>
      </c>
      <c r="M741">
        <v>1</v>
      </c>
      <c r="N741">
        <v>0</v>
      </c>
      <c r="O741">
        <v>1</v>
      </c>
      <c r="P741">
        <v>0</v>
      </c>
      <c r="Q741">
        <v>0</v>
      </c>
      <c r="R741">
        <v>29</v>
      </c>
      <c r="S741" s="5">
        <v>2</v>
      </c>
      <c r="T741" s="5">
        <v>3</v>
      </c>
      <c r="U741" s="5">
        <v>3</v>
      </c>
      <c r="V741" s="5">
        <v>8</v>
      </c>
    </row>
    <row r="742" spans="1:22" x14ac:dyDescent="0.35">
      <c r="A742">
        <v>741</v>
      </c>
      <c r="B742">
        <v>32</v>
      </c>
      <c r="C742" t="s">
        <v>75</v>
      </c>
      <c r="D742" t="s">
        <v>6</v>
      </c>
      <c r="E742" t="s">
        <v>8</v>
      </c>
      <c r="F742" t="s">
        <v>13</v>
      </c>
      <c r="G742">
        <v>0</v>
      </c>
      <c r="H742">
        <v>30</v>
      </c>
      <c r="I742" t="s">
        <v>17</v>
      </c>
      <c r="J742" s="1">
        <v>2317.6600000000003</v>
      </c>
      <c r="K742" s="1">
        <v>289.70750000000004</v>
      </c>
      <c r="L742">
        <v>8</v>
      </c>
      <c r="M742">
        <v>1</v>
      </c>
      <c r="N742">
        <v>0</v>
      </c>
      <c r="O742">
        <v>1</v>
      </c>
      <c r="P742">
        <v>0</v>
      </c>
      <c r="Q742">
        <v>0</v>
      </c>
      <c r="R742">
        <v>16</v>
      </c>
      <c r="S742" s="5">
        <v>3</v>
      </c>
      <c r="T742" s="5">
        <v>3</v>
      </c>
      <c r="U742" s="5">
        <v>3</v>
      </c>
      <c r="V742" s="5">
        <v>9</v>
      </c>
    </row>
    <row r="743" spans="1:22" x14ac:dyDescent="0.35">
      <c r="A743">
        <v>742</v>
      </c>
      <c r="B743">
        <v>67</v>
      </c>
      <c r="C743" t="s">
        <v>72</v>
      </c>
      <c r="D743" t="s">
        <v>6</v>
      </c>
      <c r="E743" t="s">
        <v>10</v>
      </c>
      <c r="F743" t="s">
        <v>13</v>
      </c>
      <c r="G743">
        <v>1</v>
      </c>
      <c r="H743">
        <v>45</v>
      </c>
      <c r="I743" t="s">
        <v>18</v>
      </c>
      <c r="J743" s="1">
        <v>583.1</v>
      </c>
      <c r="K743" s="1">
        <v>291.55</v>
      </c>
      <c r="L743">
        <v>2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183</v>
      </c>
      <c r="S743" s="5">
        <v>1</v>
      </c>
      <c r="T743" s="5">
        <v>1</v>
      </c>
      <c r="U743" s="5">
        <v>1</v>
      </c>
      <c r="V743" s="5">
        <v>3</v>
      </c>
    </row>
    <row r="744" spans="1:22" x14ac:dyDescent="0.35">
      <c r="A744">
        <v>743</v>
      </c>
      <c r="B744">
        <v>25</v>
      </c>
      <c r="C744" t="s">
        <v>73</v>
      </c>
      <c r="D744" t="s">
        <v>6</v>
      </c>
      <c r="E744" t="s">
        <v>10</v>
      </c>
      <c r="F744" t="s">
        <v>11</v>
      </c>
      <c r="G744">
        <v>0</v>
      </c>
      <c r="H744">
        <v>14</v>
      </c>
      <c r="I744" t="s">
        <v>18</v>
      </c>
      <c r="J744" s="1">
        <v>1118.4099999999999</v>
      </c>
      <c r="K744" s="1">
        <v>279.60249999999996</v>
      </c>
      <c r="L744">
        <v>4</v>
      </c>
      <c r="M744">
        <v>2</v>
      </c>
      <c r="N744">
        <v>0</v>
      </c>
      <c r="O744">
        <v>1</v>
      </c>
      <c r="P744">
        <v>0</v>
      </c>
      <c r="Q744">
        <v>1</v>
      </c>
      <c r="R744">
        <v>16</v>
      </c>
      <c r="S744" s="5">
        <v>3</v>
      </c>
      <c r="T744" s="5">
        <v>2</v>
      </c>
      <c r="U744" s="5">
        <v>2</v>
      </c>
      <c r="V744" s="5">
        <v>7</v>
      </c>
    </row>
    <row r="745" spans="1:22" x14ac:dyDescent="0.35">
      <c r="A745">
        <v>744</v>
      </c>
      <c r="B745">
        <v>61</v>
      </c>
      <c r="C745" t="s">
        <v>72</v>
      </c>
      <c r="D745" t="s">
        <v>6</v>
      </c>
      <c r="E745" t="s">
        <v>9</v>
      </c>
      <c r="F745" t="s">
        <v>13</v>
      </c>
      <c r="G745">
        <v>0</v>
      </c>
      <c r="H745">
        <v>27</v>
      </c>
      <c r="I745" t="s">
        <v>17</v>
      </c>
      <c r="J745" s="1">
        <v>1132.03</v>
      </c>
      <c r="K745" s="1">
        <v>188.67166666666665</v>
      </c>
      <c r="L745">
        <v>6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79</v>
      </c>
      <c r="S745" s="5">
        <v>2</v>
      </c>
      <c r="T745" s="5">
        <v>2</v>
      </c>
      <c r="U745" s="5">
        <v>2</v>
      </c>
      <c r="V745" s="5">
        <v>6</v>
      </c>
    </row>
    <row r="746" spans="1:22" x14ac:dyDescent="0.35">
      <c r="A746">
        <v>745</v>
      </c>
      <c r="B746">
        <v>64</v>
      </c>
      <c r="C746" t="s">
        <v>72</v>
      </c>
      <c r="D746" t="s">
        <v>6</v>
      </c>
      <c r="E746" t="s">
        <v>10</v>
      </c>
      <c r="F746" t="s">
        <v>13</v>
      </c>
      <c r="G746">
        <v>0</v>
      </c>
      <c r="H746">
        <v>48</v>
      </c>
      <c r="I746" t="s">
        <v>17</v>
      </c>
      <c r="J746" s="1">
        <v>2639.2799999999997</v>
      </c>
      <c r="K746" s="1">
        <v>293.25333333333333</v>
      </c>
      <c r="L746">
        <v>9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34</v>
      </c>
      <c r="S746" s="5">
        <v>2</v>
      </c>
      <c r="T746" s="5">
        <v>3</v>
      </c>
      <c r="U746" s="5">
        <v>3</v>
      </c>
      <c r="V746" s="5">
        <v>8</v>
      </c>
    </row>
    <row r="747" spans="1:22" x14ac:dyDescent="0.35">
      <c r="A747">
        <v>746</v>
      </c>
      <c r="B747">
        <v>66</v>
      </c>
      <c r="C747" t="s">
        <v>72</v>
      </c>
      <c r="D747" t="s">
        <v>5</v>
      </c>
      <c r="E747" t="s">
        <v>10</v>
      </c>
      <c r="F747" t="s">
        <v>12</v>
      </c>
      <c r="G747">
        <v>0</v>
      </c>
      <c r="H747">
        <v>30</v>
      </c>
      <c r="I747" t="s">
        <v>16</v>
      </c>
      <c r="J747" s="1">
        <v>604.81999999999994</v>
      </c>
      <c r="K747" s="1">
        <v>302.40999999999997</v>
      </c>
      <c r="L747">
        <v>2</v>
      </c>
      <c r="M747">
        <v>1</v>
      </c>
      <c r="N747">
        <v>0</v>
      </c>
      <c r="O747">
        <v>0</v>
      </c>
      <c r="P747">
        <v>1</v>
      </c>
      <c r="Q747">
        <v>0</v>
      </c>
      <c r="R747">
        <v>72</v>
      </c>
      <c r="S747" s="5">
        <v>2</v>
      </c>
      <c r="T747" s="5">
        <v>1</v>
      </c>
      <c r="U747" s="5">
        <v>1</v>
      </c>
      <c r="V747" s="5">
        <v>4</v>
      </c>
    </row>
    <row r="748" spans="1:22" x14ac:dyDescent="0.35">
      <c r="A748">
        <v>747</v>
      </c>
      <c r="B748">
        <v>51</v>
      </c>
      <c r="C748" t="s">
        <v>74</v>
      </c>
      <c r="D748" t="s">
        <v>5</v>
      </c>
      <c r="E748" t="s">
        <v>8</v>
      </c>
      <c r="F748" t="s">
        <v>11</v>
      </c>
      <c r="G748">
        <v>0</v>
      </c>
      <c r="H748">
        <v>10</v>
      </c>
      <c r="I748" t="s">
        <v>18</v>
      </c>
      <c r="J748" s="1">
        <v>967.07999999999993</v>
      </c>
      <c r="K748" s="1">
        <v>241.76999999999998</v>
      </c>
      <c r="L748">
        <v>4</v>
      </c>
      <c r="M748">
        <v>2</v>
      </c>
      <c r="N748">
        <v>1</v>
      </c>
      <c r="O748">
        <v>1</v>
      </c>
      <c r="P748">
        <v>0</v>
      </c>
      <c r="Q748">
        <v>1</v>
      </c>
      <c r="R748">
        <v>6</v>
      </c>
      <c r="S748" s="5">
        <v>3</v>
      </c>
      <c r="T748" s="5">
        <v>2</v>
      </c>
      <c r="U748" s="5">
        <v>2</v>
      </c>
      <c r="V748" s="5">
        <v>7</v>
      </c>
    </row>
    <row r="749" spans="1:22" x14ac:dyDescent="0.35">
      <c r="A749">
        <v>748</v>
      </c>
      <c r="B749">
        <v>35</v>
      </c>
      <c r="C749" t="s">
        <v>75</v>
      </c>
      <c r="D749" t="s">
        <v>6</v>
      </c>
      <c r="E749" t="s">
        <v>7</v>
      </c>
      <c r="F749" t="s">
        <v>13</v>
      </c>
      <c r="G749">
        <v>1</v>
      </c>
      <c r="H749">
        <v>20</v>
      </c>
      <c r="I749" t="s">
        <v>16</v>
      </c>
      <c r="J749" s="1">
        <v>284.57</v>
      </c>
      <c r="K749" s="1">
        <v>142.285</v>
      </c>
      <c r="L749">
        <v>2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43</v>
      </c>
      <c r="S749" s="5">
        <v>2</v>
      </c>
      <c r="T749" s="5">
        <v>1</v>
      </c>
      <c r="U749" s="5">
        <v>1</v>
      </c>
      <c r="V749" s="5">
        <v>4</v>
      </c>
    </row>
    <row r="750" spans="1:22" x14ac:dyDescent="0.35">
      <c r="A750">
        <v>749</v>
      </c>
      <c r="B750">
        <v>47</v>
      </c>
      <c r="C750" t="s">
        <v>74</v>
      </c>
      <c r="D750" t="s">
        <v>5</v>
      </c>
      <c r="E750" t="s">
        <v>10</v>
      </c>
      <c r="F750" t="s">
        <v>13</v>
      </c>
      <c r="G750">
        <v>0</v>
      </c>
      <c r="H750">
        <v>44</v>
      </c>
      <c r="I750" t="s">
        <v>18</v>
      </c>
      <c r="J750" s="1">
        <v>618.27</v>
      </c>
      <c r="K750" s="1">
        <v>206.09</v>
      </c>
      <c r="L750">
        <v>3</v>
      </c>
      <c r="M750">
        <v>2</v>
      </c>
      <c r="N750">
        <v>1</v>
      </c>
      <c r="O750">
        <v>1</v>
      </c>
      <c r="P750">
        <v>1</v>
      </c>
      <c r="Q750">
        <v>0</v>
      </c>
      <c r="R750">
        <v>9</v>
      </c>
      <c r="S750" s="5">
        <v>3</v>
      </c>
      <c r="T750" s="5">
        <v>2</v>
      </c>
      <c r="U750" s="5">
        <v>1</v>
      </c>
      <c r="V750" s="5">
        <v>6</v>
      </c>
    </row>
    <row r="751" spans="1:22" x14ac:dyDescent="0.35">
      <c r="A751">
        <v>750</v>
      </c>
      <c r="B751">
        <v>30</v>
      </c>
      <c r="C751" t="s">
        <v>73</v>
      </c>
      <c r="D751" t="s">
        <v>6</v>
      </c>
      <c r="E751" t="s">
        <v>7</v>
      </c>
      <c r="F751" t="s">
        <v>13</v>
      </c>
      <c r="G751">
        <v>0</v>
      </c>
      <c r="H751">
        <v>7</v>
      </c>
      <c r="I751" t="s">
        <v>17</v>
      </c>
      <c r="J751" s="1">
        <v>2600.41</v>
      </c>
      <c r="K751" s="1">
        <v>325.05124999999998</v>
      </c>
      <c r="L751">
        <v>8</v>
      </c>
      <c r="M751">
        <v>2</v>
      </c>
      <c r="N751">
        <v>1</v>
      </c>
      <c r="O751">
        <v>0</v>
      </c>
      <c r="P751">
        <v>0</v>
      </c>
      <c r="Q751">
        <v>1</v>
      </c>
      <c r="R751">
        <v>26</v>
      </c>
      <c r="S751" s="5">
        <v>3</v>
      </c>
      <c r="T751" s="5">
        <v>3</v>
      </c>
      <c r="U751" s="5">
        <v>3</v>
      </c>
      <c r="V751" s="5">
        <v>9</v>
      </c>
    </row>
    <row r="752" spans="1:22" x14ac:dyDescent="0.35">
      <c r="A752">
        <v>751</v>
      </c>
      <c r="B752">
        <v>64</v>
      </c>
      <c r="C752" t="s">
        <v>72</v>
      </c>
      <c r="D752" t="s">
        <v>6</v>
      </c>
      <c r="E752" t="s">
        <v>10</v>
      </c>
      <c r="F752" t="s">
        <v>13</v>
      </c>
      <c r="G752">
        <v>0</v>
      </c>
      <c r="H752">
        <v>34</v>
      </c>
      <c r="I752" t="s">
        <v>17</v>
      </c>
      <c r="J752" s="1">
        <v>1172.3499999999999</v>
      </c>
      <c r="K752" s="1">
        <v>195.39166666666665</v>
      </c>
      <c r="L752">
        <v>6</v>
      </c>
      <c r="M752">
        <v>1</v>
      </c>
      <c r="N752">
        <v>0</v>
      </c>
      <c r="O752">
        <v>1</v>
      </c>
      <c r="P752">
        <v>0</v>
      </c>
      <c r="Q752">
        <v>0</v>
      </c>
      <c r="R752">
        <v>96</v>
      </c>
      <c r="S752" s="5">
        <v>1</v>
      </c>
      <c r="T752" s="5">
        <v>2</v>
      </c>
      <c r="U752" s="5">
        <v>2</v>
      </c>
      <c r="V752" s="5">
        <v>5</v>
      </c>
    </row>
    <row r="753" spans="1:22" x14ac:dyDescent="0.35">
      <c r="A753">
        <v>752</v>
      </c>
      <c r="B753">
        <v>50</v>
      </c>
      <c r="C753" t="s">
        <v>74</v>
      </c>
      <c r="D753" t="s">
        <v>6</v>
      </c>
      <c r="E753" t="s">
        <v>10</v>
      </c>
      <c r="F753" t="s">
        <v>11</v>
      </c>
      <c r="G753">
        <v>0</v>
      </c>
      <c r="H753">
        <v>27</v>
      </c>
      <c r="I753" t="s">
        <v>17</v>
      </c>
      <c r="J753" s="1">
        <v>2056.7600000000002</v>
      </c>
      <c r="K753" s="1">
        <v>228.5288888888889</v>
      </c>
      <c r="L753">
        <v>9</v>
      </c>
      <c r="M753">
        <v>2</v>
      </c>
      <c r="N753">
        <v>0</v>
      </c>
      <c r="O753">
        <v>0</v>
      </c>
      <c r="P753">
        <v>0</v>
      </c>
      <c r="Q753">
        <v>1</v>
      </c>
      <c r="R753">
        <v>25</v>
      </c>
      <c r="S753" s="5">
        <v>3</v>
      </c>
      <c r="T753" s="5">
        <v>3</v>
      </c>
      <c r="U753" s="5">
        <v>3</v>
      </c>
      <c r="V753" s="5">
        <v>9</v>
      </c>
    </row>
    <row r="754" spans="1:22" x14ac:dyDescent="0.35">
      <c r="A754">
        <v>753</v>
      </c>
      <c r="B754">
        <v>52</v>
      </c>
      <c r="C754" t="s">
        <v>74</v>
      </c>
      <c r="D754" t="s">
        <v>6</v>
      </c>
      <c r="E754" t="s">
        <v>10</v>
      </c>
      <c r="F754" t="s">
        <v>12</v>
      </c>
      <c r="G754">
        <v>1</v>
      </c>
      <c r="H754">
        <v>23</v>
      </c>
      <c r="I754" t="s">
        <v>18</v>
      </c>
      <c r="J754" s="1">
        <v>1560.95</v>
      </c>
      <c r="K754" s="1">
        <v>260.15833333333336</v>
      </c>
      <c r="L754">
        <v>6</v>
      </c>
      <c r="M754">
        <v>2</v>
      </c>
      <c r="N754">
        <v>1</v>
      </c>
      <c r="O754">
        <v>1</v>
      </c>
      <c r="P754">
        <v>1</v>
      </c>
      <c r="Q754">
        <v>0</v>
      </c>
      <c r="R754">
        <v>45</v>
      </c>
      <c r="S754" s="5">
        <v>2</v>
      </c>
      <c r="T754" s="5">
        <v>2</v>
      </c>
      <c r="U754" s="5">
        <v>2</v>
      </c>
      <c r="V754" s="5">
        <v>6</v>
      </c>
    </row>
    <row r="755" spans="1:22" x14ac:dyDescent="0.35">
      <c r="A755">
        <v>754</v>
      </c>
      <c r="B755">
        <v>69</v>
      </c>
      <c r="C755" t="s">
        <v>72</v>
      </c>
      <c r="D755" t="s">
        <v>5</v>
      </c>
      <c r="E755" t="s">
        <v>9</v>
      </c>
      <c r="F755" t="s">
        <v>12</v>
      </c>
      <c r="G755">
        <v>0</v>
      </c>
      <c r="H755">
        <v>46</v>
      </c>
      <c r="I755" t="s">
        <v>17</v>
      </c>
      <c r="J755" s="1">
        <v>1122.07</v>
      </c>
      <c r="K755" s="1">
        <v>280.51749999999998</v>
      </c>
      <c r="L755">
        <v>4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66</v>
      </c>
      <c r="S755" s="5">
        <v>2</v>
      </c>
      <c r="T755" s="5">
        <v>2</v>
      </c>
      <c r="U755" s="5">
        <v>2</v>
      </c>
      <c r="V755" s="5">
        <v>6</v>
      </c>
    </row>
    <row r="756" spans="1:22" x14ac:dyDescent="0.35">
      <c r="A756">
        <v>755</v>
      </c>
      <c r="B756">
        <v>41</v>
      </c>
      <c r="C756" t="s">
        <v>75</v>
      </c>
      <c r="D756" t="s">
        <v>6</v>
      </c>
      <c r="E756" t="s">
        <v>9</v>
      </c>
      <c r="F756" t="s">
        <v>13</v>
      </c>
      <c r="G756">
        <v>0</v>
      </c>
      <c r="H756">
        <v>45</v>
      </c>
      <c r="I756" t="s">
        <v>17</v>
      </c>
      <c r="J756" s="1">
        <v>539.67999999999995</v>
      </c>
      <c r="K756" s="1">
        <v>179.89333333333332</v>
      </c>
      <c r="L756">
        <v>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192</v>
      </c>
      <c r="S756" s="5">
        <v>1</v>
      </c>
      <c r="T756" s="5">
        <v>2</v>
      </c>
      <c r="U756" s="5">
        <v>1</v>
      </c>
      <c r="V756" s="5">
        <v>4</v>
      </c>
    </row>
    <row r="757" spans="1:22" x14ac:dyDescent="0.35">
      <c r="A757">
        <v>756</v>
      </c>
      <c r="B757">
        <v>43</v>
      </c>
      <c r="C757" t="s">
        <v>75</v>
      </c>
      <c r="D757" t="s">
        <v>6</v>
      </c>
      <c r="E757" t="s">
        <v>9</v>
      </c>
      <c r="F757" t="s">
        <v>12</v>
      </c>
      <c r="G757">
        <v>0</v>
      </c>
      <c r="H757">
        <v>25</v>
      </c>
      <c r="I757" t="s">
        <v>16</v>
      </c>
      <c r="J757" s="1">
        <v>2081.6999999999998</v>
      </c>
      <c r="K757" s="1">
        <v>346.95</v>
      </c>
      <c r="L757">
        <v>6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221</v>
      </c>
      <c r="S757" s="5">
        <v>1</v>
      </c>
      <c r="T757" s="5">
        <v>2</v>
      </c>
      <c r="U757" s="5">
        <v>3</v>
      </c>
      <c r="V757" s="5">
        <v>6</v>
      </c>
    </row>
    <row r="758" spans="1:22" x14ac:dyDescent="0.35">
      <c r="A758">
        <v>757</v>
      </c>
      <c r="B758">
        <v>64</v>
      </c>
      <c r="C758" t="s">
        <v>72</v>
      </c>
      <c r="D758" t="s">
        <v>6</v>
      </c>
      <c r="E758" t="s">
        <v>7</v>
      </c>
      <c r="F758" t="s">
        <v>12</v>
      </c>
      <c r="G758">
        <v>1</v>
      </c>
      <c r="H758">
        <v>28</v>
      </c>
      <c r="I758" t="s">
        <v>16</v>
      </c>
      <c r="J758" s="1">
        <v>1484.1200000000001</v>
      </c>
      <c r="K758" s="1">
        <v>296.82400000000001</v>
      </c>
      <c r="L758">
        <v>5</v>
      </c>
      <c r="M758">
        <v>1</v>
      </c>
      <c r="N758">
        <v>0</v>
      </c>
      <c r="O758">
        <v>0</v>
      </c>
      <c r="P758">
        <v>0</v>
      </c>
      <c r="Q758">
        <v>1</v>
      </c>
      <c r="R758">
        <v>53</v>
      </c>
      <c r="S758" s="5">
        <v>2</v>
      </c>
      <c r="T758" s="5">
        <v>2</v>
      </c>
      <c r="U758" s="5">
        <v>2</v>
      </c>
      <c r="V758" s="5">
        <v>6</v>
      </c>
    </row>
    <row r="759" spans="1:22" x14ac:dyDescent="0.35">
      <c r="A759">
        <v>758</v>
      </c>
      <c r="B759">
        <v>68</v>
      </c>
      <c r="C759" t="s">
        <v>72</v>
      </c>
      <c r="D759" t="s">
        <v>5</v>
      </c>
      <c r="E759" t="s">
        <v>7</v>
      </c>
      <c r="F759" t="s">
        <v>12</v>
      </c>
      <c r="G759">
        <v>0</v>
      </c>
      <c r="H759">
        <v>18</v>
      </c>
      <c r="I759" t="s">
        <v>18</v>
      </c>
      <c r="J759" s="1">
        <v>1725.4999999999998</v>
      </c>
      <c r="K759" s="1">
        <v>191.7222222222222</v>
      </c>
      <c r="L759">
        <v>9</v>
      </c>
      <c r="M759">
        <v>2</v>
      </c>
      <c r="N759">
        <v>1</v>
      </c>
      <c r="O759">
        <v>0</v>
      </c>
      <c r="P759">
        <v>1</v>
      </c>
      <c r="Q759">
        <v>1</v>
      </c>
      <c r="R759">
        <v>19</v>
      </c>
      <c r="S759" s="5">
        <v>3</v>
      </c>
      <c r="T759" s="5">
        <v>3</v>
      </c>
      <c r="U759" s="5">
        <v>3</v>
      </c>
      <c r="V759" s="5">
        <v>9</v>
      </c>
    </row>
    <row r="760" spans="1:22" x14ac:dyDescent="0.35">
      <c r="A760">
        <v>759</v>
      </c>
      <c r="B760">
        <v>61</v>
      </c>
      <c r="C760" t="s">
        <v>72</v>
      </c>
      <c r="D760" t="s">
        <v>6</v>
      </c>
      <c r="E760" t="s">
        <v>9</v>
      </c>
      <c r="F760" t="s">
        <v>12</v>
      </c>
      <c r="G760">
        <v>0</v>
      </c>
      <c r="H760">
        <v>13</v>
      </c>
      <c r="I760" t="s">
        <v>17</v>
      </c>
      <c r="J760" s="1">
        <v>575.97</v>
      </c>
      <c r="K760" s="1">
        <v>287.98500000000001</v>
      </c>
      <c r="L760">
        <v>2</v>
      </c>
      <c r="M760">
        <v>1</v>
      </c>
      <c r="N760">
        <v>0</v>
      </c>
      <c r="O760">
        <v>1</v>
      </c>
      <c r="P760">
        <v>0</v>
      </c>
      <c r="Q760">
        <v>0</v>
      </c>
      <c r="R760">
        <v>291</v>
      </c>
      <c r="S760" s="5">
        <v>1</v>
      </c>
      <c r="T760" s="5">
        <v>1</v>
      </c>
      <c r="U760" s="5">
        <v>1</v>
      </c>
      <c r="V760" s="5">
        <v>3</v>
      </c>
    </row>
    <row r="761" spans="1:22" x14ac:dyDescent="0.35">
      <c r="A761">
        <v>760</v>
      </c>
      <c r="B761">
        <v>59</v>
      </c>
      <c r="C761" t="s">
        <v>74</v>
      </c>
      <c r="D761" t="s">
        <v>5</v>
      </c>
      <c r="E761" t="s">
        <v>7</v>
      </c>
      <c r="F761" t="s">
        <v>12</v>
      </c>
      <c r="G761">
        <v>0</v>
      </c>
      <c r="H761">
        <v>13</v>
      </c>
      <c r="I761" t="s">
        <v>18</v>
      </c>
      <c r="J761" s="1">
        <v>477.75</v>
      </c>
      <c r="K761" s="1">
        <v>477.75</v>
      </c>
      <c r="L761">
        <v>1</v>
      </c>
      <c r="M761">
        <v>2</v>
      </c>
      <c r="N761">
        <v>1</v>
      </c>
      <c r="O761">
        <v>0</v>
      </c>
      <c r="P761">
        <v>1</v>
      </c>
      <c r="Q761">
        <v>1</v>
      </c>
      <c r="R761">
        <v>235</v>
      </c>
      <c r="S761" s="5">
        <v>1</v>
      </c>
      <c r="T761" s="5">
        <v>1</v>
      </c>
      <c r="U761" s="5">
        <v>1</v>
      </c>
      <c r="V761" s="5">
        <v>3</v>
      </c>
    </row>
    <row r="762" spans="1:22" x14ac:dyDescent="0.35">
      <c r="A762">
        <v>761</v>
      </c>
      <c r="B762">
        <v>64</v>
      </c>
      <c r="C762" t="s">
        <v>72</v>
      </c>
      <c r="D762" t="s">
        <v>5</v>
      </c>
      <c r="E762" t="s">
        <v>8</v>
      </c>
      <c r="F762" t="s">
        <v>11</v>
      </c>
      <c r="G762">
        <v>0</v>
      </c>
      <c r="H762">
        <v>45</v>
      </c>
      <c r="I762" t="s">
        <v>18</v>
      </c>
      <c r="J762" s="1">
        <v>1309.22</v>
      </c>
      <c r="K762" s="1">
        <v>145.4688888888889</v>
      </c>
      <c r="L762">
        <v>9</v>
      </c>
      <c r="M762">
        <v>1</v>
      </c>
      <c r="N762">
        <v>0</v>
      </c>
      <c r="O762">
        <v>0</v>
      </c>
      <c r="P762">
        <v>0</v>
      </c>
      <c r="Q762">
        <v>1</v>
      </c>
      <c r="R762">
        <v>13</v>
      </c>
      <c r="S762" s="5">
        <v>3</v>
      </c>
      <c r="T762" s="5">
        <v>3</v>
      </c>
      <c r="U762" s="5">
        <v>2</v>
      </c>
      <c r="V762" s="5">
        <v>8</v>
      </c>
    </row>
    <row r="763" spans="1:22" x14ac:dyDescent="0.35">
      <c r="A763">
        <v>762</v>
      </c>
      <c r="B763">
        <v>18</v>
      </c>
      <c r="C763" t="s">
        <v>73</v>
      </c>
      <c r="D763" t="s">
        <v>6</v>
      </c>
      <c r="E763" t="s">
        <v>7</v>
      </c>
      <c r="F763" t="s">
        <v>11</v>
      </c>
      <c r="G763">
        <v>1</v>
      </c>
      <c r="H763">
        <v>34</v>
      </c>
      <c r="I763" t="s">
        <v>16</v>
      </c>
      <c r="J763" s="1">
        <v>2577.9499999999998</v>
      </c>
      <c r="K763" s="1">
        <v>286.43888888888887</v>
      </c>
      <c r="L763">
        <v>9</v>
      </c>
      <c r="M763">
        <v>1</v>
      </c>
      <c r="N763">
        <v>1</v>
      </c>
      <c r="O763">
        <v>1</v>
      </c>
      <c r="P763">
        <v>0</v>
      </c>
      <c r="Q763">
        <v>0</v>
      </c>
      <c r="R763">
        <v>107</v>
      </c>
      <c r="S763" s="5">
        <v>1</v>
      </c>
      <c r="T763" s="5">
        <v>3</v>
      </c>
      <c r="U763" s="5">
        <v>3</v>
      </c>
      <c r="V763" s="5">
        <v>7</v>
      </c>
    </row>
    <row r="764" spans="1:22" x14ac:dyDescent="0.35">
      <c r="A764">
        <v>763</v>
      </c>
      <c r="B764">
        <v>30</v>
      </c>
      <c r="C764" t="s">
        <v>73</v>
      </c>
      <c r="D764" t="s">
        <v>5</v>
      </c>
      <c r="E764" t="s">
        <v>8</v>
      </c>
      <c r="F764" t="s">
        <v>11</v>
      </c>
      <c r="G764">
        <v>1</v>
      </c>
      <c r="H764">
        <v>14</v>
      </c>
      <c r="I764" t="s">
        <v>16</v>
      </c>
      <c r="J764" s="1">
        <v>693.13</v>
      </c>
      <c r="K764" s="1">
        <v>138.626</v>
      </c>
      <c r="L764">
        <v>5</v>
      </c>
      <c r="M764">
        <v>2</v>
      </c>
      <c r="N764">
        <v>0</v>
      </c>
      <c r="O764">
        <v>1</v>
      </c>
      <c r="P764">
        <v>0</v>
      </c>
      <c r="Q764">
        <v>1</v>
      </c>
      <c r="R764">
        <v>50</v>
      </c>
      <c r="S764" s="5">
        <v>2</v>
      </c>
      <c r="T764" s="5">
        <v>2</v>
      </c>
      <c r="U764" s="5">
        <v>1</v>
      </c>
      <c r="V764" s="5">
        <v>5</v>
      </c>
    </row>
    <row r="765" spans="1:22" x14ac:dyDescent="0.35">
      <c r="A765">
        <v>764</v>
      </c>
      <c r="B765">
        <v>27</v>
      </c>
      <c r="C765" t="s">
        <v>73</v>
      </c>
      <c r="D765" t="s">
        <v>5</v>
      </c>
      <c r="E765" t="s">
        <v>9</v>
      </c>
      <c r="F765" t="s">
        <v>12</v>
      </c>
      <c r="G765">
        <v>0</v>
      </c>
      <c r="H765">
        <v>28</v>
      </c>
      <c r="I765" t="s">
        <v>16</v>
      </c>
      <c r="J765" s="1">
        <v>496.99</v>
      </c>
      <c r="K765" s="1">
        <v>496.99</v>
      </c>
      <c r="L765">
        <v>1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340</v>
      </c>
      <c r="S765" s="5">
        <v>1</v>
      </c>
      <c r="T765" s="5">
        <v>1</v>
      </c>
      <c r="U765" s="5">
        <v>1</v>
      </c>
      <c r="V765" s="5">
        <v>3</v>
      </c>
    </row>
    <row r="766" spans="1:22" x14ac:dyDescent="0.35">
      <c r="A766">
        <v>765</v>
      </c>
      <c r="B766">
        <v>36</v>
      </c>
      <c r="C766" t="s">
        <v>75</v>
      </c>
      <c r="D766" t="s">
        <v>6</v>
      </c>
      <c r="E766" t="s">
        <v>8</v>
      </c>
      <c r="F766" t="s">
        <v>11</v>
      </c>
      <c r="G766">
        <v>0</v>
      </c>
      <c r="H766">
        <v>13</v>
      </c>
      <c r="I766" t="s">
        <v>18</v>
      </c>
      <c r="J766" s="1">
        <v>1079.2</v>
      </c>
      <c r="K766" s="1">
        <v>215.84</v>
      </c>
      <c r="L766">
        <v>5</v>
      </c>
      <c r="M766">
        <v>1</v>
      </c>
      <c r="N766">
        <v>0</v>
      </c>
      <c r="O766">
        <v>0</v>
      </c>
      <c r="P766">
        <v>1</v>
      </c>
      <c r="Q766">
        <v>0</v>
      </c>
      <c r="R766">
        <v>110</v>
      </c>
      <c r="S766" s="5">
        <v>1</v>
      </c>
      <c r="T766" s="5">
        <v>2</v>
      </c>
      <c r="U766" s="5">
        <v>2</v>
      </c>
      <c r="V766" s="5">
        <v>5</v>
      </c>
    </row>
    <row r="767" spans="1:22" x14ac:dyDescent="0.35">
      <c r="A767">
        <v>766</v>
      </c>
      <c r="B767">
        <v>22</v>
      </c>
      <c r="C767" t="s">
        <v>73</v>
      </c>
      <c r="D767" t="s">
        <v>6</v>
      </c>
      <c r="E767" t="s">
        <v>9</v>
      </c>
      <c r="F767" t="s">
        <v>12</v>
      </c>
      <c r="G767">
        <v>0</v>
      </c>
      <c r="H767">
        <v>34</v>
      </c>
      <c r="I767" t="s">
        <v>17</v>
      </c>
      <c r="J767" s="1">
        <v>910.23</v>
      </c>
      <c r="K767" s="1">
        <v>303.41000000000003</v>
      </c>
      <c r="L767">
        <v>3</v>
      </c>
      <c r="M767">
        <v>2</v>
      </c>
      <c r="N767">
        <v>0</v>
      </c>
      <c r="O767">
        <v>1</v>
      </c>
      <c r="P767">
        <v>0</v>
      </c>
      <c r="Q767">
        <v>1</v>
      </c>
      <c r="R767">
        <v>206</v>
      </c>
      <c r="S767" s="5">
        <v>1</v>
      </c>
      <c r="T767" s="5">
        <v>2</v>
      </c>
      <c r="U767" s="5">
        <v>2</v>
      </c>
      <c r="V767" s="5">
        <v>5</v>
      </c>
    </row>
    <row r="768" spans="1:22" x14ac:dyDescent="0.35">
      <c r="A768">
        <v>767</v>
      </c>
      <c r="B768">
        <v>25</v>
      </c>
      <c r="C768" t="s">
        <v>73</v>
      </c>
      <c r="D768" t="s">
        <v>5</v>
      </c>
      <c r="E768" t="s">
        <v>9</v>
      </c>
      <c r="F768" t="s">
        <v>12</v>
      </c>
      <c r="G768">
        <v>0</v>
      </c>
      <c r="H768">
        <v>5</v>
      </c>
      <c r="I768" t="s">
        <v>16</v>
      </c>
      <c r="J768" s="1">
        <v>2189.69</v>
      </c>
      <c r="K768" s="1">
        <v>273.71125000000001</v>
      </c>
      <c r="L768">
        <v>8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9</v>
      </c>
      <c r="S768" s="5">
        <v>3</v>
      </c>
      <c r="T768" s="5">
        <v>3</v>
      </c>
      <c r="U768" s="5">
        <v>3</v>
      </c>
      <c r="V768" s="5">
        <v>9</v>
      </c>
    </row>
    <row r="769" spans="1:22" x14ac:dyDescent="0.35">
      <c r="A769">
        <v>768</v>
      </c>
      <c r="B769">
        <v>21</v>
      </c>
      <c r="C769" t="s">
        <v>73</v>
      </c>
      <c r="D769" t="s">
        <v>6</v>
      </c>
      <c r="E769" t="s">
        <v>9</v>
      </c>
      <c r="F769" t="s">
        <v>11</v>
      </c>
      <c r="G769">
        <v>0</v>
      </c>
      <c r="H769">
        <v>40</v>
      </c>
      <c r="I769" t="s">
        <v>16</v>
      </c>
      <c r="J769" s="1">
        <v>1068.46</v>
      </c>
      <c r="K769" s="1">
        <v>213.69200000000001</v>
      </c>
      <c r="L769">
        <v>5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136</v>
      </c>
      <c r="S769" s="5">
        <v>1</v>
      </c>
      <c r="T769" s="5">
        <v>2</v>
      </c>
      <c r="U769" s="5">
        <v>2</v>
      </c>
      <c r="V769" s="5">
        <v>5</v>
      </c>
    </row>
    <row r="770" spans="1:22" x14ac:dyDescent="0.35">
      <c r="A770">
        <v>769</v>
      </c>
      <c r="B770">
        <v>66</v>
      </c>
      <c r="C770" t="s">
        <v>72</v>
      </c>
      <c r="D770" t="s">
        <v>5</v>
      </c>
      <c r="E770" t="s">
        <v>7</v>
      </c>
      <c r="F770" t="s">
        <v>13</v>
      </c>
      <c r="G770">
        <v>0</v>
      </c>
      <c r="H770">
        <v>10</v>
      </c>
      <c r="I770" t="s">
        <v>16</v>
      </c>
      <c r="J770" s="1">
        <v>1257.4499999999998</v>
      </c>
      <c r="K770" s="1">
        <v>251.48999999999995</v>
      </c>
      <c r="L770">
        <v>5</v>
      </c>
      <c r="M770">
        <v>2</v>
      </c>
      <c r="N770">
        <v>1</v>
      </c>
      <c r="O770">
        <v>1</v>
      </c>
      <c r="P770">
        <v>1</v>
      </c>
      <c r="Q770">
        <v>0</v>
      </c>
      <c r="R770">
        <v>180</v>
      </c>
      <c r="S770" s="5">
        <v>1</v>
      </c>
      <c r="T770" s="5">
        <v>2</v>
      </c>
      <c r="U770" s="5">
        <v>2</v>
      </c>
      <c r="V770" s="5">
        <v>5</v>
      </c>
    </row>
    <row r="771" spans="1:22" x14ac:dyDescent="0.35">
      <c r="A771">
        <v>770</v>
      </c>
      <c r="B771">
        <v>30</v>
      </c>
      <c r="C771" t="s">
        <v>73</v>
      </c>
      <c r="D771" t="s">
        <v>6</v>
      </c>
      <c r="E771" t="s">
        <v>10</v>
      </c>
      <c r="F771" t="s">
        <v>12</v>
      </c>
      <c r="G771">
        <v>0</v>
      </c>
      <c r="H771">
        <v>36</v>
      </c>
      <c r="I771" t="s">
        <v>17</v>
      </c>
      <c r="J771" s="1">
        <v>970.66999999999985</v>
      </c>
      <c r="K771" s="1">
        <v>161.77833333333331</v>
      </c>
      <c r="L771">
        <v>6</v>
      </c>
      <c r="M771">
        <v>2</v>
      </c>
      <c r="N771">
        <v>1</v>
      </c>
      <c r="O771">
        <v>0</v>
      </c>
      <c r="P771">
        <v>1</v>
      </c>
      <c r="Q771">
        <v>1</v>
      </c>
      <c r="R771">
        <v>53</v>
      </c>
      <c r="S771" s="5">
        <v>2</v>
      </c>
      <c r="T771" s="5">
        <v>2</v>
      </c>
      <c r="U771" s="5">
        <v>2</v>
      </c>
      <c r="V771" s="5">
        <v>6</v>
      </c>
    </row>
    <row r="772" spans="1:22" x14ac:dyDescent="0.35">
      <c r="A772">
        <v>771</v>
      </c>
      <c r="B772">
        <v>55</v>
      </c>
      <c r="C772" t="s">
        <v>74</v>
      </c>
      <c r="D772" t="s">
        <v>6</v>
      </c>
      <c r="E772" t="s">
        <v>10</v>
      </c>
      <c r="F772" t="s">
        <v>12</v>
      </c>
      <c r="G772">
        <v>0</v>
      </c>
      <c r="H772">
        <v>6</v>
      </c>
      <c r="I772" t="s">
        <v>18</v>
      </c>
      <c r="J772" s="1">
        <v>1500.6299999999999</v>
      </c>
      <c r="K772" s="1">
        <v>214.37571428571428</v>
      </c>
      <c r="L772">
        <v>7</v>
      </c>
      <c r="M772">
        <v>2</v>
      </c>
      <c r="N772">
        <v>1</v>
      </c>
      <c r="O772">
        <v>1</v>
      </c>
      <c r="P772">
        <v>1</v>
      </c>
      <c r="Q772">
        <v>0</v>
      </c>
      <c r="R772">
        <v>18</v>
      </c>
      <c r="S772" s="5">
        <v>3</v>
      </c>
      <c r="T772" s="5">
        <v>2</v>
      </c>
      <c r="U772" s="5">
        <v>2</v>
      </c>
      <c r="V772" s="5">
        <v>7</v>
      </c>
    </row>
    <row r="773" spans="1:22" x14ac:dyDescent="0.35">
      <c r="A773">
        <v>772</v>
      </c>
      <c r="B773">
        <v>63</v>
      </c>
      <c r="C773" t="s">
        <v>72</v>
      </c>
      <c r="D773" t="s">
        <v>6</v>
      </c>
      <c r="E773" t="s">
        <v>8</v>
      </c>
      <c r="F773" t="s">
        <v>11</v>
      </c>
      <c r="G773">
        <v>0</v>
      </c>
      <c r="H773">
        <v>21</v>
      </c>
      <c r="I773" t="s">
        <v>18</v>
      </c>
      <c r="J773" s="1">
        <v>1124.58</v>
      </c>
      <c r="K773" s="1">
        <v>281.14499999999998</v>
      </c>
      <c r="L773">
        <v>4</v>
      </c>
      <c r="M773">
        <v>2</v>
      </c>
      <c r="N773">
        <v>1</v>
      </c>
      <c r="O773">
        <v>0</v>
      </c>
      <c r="P773">
        <v>1</v>
      </c>
      <c r="Q773">
        <v>1</v>
      </c>
      <c r="R773">
        <v>63</v>
      </c>
      <c r="S773" s="5">
        <v>2</v>
      </c>
      <c r="T773" s="5">
        <v>2</v>
      </c>
      <c r="U773" s="5">
        <v>2</v>
      </c>
      <c r="V773" s="5">
        <v>6</v>
      </c>
    </row>
    <row r="774" spans="1:22" x14ac:dyDescent="0.35">
      <c r="A774">
        <v>773</v>
      </c>
      <c r="B774">
        <v>66</v>
      </c>
      <c r="C774" t="s">
        <v>72</v>
      </c>
      <c r="D774" t="s">
        <v>5</v>
      </c>
      <c r="E774" t="s">
        <v>10</v>
      </c>
      <c r="F774" t="s">
        <v>12</v>
      </c>
      <c r="G774">
        <v>0</v>
      </c>
      <c r="H774">
        <v>35</v>
      </c>
      <c r="I774" t="s">
        <v>17</v>
      </c>
      <c r="J774" s="1">
        <v>1918.9099999999999</v>
      </c>
      <c r="K774" s="1">
        <v>239.86374999999998</v>
      </c>
      <c r="L774">
        <v>8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13</v>
      </c>
      <c r="S774" s="5">
        <v>3</v>
      </c>
      <c r="T774" s="5">
        <v>3</v>
      </c>
      <c r="U774" s="5">
        <v>3</v>
      </c>
      <c r="V774" s="5">
        <v>9</v>
      </c>
    </row>
    <row r="775" spans="1:22" x14ac:dyDescent="0.35">
      <c r="A775">
        <v>774</v>
      </c>
      <c r="B775">
        <v>63</v>
      </c>
      <c r="C775" t="s">
        <v>72</v>
      </c>
      <c r="D775" t="s">
        <v>5</v>
      </c>
      <c r="E775" t="s">
        <v>9</v>
      </c>
      <c r="F775" t="s">
        <v>12</v>
      </c>
      <c r="G775">
        <v>0</v>
      </c>
      <c r="H775">
        <v>16</v>
      </c>
      <c r="I775" t="s">
        <v>18</v>
      </c>
      <c r="J775" s="1">
        <v>41.49</v>
      </c>
      <c r="K775" s="1">
        <v>41.49</v>
      </c>
      <c r="L775">
        <v>1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331</v>
      </c>
      <c r="S775" s="5">
        <v>1</v>
      </c>
      <c r="T775" s="5">
        <v>1</v>
      </c>
      <c r="U775" s="5">
        <v>1</v>
      </c>
      <c r="V775" s="5">
        <v>3</v>
      </c>
    </row>
    <row r="776" spans="1:22" x14ac:dyDescent="0.35">
      <c r="A776">
        <v>775</v>
      </c>
      <c r="B776">
        <v>36</v>
      </c>
      <c r="C776" t="s">
        <v>75</v>
      </c>
      <c r="D776" t="s">
        <v>5</v>
      </c>
      <c r="E776" t="s">
        <v>10</v>
      </c>
      <c r="F776" t="s">
        <v>12</v>
      </c>
      <c r="G776">
        <v>1</v>
      </c>
      <c r="H776">
        <v>20</v>
      </c>
      <c r="I776" t="s">
        <v>17</v>
      </c>
      <c r="J776" s="1">
        <v>1586.8999999999999</v>
      </c>
      <c r="K776" s="1">
        <v>317.38</v>
      </c>
      <c r="L776">
        <v>5</v>
      </c>
      <c r="M776">
        <v>1</v>
      </c>
      <c r="N776">
        <v>0</v>
      </c>
      <c r="O776">
        <v>0</v>
      </c>
      <c r="P776">
        <v>0</v>
      </c>
      <c r="Q776">
        <v>1</v>
      </c>
      <c r="R776">
        <v>29</v>
      </c>
      <c r="S776" s="5">
        <v>2</v>
      </c>
      <c r="T776" s="5">
        <v>2</v>
      </c>
      <c r="U776" s="5">
        <v>3</v>
      </c>
      <c r="V776" s="5">
        <v>7</v>
      </c>
    </row>
    <row r="777" spans="1:22" x14ac:dyDescent="0.35">
      <c r="A777">
        <v>776</v>
      </c>
      <c r="B777">
        <v>69</v>
      </c>
      <c r="C777" t="s">
        <v>72</v>
      </c>
      <c r="D777" t="s">
        <v>6</v>
      </c>
      <c r="E777" t="s">
        <v>8</v>
      </c>
      <c r="F777" t="s">
        <v>11</v>
      </c>
      <c r="G777">
        <v>0</v>
      </c>
      <c r="H777">
        <v>31</v>
      </c>
      <c r="I777" t="s">
        <v>16</v>
      </c>
      <c r="J777" s="1">
        <v>1647.73</v>
      </c>
      <c r="K777" s="1">
        <v>329.54599999999999</v>
      </c>
      <c r="L777">
        <v>5</v>
      </c>
      <c r="M777">
        <v>2</v>
      </c>
      <c r="N777">
        <v>1</v>
      </c>
      <c r="O777">
        <v>1</v>
      </c>
      <c r="P777">
        <v>0</v>
      </c>
      <c r="Q777">
        <v>1</v>
      </c>
      <c r="R777">
        <v>8</v>
      </c>
      <c r="S777" s="5">
        <v>3</v>
      </c>
      <c r="T777" s="5">
        <v>2</v>
      </c>
      <c r="U777" s="5">
        <v>3</v>
      </c>
      <c r="V777" s="5">
        <v>8</v>
      </c>
    </row>
    <row r="778" spans="1:22" x14ac:dyDescent="0.35">
      <c r="A778">
        <v>777</v>
      </c>
      <c r="B778">
        <v>67</v>
      </c>
      <c r="C778" t="s">
        <v>72</v>
      </c>
      <c r="D778" t="s">
        <v>5</v>
      </c>
      <c r="E778" t="s">
        <v>9</v>
      </c>
      <c r="F778" t="s">
        <v>13</v>
      </c>
      <c r="G778">
        <v>1</v>
      </c>
      <c r="H778">
        <v>5</v>
      </c>
      <c r="I778" t="s">
        <v>17</v>
      </c>
      <c r="J778" s="1">
        <v>1488</v>
      </c>
      <c r="K778" s="1">
        <v>248</v>
      </c>
      <c r="L778">
        <v>6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87</v>
      </c>
      <c r="S778" s="5">
        <v>1</v>
      </c>
      <c r="T778" s="5">
        <v>2</v>
      </c>
      <c r="U778" s="5">
        <v>2</v>
      </c>
      <c r="V778" s="5">
        <v>5</v>
      </c>
    </row>
    <row r="779" spans="1:22" x14ac:dyDescent="0.35">
      <c r="A779">
        <v>778</v>
      </c>
      <c r="B779">
        <v>25</v>
      </c>
      <c r="C779" t="s">
        <v>73</v>
      </c>
      <c r="D779" t="s">
        <v>6</v>
      </c>
      <c r="E779" t="s">
        <v>7</v>
      </c>
      <c r="F779" t="s">
        <v>13</v>
      </c>
      <c r="G779">
        <v>0</v>
      </c>
      <c r="H779">
        <v>6</v>
      </c>
      <c r="I779" t="s">
        <v>18</v>
      </c>
      <c r="J779" s="1">
        <v>2064.5100000000002</v>
      </c>
      <c r="K779" s="1">
        <v>229.39000000000001</v>
      </c>
      <c r="L779">
        <v>9</v>
      </c>
      <c r="M779">
        <v>2</v>
      </c>
      <c r="N779">
        <v>1</v>
      </c>
      <c r="O779">
        <v>1</v>
      </c>
      <c r="P779">
        <v>1</v>
      </c>
      <c r="Q779">
        <v>0</v>
      </c>
      <c r="R779">
        <v>50</v>
      </c>
      <c r="S779" s="5">
        <v>2</v>
      </c>
      <c r="T779" s="5">
        <v>3</v>
      </c>
      <c r="U779" s="5">
        <v>3</v>
      </c>
      <c r="V779" s="5">
        <v>8</v>
      </c>
    </row>
    <row r="780" spans="1:22" x14ac:dyDescent="0.35">
      <c r="A780">
        <v>779</v>
      </c>
      <c r="B780">
        <v>44</v>
      </c>
      <c r="C780" t="s">
        <v>75</v>
      </c>
      <c r="D780" t="s">
        <v>6</v>
      </c>
      <c r="E780" t="s">
        <v>9</v>
      </c>
      <c r="F780" t="s">
        <v>11</v>
      </c>
      <c r="G780">
        <v>0</v>
      </c>
      <c r="H780">
        <v>2</v>
      </c>
      <c r="I780" t="s">
        <v>16</v>
      </c>
      <c r="J780" s="1">
        <v>1563.0600000000002</v>
      </c>
      <c r="K780" s="1">
        <v>260.51000000000005</v>
      </c>
      <c r="L780">
        <v>6</v>
      </c>
      <c r="M780">
        <v>1</v>
      </c>
      <c r="N780">
        <v>0</v>
      </c>
      <c r="O780">
        <v>0</v>
      </c>
      <c r="P780">
        <v>1</v>
      </c>
      <c r="Q780">
        <v>0</v>
      </c>
      <c r="R780">
        <v>29</v>
      </c>
      <c r="S780" s="5">
        <v>2</v>
      </c>
      <c r="T780" s="5">
        <v>2</v>
      </c>
      <c r="U780" s="5">
        <v>2</v>
      </c>
      <c r="V780" s="5">
        <v>6</v>
      </c>
    </row>
    <row r="781" spans="1:22" x14ac:dyDescent="0.35">
      <c r="A781">
        <v>780</v>
      </c>
      <c r="B781">
        <v>67</v>
      </c>
      <c r="C781" t="s">
        <v>72</v>
      </c>
      <c r="D781" t="s">
        <v>5</v>
      </c>
      <c r="E781" t="s">
        <v>9</v>
      </c>
      <c r="F781" t="s">
        <v>12</v>
      </c>
      <c r="G781">
        <v>0</v>
      </c>
      <c r="H781">
        <v>39</v>
      </c>
      <c r="I781" t="s">
        <v>16</v>
      </c>
      <c r="J781" s="1">
        <v>2107.59</v>
      </c>
      <c r="K781" s="1">
        <v>301.08428571428573</v>
      </c>
      <c r="L781">
        <v>7</v>
      </c>
      <c r="M781">
        <v>1</v>
      </c>
      <c r="N781">
        <v>1</v>
      </c>
      <c r="O781">
        <v>1</v>
      </c>
      <c r="P781">
        <v>0</v>
      </c>
      <c r="Q781">
        <v>0</v>
      </c>
      <c r="R781">
        <v>29</v>
      </c>
      <c r="S781" s="5">
        <v>2</v>
      </c>
      <c r="T781" s="5">
        <v>2</v>
      </c>
      <c r="U781" s="5">
        <v>3</v>
      </c>
      <c r="V781" s="5">
        <v>7</v>
      </c>
    </row>
    <row r="782" spans="1:22" x14ac:dyDescent="0.35">
      <c r="A782">
        <v>781</v>
      </c>
      <c r="B782">
        <v>64</v>
      </c>
      <c r="C782" t="s">
        <v>72</v>
      </c>
      <c r="D782" t="s">
        <v>6</v>
      </c>
      <c r="E782" t="s">
        <v>8</v>
      </c>
      <c r="F782" t="s">
        <v>13</v>
      </c>
      <c r="G782">
        <v>0</v>
      </c>
      <c r="H782">
        <v>22</v>
      </c>
      <c r="I782" t="s">
        <v>16</v>
      </c>
      <c r="J782" s="1">
        <v>548.61</v>
      </c>
      <c r="K782" s="1">
        <v>274.30500000000001</v>
      </c>
      <c r="L782">
        <v>2</v>
      </c>
      <c r="M782">
        <v>1</v>
      </c>
      <c r="N782">
        <v>0</v>
      </c>
      <c r="O782">
        <v>0</v>
      </c>
      <c r="P782">
        <v>1</v>
      </c>
      <c r="Q782">
        <v>0</v>
      </c>
      <c r="R782">
        <v>164</v>
      </c>
      <c r="S782" s="5">
        <v>1</v>
      </c>
      <c r="T782" s="5">
        <v>1</v>
      </c>
      <c r="U782" s="5">
        <v>1</v>
      </c>
      <c r="V782" s="5">
        <v>3</v>
      </c>
    </row>
    <row r="783" spans="1:22" x14ac:dyDescent="0.35">
      <c r="A783">
        <v>782</v>
      </c>
      <c r="B783">
        <v>47</v>
      </c>
      <c r="C783" t="s">
        <v>74</v>
      </c>
      <c r="D783" t="s">
        <v>5</v>
      </c>
      <c r="E783" t="s">
        <v>7</v>
      </c>
      <c r="F783" t="s">
        <v>11</v>
      </c>
      <c r="G783">
        <v>1</v>
      </c>
      <c r="H783">
        <v>11</v>
      </c>
      <c r="I783" t="s">
        <v>16</v>
      </c>
      <c r="J783" s="1">
        <v>1042.79</v>
      </c>
      <c r="K783" s="1">
        <v>208.55799999999999</v>
      </c>
      <c r="L783">
        <v>5</v>
      </c>
      <c r="M783">
        <v>1</v>
      </c>
      <c r="N783">
        <v>1</v>
      </c>
      <c r="O783">
        <v>0</v>
      </c>
      <c r="P783">
        <v>0</v>
      </c>
      <c r="Q783">
        <v>1</v>
      </c>
      <c r="R783">
        <v>77</v>
      </c>
      <c r="S783" s="5">
        <v>2</v>
      </c>
      <c r="T783" s="5">
        <v>2</v>
      </c>
      <c r="U783" s="5">
        <v>2</v>
      </c>
      <c r="V783" s="5">
        <v>6</v>
      </c>
    </row>
    <row r="784" spans="1:22" x14ac:dyDescent="0.35">
      <c r="A784">
        <v>783</v>
      </c>
      <c r="B784">
        <v>21</v>
      </c>
      <c r="C784" t="s">
        <v>73</v>
      </c>
      <c r="D784" t="s">
        <v>6</v>
      </c>
      <c r="E784" t="s">
        <v>9</v>
      </c>
      <c r="F784" t="s">
        <v>11</v>
      </c>
      <c r="G784">
        <v>0</v>
      </c>
      <c r="H784">
        <v>15</v>
      </c>
      <c r="I784" t="s">
        <v>17</v>
      </c>
      <c r="J784" s="1">
        <v>1133.68</v>
      </c>
      <c r="K784" s="1">
        <v>188.94666666666669</v>
      </c>
      <c r="L784">
        <v>6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69</v>
      </c>
      <c r="S784" s="5">
        <v>2</v>
      </c>
      <c r="T784" s="5">
        <v>2</v>
      </c>
      <c r="U784" s="5">
        <v>2</v>
      </c>
      <c r="V784" s="5">
        <v>6</v>
      </c>
    </row>
    <row r="785" spans="1:22" x14ac:dyDescent="0.35">
      <c r="A785">
        <v>784</v>
      </c>
      <c r="B785">
        <v>28</v>
      </c>
      <c r="C785" t="s">
        <v>73</v>
      </c>
      <c r="D785" t="s">
        <v>5</v>
      </c>
      <c r="E785" t="s">
        <v>7</v>
      </c>
      <c r="F785" t="s">
        <v>12</v>
      </c>
      <c r="G785">
        <v>0</v>
      </c>
      <c r="H785">
        <v>13</v>
      </c>
      <c r="I785" t="s">
        <v>18</v>
      </c>
      <c r="J785" s="1">
        <v>1567.71</v>
      </c>
      <c r="K785" s="1">
        <v>391.92750000000001</v>
      </c>
      <c r="L785">
        <v>4</v>
      </c>
      <c r="M785">
        <v>2</v>
      </c>
      <c r="N785">
        <v>1</v>
      </c>
      <c r="O785">
        <v>0</v>
      </c>
      <c r="P785">
        <v>0</v>
      </c>
      <c r="Q785">
        <v>1</v>
      </c>
      <c r="R785">
        <v>85</v>
      </c>
      <c r="S785" s="5">
        <v>1</v>
      </c>
      <c r="T785" s="5">
        <v>2</v>
      </c>
      <c r="U785" s="5">
        <v>2</v>
      </c>
      <c r="V785" s="5">
        <v>5</v>
      </c>
    </row>
    <row r="786" spans="1:22" x14ac:dyDescent="0.35">
      <c r="A786">
        <v>785</v>
      </c>
      <c r="B786">
        <v>38</v>
      </c>
      <c r="C786" t="s">
        <v>75</v>
      </c>
      <c r="D786" t="s">
        <v>6</v>
      </c>
      <c r="E786" t="s">
        <v>9</v>
      </c>
      <c r="F786" t="s">
        <v>12</v>
      </c>
      <c r="G786">
        <v>0</v>
      </c>
      <c r="H786">
        <v>33</v>
      </c>
      <c r="I786" t="s">
        <v>18</v>
      </c>
      <c r="J786" s="1">
        <v>1960.77</v>
      </c>
      <c r="K786" s="1">
        <v>280.11</v>
      </c>
      <c r="L786">
        <v>7</v>
      </c>
      <c r="M786">
        <v>1</v>
      </c>
      <c r="N786">
        <v>0</v>
      </c>
      <c r="O786">
        <v>0</v>
      </c>
      <c r="P786">
        <v>0</v>
      </c>
      <c r="Q786">
        <v>1</v>
      </c>
      <c r="R786">
        <v>12</v>
      </c>
      <c r="S786" s="5">
        <v>3</v>
      </c>
      <c r="T786" s="5">
        <v>2</v>
      </c>
      <c r="U786" s="5">
        <v>3</v>
      </c>
      <c r="V786" s="5">
        <v>8</v>
      </c>
    </row>
    <row r="787" spans="1:22" x14ac:dyDescent="0.35">
      <c r="A787">
        <v>786</v>
      </c>
      <c r="B787">
        <v>60</v>
      </c>
      <c r="C787" t="s">
        <v>74</v>
      </c>
      <c r="D787" t="s">
        <v>6</v>
      </c>
      <c r="E787" t="s">
        <v>9</v>
      </c>
      <c r="F787" t="s">
        <v>11</v>
      </c>
      <c r="G787">
        <v>0</v>
      </c>
      <c r="H787">
        <v>46</v>
      </c>
      <c r="I787" t="s">
        <v>16</v>
      </c>
      <c r="J787" s="1">
        <v>2141.4</v>
      </c>
      <c r="K787" s="1">
        <v>237.93333333333334</v>
      </c>
      <c r="L787">
        <v>9</v>
      </c>
      <c r="M787">
        <v>2</v>
      </c>
      <c r="N787">
        <v>1</v>
      </c>
      <c r="O787">
        <v>0</v>
      </c>
      <c r="P787">
        <v>0</v>
      </c>
      <c r="Q787">
        <v>1</v>
      </c>
      <c r="R787">
        <v>58</v>
      </c>
      <c r="S787" s="5">
        <v>2</v>
      </c>
      <c r="T787" s="5">
        <v>3</v>
      </c>
      <c r="U787" s="5">
        <v>3</v>
      </c>
      <c r="V787" s="5">
        <v>8</v>
      </c>
    </row>
    <row r="788" spans="1:22" x14ac:dyDescent="0.35">
      <c r="A788">
        <v>787</v>
      </c>
      <c r="B788">
        <v>19</v>
      </c>
      <c r="C788" t="s">
        <v>73</v>
      </c>
      <c r="D788" t="s">
        <v>5</v>
      </c>
      <c r="E788" t="s">
        <v>8</v>
      </c>
      <c r="F788" t="s">
        <v>11</v>
      </c>
      <c r="G788">
        <v>0</v>
      </c>
      <c r="H788">
        <v>14</v>
      </c>
      <c r="I788" t="s">
        <v>17</v>
      </c>
      <c r="J788" s="1">
        <v>1255.3800000000001</v>
      </c>
      <c r="K788" s="1">
        <v>156.92250000000001</v>
      </c>
      <c r="L788">
        <v>8</v>
      </c>
      <c r="M788">
        <v>2</v>
      </c>
      <c r="N788">
        <v>1</v>
      </c>
      <c r="O788">
        <v>1</v>
      </c>
      <c r="P788">
        <v>0</v>
      </c>
      <c r="Q788">
        <v>0</v>
      </c>
      <c r="R788">
        <v>37</v>
      </c>
      <c r="S788" s="5">
        <v>2</v>
      </c>
      <c r="T788" s="5">
        <v>3</v>
      </c>
      <c r="U788" s="5">
        <v>2</v>
      </c>
      <c r="V788" s="5">
        <v>7</v>
      </c>
    </row>
    <row r="789" spans="1:22" x14ac:dyDescent="0.35">
      <c r="A789">
        <v>788</v>
      </c>
      <c r="B789">
        <v>38</v>
      </c>
      <c r="C789" t="s">
        <v>75</v>
      </c>
      <c r="D789" t="s">
        <v>5</v>
      </c>
      <c r="E789" t="s">
        <v>9</v>
      </c>
      <c r="F789" t="s">
        <v>11</v>
      </c>
      <c r="G789">
        <v>1</v>
      </c>
      <c r="H789">
        <v>39</v>
      </c>
      <c r="I789" t="s">
        <v>18</v>
      </c>
      <c r="J789" s="1">
        <v>1041.1499999999999</v>
      </c>
      <c r="K789" s="1">
        <v>208.22999999999996</v>
      </c>
      <c r="L789">
        <v>5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10</v>
      </c>
      <c r="S789" s="5">
        <v>3</v>
      </c>
      <c r="T789" s="5">
        <v>2</v>
      </c>
      <c r="U789" s="5">
        <v>2</v>
      </c>
      <c r="V789" s="5">
        <v>7</v>
      </c>
    </row>
    <row r="790" spans="1:22" x14ac:dyDescent="0.35">
      <c r="A790">
        <v>789</v>
      </c>
      <c r="B790">
        <v>34</v>
      </c>
      <c r="C790" t="s">
        <v>75</v>
      </c>
      <c r="D790" t="s">
        <v>6</v>
      </c>
      <c r="E790" t="s">
        <v>9</v>
      </c>
      <c r="F790" t="s">
        <v>13</v>
      </c>
      <c r="G790">
        <v>1</v>
      </c>
      <c r="H790">
        <v>2</v>
      </c>
      <c r="I790" t="s">
        <v>17</v>
      </c>
      <c r="J790" s="1">
        <v>1755.7</v>
      </c>
      <c r="K790" s="1">
        <v>219.46250000000001</v>
      </c>
      <c r="L790">
        <v>8</v>
      </c>
      <c r="M790">
        <v>2</v>
      </c>
      <c r="N790">
        <v>0</v>
      </c>
      <c r="O790">
        <v>1</v>
      </c>
      <c r="P790">
        <v>0</v>
      </c>
      <c r="Q790">
        <v>1</v>
      </c>
      <c r="R790">
        <v>0</v>
      </c>
      <c r="S790" s="5">
        <v>3</v>
      </c>
      <c r="T790" s="5">
        <v>3</v>
      </c>
      <c r="U790" s="5">
        <v>3</v>
      </c>
      <c r="V790" s="5">
        <v>9</v>
      </c>
    </row>
    <row r="791" spans="1:22" x14ac:dyDescent="0.35">
      <c r="A791">
        <v>790</v>
      </c>
      <c r="B791">
        <v>60</v>
      </c>
      <c r="C791" t="s">
        <v>74</v>
      </c>
      <c r="D791" t="s">
        <v>5</v>
      </c>
      <c r="E791" t="s">
        <v>9</v>
      </c>
      <c r="F791" t="s">
        <v>12</v>
      </c>
      <c r="G791">
        <v>0</v>
      </c>
      <c r="H791">
        <v>10</v>
      </c>
      <c r="I791" t="s">
        <v>17</v>
      </c>
      <c r="J791" s="1">
        <v>2782.16</v>
      </c>
      <c r="K791" s="1">
        <v>309.12888888888887</v>
      </c>
      <c r="L791">
        <v>9</v>
      </c>
      <c r="M791">
        <v>1</v>
      </c>
      <c r="N791">
        <v>0</v>
      </c>
      <c r="O791">
        <v>0</v>
      </c>
      <c r="P791">
        <v>0</v>
      </c>
      <c r="Q791">
        <v>1</v>
      </c>
      <c r="R791">
        <v>31</v>
      </c>
      <c r="S791" s="5">
        <v>2</v>
      </c>
      <c r="T791" s="5">
        <v>3</v>
      </c>
      <c r="U791" s="5">
        <v>3</v>
      </c>
      <c r="V791" s="5">
        <v>8</v>
      </c>
    </row>
    <row r="792" spans="1:22" x14ac:dyDescent="0.35">
      <c r="A792">
        <v>791</v>
      </c>
      <c r="B792">
        <v>68</v>
      </c>
      <c r="C792" t="s">
        <v>72</v>
      </c>
      <c r="D792" t="s">
        <v>6</v>
      </c>
      <c r="E792" t="s">
        <v>10</v>
      </c>
      <c r="F792" t="s">
        <v>11</v>
      </c>
      <c r="G792">
        <v>1</v>
      </c>
      <c r="H792">
        <v>42</v>
      </c>
      <c r="I792" t="s">
        <v>17</v>
      </c>
      <c r="J792" s="1">
        <v>441.32</v>
      </c>
      <c r="K792" s="1">
        <v>220.66</v>
      </c>
      <c r="L792">
        <v>2</v>
      </c>
      <c r="M792">
        <v>2</v>
      </c>
      <c r="N792">
        <v>0</v>
      </c>
      <c r="O792">
        <v>0</v>
      </c>
      <c r="P792">
        <v>1</v>
      </c>
      <c r="Q792">
        <v>1</v>
      </c>
      <c r="R792">
        <v>68</v>
      </c>
      <c r="S792" s="5">
        <v>2</v>
      </c>
      <c r="T792" s="5">
        <v>1</v>
      </c>
      <c r="U792" s="5">
        <v>1</v>
      </c>
      <c r="V792" s="5">
        <v>4</v>
      </c>
    </row>
    <row r="793" spans="1:22" x14ac:dyDescent="0.35">
      <c r="A793">
        <v>792</v>
      </c>
      <c r="B793">
        <v>46</v>
      </c>
      <c r="C793" t="s">
        <v>74</v>
      </c>
      <c r="D793" t="s">
        <v>6</v>
      </c>
      <c r="E793" t="s">
        <v>7</v>
      </c>
      <c r="F793" t="s">
        <v>12</v>
      </c>
      <c r="G793">
        <v>0</v>
      </c>
      <c r="H793">
        <v>30</v>
      </c>
      <c r="I793" t="s">
        <v>18</v>
      </c>
      <c r="J793" s="1">
        <v>1381.17</v>
      </c>
      <c r="K793" s="1">
        <v>276.23400000000004</v>
      </c>
      <c r="L793">
        <v>5</v>
      </c>
      <c r="M793">
        <v>2</v>
      </c>
      <c r="N793">
        <v>1</v>
      </c>
      <c r="O793">
        <v>0</v>
      </c>
      <c r="P793">
        <v>1</v>
      </c>
      <c r="Q793">
        <v>1</v>
      </c>
      <c r="R793">
        <v>12</v>
      </c>
      <c r="S793" s="5">
        <v>3</v>
      </c>
      <c r="T793" s="5">
        <v>2</v>
      </c>
      <c r="U793" s="5">
        <v>2</v>
      </c>
      <c r="V793" s="5">
        <v>7</v>
      </c>
    </row>
    <row r="794" spans="1:22" x14ac:dyDescent="0.35">
      <c r="A794">
        <v>793</v>
      </c>
      <c r="B794">
        <v>44</v>
      </c>
      <c r="C794" t="s">
        <v>75</v>
      </c>
      <c r="D794" t="s">
        <v>6</v>
      </c>
      <c r="E794" t="s">
        <v>8</v>
      </c>
      <c r="F794" t="s">
        <v>13</v>
      </c>
      <c r="G794">
        <v>0</v>
      </c>
      <c r="H794">
        <v>32</v>
      </c>
      <c r="I794" t="s">
        <v>17</v>
      </c>
      <c r="J794" s="1">
        <v>1189.1499999999999</v>
      </c>
      <c r="K794" s="1">
        <v>198.19166666666663</v>
      </c>
      <c r="L794">
        <v>6</v>
      </c>
      <c r="M794">
        <v>1</v>
      </c>
      <c r="N794">
        <v>0</v>
      </c>
      <c r="O794">
        <v>0</v>
      </c>
      <c r="P794">
        <v>1</v>
      </c>
      <c r="Q794">
        <v>0</v>
      </c>
      <c r="R794">
        <v>167</v>
      </c>
      <c r="S794" s="5">
        <v>1</v>
      </c>
      <c r="T794" s="5">
        <v>2</v>
      </c>
      <c r="U794" s="5">
        <v>2</v>
      </c>
      <c r="V794" s="5">
        <v>5</v>
      </c>
    </row>
    <row r="795" spans="1:22" x14ac:dyDescent="0.35">
      <c r="A795">
        <v>794</v>
      </c>
      <c r="B795">
        <v>41</v>
      </c>
      <c r="C795" t="s">
        <v>75</v>
      </c>
      <c r="D795" t="s">
        <v>6</v>
      </c>
      <c r="E795" t="s">
        <v>8</v>
      </c>
      <c r="F795" t="s">
        <v>11</v>
      </c>
      <c r="G795">
        <v>0</v>
      </c>
      <c r="H795">
        <v>9</v>
      </c>
      <c r="I795" t="s">
        <v>17</v>
      </c>
      <c r="J795" s="1">
        <v>2430.75</v>
      </c>
      <c r="K795" s="1">
        <v>405.125</v>
      </c>
      <c r="L795">
        <v>6</v>
      </c>
      <c r="M795">
        <v>2</v>
      </c>
      <c r="N795">
        <v>0</v>
      </c>
      <c r="O795">
        <v>1</v>
      </c>
      <c r="P795">
        <v>0</v>
      </c>
      <c r="Q795">
        <v>0</v>
      </c>
      <c r="R795">
        <v>30</v>
      </c>
      <c r="S795" s="5">
        <v>2</v>
      </c>
      <c r="T795" s="5">
        <v>2</v>
      </c>
      <c r="U795" s="5">
        <v>3</v>
      </c>
      <c r="V795" s="5">
        <v>7</v>
      </c>
    </row>
    <row r="796" spans="1:22" x14ac:dyDescent="0.35">
      <c r="A796">
        <v>795</v>
      </c>
      <c r="B796">
        <v>66</v>
      </c>
      <c r="C796" t="s">
        <v>72</v>
      </c>
      <c r="D796" t="s">
        <v>6</v>
      </c>
      <c r="E796" t="s">
        <v>8</v>
      </c>
      <c r="F796" t="s">
        <v>12</v>
      </c>
      <c r="G796">
        <v>0</v>
      </c>
      <c r="H796">
        <v>48</v>
      </c>
      <c r="I796" t="s">
        <v>18</v>
      </c>
      <c r="J796" s="1">
        <v>993.04</v>
      </c>
      <c r="K796" s="1">
        <v>248.26</v>
      </c>
      <c r="L796">
        <v>4</v>
      </c>
      <c r="M796">
        <v>1</v>
      </c>
      <c r="N796">
        <v>0</v>
      </c>
      <c r="O796">
        <v>0</v>
      </c>
      <c r="P796">
        <v>0</v>
      </c>
      <c r="Q796">
        <v>1</v>
      </c>
      <c r="R796">
        <v>102</v>
      </c>
      <c r="S796" s="5">
        <v>1</v>
      </c>
      <c r="T796" s="5">
        <v>2</v>
      </c>
      <c r="U796" s="5">
        <v>2</v>
      </c>
      <c r="V796" s="5">
        <v>5</v>
      </c>
    </row>
    <row r="797" spans="1:22" x14ac:dyDescent="0.35">
      <c r="A797">
        <v>796</v>
      </c>
      <c r="B797">
        <v>20</v>
      </c>
      <c r="C797" t="s">
        <v>73</v>
      </c>
      <c r="D797" t="s">
        <v>5</v>
      </c>
      <c r="E797" t="s">
        <v>9</v>
      </c>
      <c r="F797" t="s">
        <v>13</v>
      </c>
      <c r="G797">
        <v>0</v>
      </c>
      <c r="H797">
        <v>16</v>
      </c>
      <c r="I797" t="s">
        <v>17</v>
      </c>
      <c r="J797" s="1">
        <v>2309.9500000000003</v>
      </c>
      <c r="K797" s="1">
        <v>256.66111111111115</v>
      </c>
      <c r="L797">
        <v>9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35</v>
      </c>
      <c r="S797" s="5">
        <v>2</v>
      </c>
      <c r="T797" s="5">
        <v>3</v>
      </c>
      <c r="U797" s="5">
        <v>3</v>
      </c>
      <c r="V797" s="5">
        <v>8</v>
      </c>
    </row>
    <row r="798" spans="1:22" x14ac:dyDescent="0.35">
      <c r="A798">
        <v>797</v>
      </c>
      <c r="B798">
        <v>56</v>
      </c>
      <c r="C798" t="s">
        <v>74</v>
      </c>
      <c r="D798" t="s">
        <v>5</v>
      </c>
      <c r="E798" t="s">
        <v>7</v>
      </c>
      <c r="F798" t="s">
        <v>11</v>
      </c>
      <c r="G798">
        <v>0</v>
      </c>
      <c r="H798">
        <v>39</v>
      </c>
      <c r="I798" t="s">
        <v>17</v>
      </c>
      <c r="J798" s="1">
        <v>922.22</v>
      </c>
      <c r="K798" s="1">
        <v>230.55500000000001</v>
      </c>
      <c r="L798">
        <v>4</v>
      </c>
      <c r="M798">
        <v>1</v>
      </c>
      <c r="N798">
        <v>0</v>
      </c>
      <c r="O798">
        <v>0</v>
      </c>
      <c r="P798">
        <v>1</v>
      </c>
      <c r="Q798">
        <v>0</v>
      </c>
      <c r="R798">
        <v>26</v>
      </c>
      <c r="S798" s="5">
        <v>3</v>
      </c>
      <c r="T798" s="5">
        <v>2</v>
      </c>
      <c r="U798" s="5">
        <v>2</v>
      </c>
      <c r="V798" s="5">
        <v>7</v>
      </c>
    </row>
    <row r="799" spans="1:22" x14ac:dyDescent="0.35">
      <c r="A799">
        <v>798</v>
      </c>
      <c r="B799">
        <v>27</v>
      </c>
      <c r="C799" t="s">
        <v>73</v>
      </c>
      <c r="D799" t="s">
        <v>5</v>
      </c>
      <c r="E799" t="s">
        <v>10</v>
      </c>
      <c r="F799" t="s">
        <v>12</v>
      </c>
      <c r="G799">
        <v>0</v>
      </c>
      <c r="H799">
        <v>5</v>
      </c>
      <c r="I799" t="s">
        <v>16</v>
      </c>
      <c r="J799" s="1">
        <v>953.95</v>
      </c>
      <c r="K799" s="1">
        <v>158.99166666666667</v>
      </c>
      <c r="L799">
        <v>6</v>
      </c>
      <c r="M799">
        <v>2</v>
      </c>
      <c r="N799">
        <v>0</v>
      </c>
      <c r="O799">
        <v>0</v>
      </c>
      <c r="P799">
        <v>0</v>
      </c>
      <c r="Q799">
        <v>1</v>
      </c>
      <c r="R799">
        <v>61</v>
      </c>
      <c r="S799" s="5">
        <v>2</v>
      </c>
      <c r="T799" s="5">
        <v>2</v>
      </c>
      <c r="U799" s="5">
        <v>2</v>
      </c>
      <c r="V799" s="5">
        <v>6</v>
      </c>
    </row>
    <row r="800" spans="1:22" x14ac:dyDescent="0.35">
      <c r="A800">
        <v>799</v>
      </c>
      <c r="B800">
        <v>20</v>
      </c>
      <c r="C800" t="s">
        <v>73</v>
      </c>
      <c r="D800" t="s">
        <v>6</v>
      </c>
      <c r="E800" t="s">
        <v>10</v>
      </c>
      <c r="F800" t="s">
        <v>11</v>
      </c>
      <c r="G800">
        <v>1</v>
      </c>
      <c r="H800">
        <v>46</v>
      </c>
      <c r="I800" t="s">
        <v>16</v>
      </c>
      <c r="J800" s="1">
        <v>912.13</v>
      </c>
      <c r="K800" s="1">
        <v>228.0325</v>
      </c>
      <c r="L800">
        <v>4</v>
      </c>
      <c r="M800">
        <v>1</v>
      </c>
      <c r="N800">
        <v>1</v>
      </c>
      <c r="O800">
        <v>0</v>
      </c>
      <c r="P800">
        <v>0</v>
      </c>
      <c r="Q800">
        <v>1</v>
      </c>
      <c r="R800">
        <v>103</v>
      </c>
      <c r="S800" s="5">
        <v>1</v>
      </c>
      <c r="T800" s="5">
        <v>2</v>
      </c>
      <c r="U800" s="5">
        <v>2</v>
      </c>
      <c r="V800" s="5">
        <v>5</v>
      </c>
    </row>
    <row r="801" spans="1:22" x14ac:dyDescent="0.35">
      <c r="A801">
        <v>800</v>
      </c>
      <c r="B801">
        <v>62</v>
      </c>
      <c r="C801" t="s">
        <v>72</v>
      </c>
      <c r="D801" t="s">
        <v>5</v>
      </c>
      <c r="E801" t="s">
        <v>8</v>
      </c>
      <c r="F801" t="s">
        <v>12</v>
      </c>
      <c r="G801">
        <v>0</v>
      </c>
      <c r="H801">
        <v>15</v>
      </c>
      <c r="I801" t="s">
        <v>18</v>
      </c>
      <c r="J801" s="1">
        <v>1213.0900000000001</v>
      </c>
      <c r="K801" s="1">
        <v>242.61800000000002</v>
      </c>
      <c r="L801">
        <v>5</v>
      </c>
      <c r="M801">
        <v>2</v>
      </c>
      <c r="N801">
        <v>1</v>
      </c>
      <c r="O801">
        <v>1</v>
      </c>
      <c r="P801">
        <v>1</v>
      </c>
      <c r="Q801">
        <v>0</v>
      </c>
      <c r="R801">
        <v>9</v>
      </c>
      <c r="S801" s="5">
        <v>3</v>
      </c>
      <c r="T801" s="5">
        <v>2</v>
      </c>
      <c r="U801" s="5">
        <v>2</v>
      </c>
      <c r="V801" s="5">
        <v>7</v>
      </c>
    </row>
    <row r="802" spans="1:22" x14ac:dyDescent="0.35">
      <c r="A802">
        <v>801</v>
      </c>
      <c r="B802">
        <v>59</v>
      </c>
      <c r="C802" t="s">
        <v>74</v>
      </c>
      <c r="D802" t="s">
        <v>5</v>
      </c>
      <c r="E802" t="s">
        <v>7</v>
      </c>
      <c r="F802" t="s">
        <v>12</v>
      </c>
      <c r="G802">
        <v>0</v>
      </c>
      <c r="H802">
        <v>4</v>
      </c>
      <c r="I802" t="s">
        <v>17</v>
      </c>
      <c r="J802" s="1">
        <v>1621.9899999999998</v>
      </c>
      <c r="K802" s="1">
        <v>231.7128571428571</v>
      </c>
      <c r="L802">
        <v>7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1</v>
      </c>
      <c r="S802" s="5">
        <v>3</v>
      </c>
      <c r="T802" s="5">
        <v>2</v>
      </c>
      <c r="U802" s="5">
        <v>3</v>
      </c>
      <c r="V802" s="5">
        <v>8</v>
      </c>
    </row>
    <row r="803" spans="1:22" x14ac:dyDescent="0.35">
      <c r="A803">
        <v>802</v>
      </c>
      <c r="B803">
        <v>43</v>
      </c>
      <c r="C803" t="s">
        <v>75</v>
      </c>
      <c r="D803" t="s">
        <v>5</v>
      </c>
      <c r="E803" t="s">
        <v>10</v>
      </c>
      <c r="F803" t="s">
        <v>13</v>
      </c>
      <c r="G803">
        <v>0</v>
      </c>
      <c r="H803">
        <v>24</v>
      </c>
      <c r="I803" t="s">
        <v>16</v>
      </c>
      <c r="J803" s="1">
        <v>504.29</v>
      </c>
      <c r="K803" s="1">
        <v>252.14500000000001</v>
      </c>
      <c r="L803">
        <v>2</v>
      </c>
      <c r="M803">
        <v>2</v>
      </c>
      <c r="N803">
        <v>1</v>
      </c>
      <c r="O803">
        <v>0</v>
      </c>
      <c r="P803">
        <v>1</v>
      </c>
      <c r="Q803">
        <v>0</v>
      </c>
      <c r="R803">
        <v>26</v>
      </c>
      <c r="S803" s="5">
        <v>3</v>
      </c>
      <c r="T803" s="5">
        <v>1</v>
      </c>
      <c r="U803" s="5">
        <v>1</v>
      </c>
      <c r="V803" s="5">
        <v>5</v>
      </c>
    </row>
    <row r="804" spans="1:22" x14ac:dyDescent="0.35">
      <c r="A804">
        <v>803</v>
      </c>
      <c r="B804">
        <v>54</v>
      </c>
      <c r="C804" t="s">
        <v>74</v>
      </c>
      <c r="D804" t="s">
        <v>6</v>
      </c>
      <c r="E804" t="s">
        <v>8</v>
      </c>
      <c r="F804" t="s">
        <v>13</v>
      </c>
      <c r="G804">
        <v>0</v>
      </c>
      <c r="H804">
        <v>25</v>
      </c>
      <c r="I804" t="s">
        <v>17</v>
      </c>
      <c r="J804" s="1">
        <v>2136.3900000000003</v>
      </c>
      <c r="K804" s="1">
        <v>267.04875000000004</v>
      </c>
      <c r="L804">
        <v>8</v>
      </c>
      <c r="M804">
        <v>1</v>
      </c>
      <c r="N804">
        <v>1</v>
      </c>
      <c r="O804">
        <v>0</v>
      </c>
      <c r="P804">
        <v>0</v>
      </c>
      <c r="Q804">
        <v>1</v>
      </c>
      <c r="R804">
        <v>5</v>
      </c>
      <c r="S804" s="5">
        <v>3</v>
      </c>
      <c r="T804" s="5">
        <v>3</v>
      </c>
      <c r="U804" s="5">
        <v>3</v>
      </c>
      <c r="V804" s="5">
        <v>9</v>
      </c>
    </row>
    <row r="805" spans="1:22" x14ac:dyDescent="0.35">
      <c r="A805">
        <v>804</v>
      </c>
      <c r="B805">
        <v>44</v>
      </c>
      <c r="C805" t="s">
        <v>75</v>
      </c>
      <c r="D805" t="s">
        <v>5</v>
      </c>
      <c r="E805" t="s">
        <v>10</v>
      </c>
      <c r="F805" t="s">
        <v>13</v>
      </c>
      <c r="G805">
        <v>0</v>
      </c>
      <c r="H805">
        <v>37</v>
      </c>
      <c r="I805" t="s">
        <v>17</v>
      </c>
      <c r="J805" s="1">
        <v>2218.5300000000002</v>
      </c>
      <c r="K805" s="1">
        <v>316.93285714285719</v>
      </c>
      <c r="L805">
        <v>7</v>
      </c>
      <c r="M805">
        <v>1</v>
      </c>
      <c r="N805">
        <v>0</v>
      </c>
      <c r="O805">
        <v>0</v>
      </c>
      <c r="P805">
        <v>1</v>
      </c>
      <c r="Q805">
        <v>0</v>
      </c>
      <c r="R805">
        <v>20</v>
      </c>
      <c r="S805" s="5">
        <v>3</v>
      </c>
      <c r="T805" s="5">
        <v>2</v>
      </c>
      <c r="U805" s="5">
        <v>3</v>
      </c>
      <c r="V805" s="5">
        <v>8</v>
      </c>
    </row>
    <row r="806" spans="1:22" x14ac:dyDescent="0.35">
      <c r="A806">
        <v>805</v>
      </c>
      <c r="B806">
        <v>22</v>
      </c>
      <c r="C806" t="s">
        <v>73</v>
      </c>
      <c r="D806" t="s">
        <v>5</v>
      </c>
      <c r="E806" t="s">
        <v>10</v>
      </c>
      <c r="F806" t="s">
        <v>13</v>
      </c>
      <c r="G806">
        <v>0</v>
      </c>
      <c r="H806">
        <v>24</v>
      </c>
      <c r="I806" t="s">
        <v>17</v>
      </c>
      <c r="J806" s="1">
        <v>1100.6200000000001</v>
      </c>
      <c r="K806" s="1">
        <v>183.4366666666667</v>
      </c>
      <c r="L806">
        <v>6</v>
      </c>
      <c r="M806">
        <v>1</v>
      </c>
      <c r="N806">
        <v>0</v>
      </c>
      <c r="O806">
        <v>1</v>
      </c>
      <c r="P806">
        <v>0</v>
      </c>
      <c r="Q806">
        <v>0</v>
      </c>
      <c r="R806">
        <v>2</v>
      </c>
      <c r="S806" s="5">
        <v>3</v>
      </c>
      <c r="T806" s="5">
        <v>2</v>
      </c>
      <c r="U806" s="5">
        <v>2</v>
      </c>
      <c r="V806" s="5">
        <v>7</v>
      </c>
    </row>
    <row r="807" spans="1:22" x14ac:dyDescent="0.35">
      <c r="A807">
        <v>806</v>
      </c>
      <c r="B807">
        <v>59</v>
      </c>
      <c r="C807" t="s">
        <v>74</v>
      </c>
      <c r="D807" t="s">
        <v>5</v>
      </c>
      <c r="E807" t="s">
        <v>7</v>
      </c>
      <c r="F807" t="s">
        <v>13</v>
      </c>
      <c r="G807">
        <v>1</v>
      </c>
      <c r="H807">
        <v>42</v>
      </c>
      <c r="I807" t="s">
        <v>18</v>
      </c>
      <c r="J807" s="1">
        <v>421.3</v>
      </c>
      <c r="K807" s="1">
        <v>140.43333333333334</v>
      </c>
      <c r="L807">
        <v>3</v>
      </c>
      <c r="M807">
        <v>1</v>
      </c>
      <c r="N807">
        <v>0</v>
      </c>
      <c r="O807">
        <v>1</v>
      </c>
      <c r="P807">
        <v>0</v>
      </c>
      <c r="Q807">
        <v>0</v>
      </c>
      <c r="R807">
        <v>55</v>
      </c>
      <c r="S807" s="5">
        <v>2</v>
      </c>
      <c r="T807" s="5">
        <v>2</v>
      </c>
      <c r="U807" s="5">
        <v>1</v>
      </c>
      <c r="V807" s="5">
        <v>5</v>
      </c>
    </row>
    <row r="808" spans="1:22" x14ac:dyDescent="0.35">
      <c r="A808">
        <v>807</v>
      </c>
      <c r="B808">
        <v>28</v>
      </c>
      <c r="C808" t="s">
        <v>73</v>
      </c>
      <c r="D808" t="s">
        <v>6</v>
      </c>
      <c r="E808" t="s">
        <v>8</v>
      </c>
      <c r="F808" t="s">
        <v>12</v>
      </c>
      <c r="G808">
        <v>1</v>
      </c>
      <c r="H808">
        <v>13</v>
      </c>
      <c r="I808" t="s">
        <v>16</v>
      </c>
      <c r="J808" s="1">
        <v>1217.4100000000001</v>
      </c>
      <c r="K808" s="1">
        <v>304.35250000000002</v>
      </c>
      <c r="L808">
        <v>4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42</v>
      </c>
      <c r="S808" s="5">
        <v>2</v>
      </c>
      <c r="T808" s="5">
        <v>2</v>
      </c>
      <c r="U808" s="5">
        <v>2</v>
      </c>
      <c r="V808" s="5">
        <v>6</v>
      </c>
    </row>
    <row r="809" spans="1:22" x14ac:dyDescent="0.35">
      <c r="A809">
        <v>808</v>
      </c>
      <c r="B809">
        <v>30</v>
      </c>
      <c r="C809" t="s">
        <v>73</v>
      </c>
      <c r="D809" t="s">
        <v>5</v>
      </c>
      <c r="E809" t="s">
        <v>10</v>
      </c>
      <c r="F809" t="s">
        <v>13</v>
      </c>
      <c r="G809">
        <v>0</v>
      </c>
      <c r="H809">
        <v>20</v>
      </c>
      <c r="I809" t="s">
        <v>18</v>
      </c>
      <c r="J809" s="1">
        <v>1759.6299999999999</v>
      </c>
      <c r="K809" s="1">
        <v>293.27166666666665</v>
      </c>
      <c r="L809">
        <v>6</v>
      </c>
      <c r="M809">
        <v>2</v>
      </c>
      <c r="N809">
        <v>1</v>
      </c>
      <c r="O809">
        <v>0</v>
      </c>
      <c r="P809">
        <v>0</v>
      </c>
      <c r="Q809">
        <v>1</v>
      </c>
      <c r="R809">
        <v>85</v>
      </c>
      <c r="S809" s="5">
        <v>1</v>
      </c>
      <c r="T809" s="5">
        <v>2</v>
      </c>
      <c r="U809" s="5">
        <v>3</v>
      </c>
      <c r="V809" s="5">
        <v>6</v>
      </c>
    </row>
    <row r="810" spans="1:22" x14ac:dyDescent="0.35">
      <c r="A810">
        <v>809</v>
      </c>
      <c r="B810">
        <v>58</v>
      </c>
      <c r="C810" t="s">
        <v>74</v>
      </c>
      <c r="D810" t="s">
        <v>6</v>
      </c>
      <c r="E810" t="s">
        <v>9</v>
      </c>
      <c r="F810" t="s">
        <v>12</v>
      </c>
      <c r="G810">
        <v>0</v>
      </c>
      <c r="H810">
        <v>5</v>
      </c>
      <c r="I810" t="s">
        <v>16</v>
      </c>
      <c r="J810" s="1">
        <v>1482.3600000000001</v>
      </c>
      <c r="K810" s="1">
        <v>164.70666666666668</v>
      </c>
      <c r="L810">
        <v>9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24</v>
      </c>
      <c r="S810" s="5">
        <v>3</v>
      </c>
      <c r="T810" s="5">
        <v>3</v>
      </c>
      <c r="U810" s="5">
        <v>2</v>
      </c>
      <c r="V810" s="5">
        <v>8</v>
      </c>
    </row>
    <row r="811" spans="1:22" x14ac:dyDescent="0.35">
      <c r="A811">
        <v>810</v>
      </c>
      <c r="B811">
        <v>51</v>
      </c>
      <c r="C811" t="s">
        <v>74</v>
      </c>
      <c r="D811" t="s">
        <v>6</v>
      </c>
      <c r="E811" t="s">
        <v>9</v>
      </c>
      <c r="F811" t="s">
        <v>12</v>
      </c>
      <c r="G811">
        <v>0</v>
      </c>
      <c r="H811">
        <v>20</v>
      </c>
      <c r="I811" t="s">
        <v>18</v>
      </c>
      <c r="J811" s="1">
        <v>1290.08</v>
      </c>
      <c r="K811" s="1">
        <v>322.52</v>
      </c>
      <c r="L811">
        <v>4</v>
      </c>
      <c r="M811">
        <v>1</v>
      </c>
      <c r="N811">
        <v>0</v>
      </c>
      <c r="O811">
        <v>1</v>
      </c>
      <c r="P811">
        <v>0</v>
      </c>
      <c r="Q811">
        <v>0</v>
      </c>
      <c r="R811">
        <v>112</v>
      </c>
      <c r="S811" s="5">
        <v>1</v>
      </c>
      <c r="T811" s="5">
        <v>2</v>
      </c>
      <c r="U811" s="5">
        <v>2</v>
      </c>
      <c r="V811" s="5">
        <v>5</v>
      </c>
    </row>
    <row r="812" spans="1:22" x14ac:dyDescent="0.35">
      <c r="A812">
        <v>811</v>
      </c>
      <c r="B812">
        <v>55</v>
      </c>
      <c r="C812" t="s">
        <v>74</v>
      </c>
      <c r="D812" t="s">
        <v>5</v>
      </c>
      <c r="E812" t="s">
        <v>10</v>
      </c>
      <c r="F812" t="s">
        <v>11</v>
      </c>
      <c r="G812">
        <v>0</v>
      </c>
      <c r="H812">
        <v>18</v>
      </c>
      <c r="I812" t="s">
        <v>18</v>
      </c>
      <c r="J812" s="1">
        <v>871.11</v>
      </c>
      <c r="K812" s="1">
        <v>435.55500000000001</v>
      </c>
      <c r="L812">
        <v>2</v>
      </c>
      <c r="M812">
        <v>1</v>
      </c>
      <c r="N812">
        <v>0</v>
      </c>
      <c r="O812">
        <v>1</v>
      </c>
      <c r="P812">
        <v>0</v>
      </c>
      <c r="Q812">
        <v>0</v>
      </c>
      <c r="R812">
        <v>265</v>
      </c>
      <c r="S812" s="5">
        <v>1</v>
      </c>
      <c r="T812" s="5">
        <v>1</v>
      </c>
      <c r="U812" s="5">
        <v>2</v>
      </c>
      <c r="V812" s="5">
        <v>4</v>
      </c>
    </row>
    <row r="813" spans="1:22" x14ac:dyDescent="0.35">
      <c r="A813">
        <v>812</v>
      </c>
      <c r="B813">
        <v>57</v>
      </c>
      <c r="C813" t="s">
        <v>74</v>
      </c>
      <c r="D813" t="s">
        <v>6</v>
      </c>
      <c r="E813" t="s">
        <v>7</v>
      </c>
      <c r="F813" t="s">
        <v>12</v>
      </c>
      <c r="G813">
        <v>1</v>
      </c>
      <c r="H813">
        <v>39</v>
      </c>
      <c r="I813" t="s">
        <v>16</v>
      </c>
      <c r="J813" s="1">
        <v>2042.2899999999997</v>
      </c>
      <c r="K813" s="1">
        <v>291.75571428571425</v>
      </c>
      <c r="L813">
        <v>7</v>
      </c>
      <c r="M813">
        <v>2</v>
      </c>
      <c r="N813">
        <v>0</v>
      </c>
      <c r="O813">
        <v>1</v>
      </c>
      <c r="P813">
        <v>0</v>
      </c>
      <c r="Q813">
        <v>1</v>
      </c>
      <c r="R813">
        <v>12</v>
      </c>
      <c r="S813" s="5">
        <v>3</v>
      </c>
      <c r="T813" s="5">
        <v>2</v>
      </c>
      <c r="U813" s="5">
        <v>3</v>
      </c>
      <c r="V813" s="5">
        <v>8</v>
      </c>
    </row>
    <row r="814" spans="1:22" x14ac:dyDescent="0.35">
      <c r="A814">
        <v>813</v>
      </c>
      <c r="B814">
        <v>50</v>
      </c>
      <c r="C814" t="s">
        <v>74</v>
      </c>
      <c r="D814" t="s">
        <v>5</v>
      </c>
      <c r="E814" t="s">
        <v>7</v>
      </c>
      <c r="F814" t="s">
        <v>12</v>
      </c>
      <c r="G814">
        <v>0</v>
      </c>
      <c r="H814">
        <v>49</v>
      </c>
      <c r="I814" t="s">
        <v>17</v>
      </c>
      <c r="J814" s="1">
        <v>2206.29</v>
      </c>
      <c r="K814" s="1">
        <v>275.78625</v>
      </c>
      <c r="L814">
        <v>8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7</v>
      </c>
      <c r="S814" s="5">
        <v>3</v>
      </c>
      <c r="T814" s="5">
        <v>3</v>
      </c>
      <c r="U814" s="5">
        <v>3</v>
      </c>
      <c r="V814" s="5">
        <v>9</v>
      </c>
    </row>
    <row r="815" spans="1:22" x14ac:dyDescent="0.35">
      <c r="A815">
        <v>814</v>
      </c>
      <c r="B815">
        <v>51</v>
      </c>
      <c r="C815" t="s">
        <v>74</v>
      </c>
      <c r="D815" t="s">
        <v>6</v>
      </c>
      <c r="E815" t="s">
        <v>10</v>
      </c>
      <c r="F815" t="s">
        <v>13</v>
      </c>
      <c r="G815">
        <v>0</v>
      </c>
      <c r="H815">
        <v>3</v>
      </c>
      <c r="I815" t="s">
        <v>18</v>
      </c>
      <c r="J815" s="1">
        <v>1650.27</v>
      </c>
      <c r="K815" s="1">
        <v>183.36333333333334</v>
      </c>
      <c r="L815">
        <v>9</v>
      </c>
      <c r="M815">
        <v>2</v>
      </c>
      <c r="N815">
        <v>0</v>
      </c>
      <c r="O815">
        <v>0</v>
      </c>
      <c r="P815">
        <v>1</v>
      </c>
      <c r="Q815">
        <v>1</v>
      </c>
      <c r="R815">
        <v>41</v>
      </c>
      <c r="S815" s="5">
        <v>2</v>
      </c>
      <c r="T815" s="5">
        <v>3</v>
      </c>
      <c r="U815" s="5">
        <v>3</v>
      </c>
      <c r="V815" s="5">
        <v>8</v>
      </c>
    </row>
    <row r="816" spans="1:22" x14ac:dyDescent="0.35">
      <c r="A816">
        <v>815</v>
      </c>
      <c r="B816">
        <v>44</v>
      </c>
      <c r="C816" t="s">
        <v>75</v>
      </c>
      <c r="D816" t="s">
        <v>5</v>
      </c>
      <c r="E816" t="s">
        <v>7</v>
      </c>
      <c r="F816" t="s">
        <v>12</v>
      </c>
      <c r="G816">
        <v>0</v>
      </c>
      <c r="H816">
        <v>44</v>
      </c>
      <c r="I816" t="s">
        <v>18</v>
      </c>
      <c r="J816" s="1">
        <v>493.38</v>
      </c>
      <c r="K816" s="1">
        <v>246.69</v>
      </c>
      <c r="L816">
        <v>2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14</v>
      </c>
      <c r="S816" s="5">
        <v>3</v>
      </c>
      <c r="T816" s="5">
        <v>1</v>
      </c>
      <c r="U816" s="5">
        <v>1</v>
      </c>
      <c r="V816" s="5">
        <v>5</v>
      </c>
    </row>
    <row r="817" spans="1:22" x14ac:dyDescent="0.35">
      <c r="A817">
        <v>816</v>
      </c>
      <c r="B817">
        <v>53</v>
      </c>
      <c r="C817" t="s">
        <v>74</v>
      </c>
      <c r="D817" t="s">
        <v>5</v>
      </c>
      <c r="E817" t="s">
        <v>7</v>
      </c>
      <c r="F817" t="s">
        <v>13</v>
      </c>
      <c r="G817">
        <v>0</v>
      </c>
      <c r="H817">
        <v>31</v>
      </c>
      <c r="I817" t="s">
        <v>18</v>
      </c>
      <c r="J817" s="1">
        <v>1299.3699999999999</v>
      </c>
      <c r="K817" s="1">
        <v>162.42124999999999</v>
      </c>
      <c r="L817">
        <v>8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66</v>
      </c>
      <c r="S817" s="5">
        <v>2</v>
      </c>
      <c r="T817" s="5">
        <v>3</v>
      </c>
      <c r="U817" s="5">
        <v>2</v>
      </c>
      <c r="V817" s="5">
        <v>7</v>
      </c>
    </row>
    <row r="818" spans="1:22" x14ac:dyDescent="0.35">
      <c r="A818">
        <v>817</v>
      </c>
      <c r="B818">
        <v>43</v>
      </c>
      <c r="C818" t="s">
        <v>75</v>
      </c>
      <c r="D818" t="s">
        <v>6</v>
      </c>
      <c r="E818" t="s">
        <v>9</v>
      </c>
      <c r="F818" t="s">
        <v>12</v>
      </c>
      <c r="G818">
        <v>0</v>
      </c>
      <c r="H818">
        <v>30</v>
      </c>
      <c r="I818" t="s">
        <v>17</v>
      </c>
      <c r="J818" s="1">
        <v>337.9</v>
      </c>
      <c r="K818" s="1">
        <v>84.474999999999994</v>
      </c>
      <c r="L818">
        <v>4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134</v>
      </c>
      <c r="S818" s="5">
        <v>1</v>
      </c>
      <c r="T818" s="5">
        <v>2</v>
      </c>
      <c r="U818" s="5">
        <v>1</v>
      </c>
      <c r="V818" s="5">
        <v>4</v>
      </c>
    </row>
    <row r="819" spans="1:22" x14ac:dyDescent="0.35">
      <c r="A819">
        <v>818</v>
      </c>
      <c r="B819">
        <v>68</v>
      </c>
      <c r="C819" t="s">
        <v>72</v>
      </c>
      <c r="D819" t="s">
        <v>5</v>
      </c>
      <c r="E819" t="s">
        <v>8</v>
      </c>
      <c r="F819" t="s">
        <v>12</v>
      </c>
      <c r="G819">
        <v>0</v>
      </c>
      <c r="H819">
        <v>41</v>
      </c>
      <c r="I819" t="s">
        <v>18</v>
      </c>
      <c r="J819" s="1">
        <v>1295.7399999999998</v>
      </c>
      <c r="K819" s="1">
        <v>161.96749999999997</v>
      </c>
      <c r="L819">
        <v>8</v>
      </c>
      <c r="M819">
        <v>1</v>
      </c>
      <c r="N819">
        <v>0</v>
      </c>
      <c r="O819">
        <v>1</v>
      </c>
      <c r="P819">
        <v>0</v>
      </c>
      <c r="Q819">
        <v>0</v>
      </c>
      <c r="R819">
        <v>15</v>
      </c>
      <c r="S819" s="5">
        <v>3</v>
      </c>
      <c r="T819" s="5">
        <v>3</v>
      </c>
      <c r="U819" s="5">
        <v>2</v>
      </c>
      <c r="V819" s="5">
        <v>8</v>
      </c>
    </row>
    <row r="820" spans="1:22" x14ac:dyDescent="0.35">
      <c r="A820">
        <v>819</v>
      </c>
      <c r="B820">
        <v>42</v>
      </c>
      <c r="C820" t="s">
        <v>75</v>
      </c>
      <c r="D820" t="s">
        <v>6</v>
      </c>
      <c r="E820" t="s">
        <v>8</v>
      </c>
      <c r="F820" t="s">
        <v>13</v>
      </c>
      <c r="G820">
        <v>0</v>
      </c>
      <c r="H820">
        <v>24</v>
      </c>
      <c r="I820" t="s">
        <v>17</v>
      </c>
      <c r="J820" s="1">
        <v>985.2600000000001</v>
      </c>
      <c r="K820" s="1">
        <v>197.05200000000002</v>
      </c>
      <c r="L820">
        <v>5</v>
      </c>
      <c r="M820">
        <v>1</v>
      </c>
      <c r="N820">
        <v>1</v>
      </c>
      <c r="O820">
        <v>0</v>
      </c>
      <c r="P820">
        <v>0</v>
      </c>
      <c r="Q820">
        <v>1</v>
      </c>
      <c r="R820">
        <v>57</v>
      </c>
      <c r="S820" s="5">
        <v>2</v>
      </c>
      <c r="T820" s="5">
        <v>2</v>
      </c>
      <c r="U820" s="5">
        <v>2</v>
      </c>
      <c r="V820" s="5">
        <v>6</v>
      </c>
    </row>
    <row r="821" spans="1:22" x14ac:dyDescent="0.35">
      <c r="A821">
        <v>820</v>
      </c>
      <c r="B821">
        <v>36</v>
      </c>
      <c r="C821" t="s">
        <v>75</v>
      </c>
      <c r="D821" t="s">
        <v>5</v>
      </c>
      <c r="E821" t="s">
        <v>10</v>
      </c>
      <c r="F821" t="s">
        <v>11</v>
      </c>
      <c r="G821">
        <v>0</v>
      </c>
      <c r="H821">
        <v>5</v>
      </c>
      <c r="I821" t="s">
        <v>18</v>
      </c>
      <c r="J821" s="1">
        <v>566.46</v>
      </c>
      <c r="K821" s="1">
        <v>283.23</v>
      </c>
      <c r="L821">
        <v>2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54</v>
      </c>
      <c r="S821" s="5">
        <v>2</v>
      </c>
      <c r="T821" s="5">
        <v>1</v>
      </c>
      <c r="U821" s="5">
        <v>1</v>
      </c>
      <c r="V821" s="5">
        <v>4</v>
      </c>
    </row>
    <row r="822" spans="1:22" x14ac:dyDescent="0.35">
      <c r="A822">
        <v>821</v>
      </c>
      <c r="B822">
        <v>38</v>
      </c>
      <c r="C822" t="s">
        <v>75</v>
      </c>
      <c r="D822" t="s">
        <v>6</v>
      </c>
      <c r="E822" t="s">
        <v>10</v>
      </c>
      <c r="F822" t="s">
        <v>12</v>
      </c>
      <c r="G822">
        <v>0</v>
      </c>
      <c r="H822">
        <v>20</v>
      </c>
      <c r="I822" t="s">
        <v>16</v>
      </c>
      <c r="J822" s="1">
        <v>304.95</v>
      </c>
      <c r="K822" s="1">
        <v>152.47499999999999</v>
      </c>
      <c r="L822">
        <v>2</v>
      </c>
      <c r="M822">
        <v>1</v>
      </c>
      <c r="N822">
        <v>0</v>
      </c>
      <c r="O822">
        <v>1</v>
      </c>
      <c r="P822">
        <v>0</v>
      </c>
      <c r="Q822">
        <v>0</v>
      </c>
      <c r="R822">
        <v>112</v>
      </c>
      <c r="S822" s="5">
        <v>1</v>
      </c>
      <c r="T822" s="5">
        <v>1</v>
      </c>
      <c r="U822" s="5">
        <v>1</v>
      </c>
      <c r="V822" s="5">
        <v>3</v>
      </c>
    </row>
    <row r="823" spans="1:22" x14ac:dyDescent="0.35">
      <c r="A823">
        <v>822</v>
      </c>
      <c r="B823">
        <v>48</v>
      </c>
      <c r="C823" t="s">
        <v>74</v>
      </c>
      <c r="D823" t="s">
        <v>6</v>
      </c>
      <c r="E823" t="s">
        <v>10</v>
      </c>
      <c r="F823" t="s">
        <v>12</v>
      </c>
      <c r="G823">
        <v>0</v>
      </c>
      <c r="H823">
        <v>24</v>
      </c>
      <c r="I823" t="s">
        <v>16</v>
      </c>
      <c r="J823" s="1">
        <v>2275.2399999999998</v>
      </c>
      <c r="K823" s="1">
        <v>252.80444444444441</v>
      </c>
      <c r="L823">
        <v>9</v>
      </c>
      <c r="M823">
        <v>2</v>
      </c>
      <c r="N823">
        <v>1</v>
      </c>
      <c r="O823">
        <v>1</v>
      </c>
      <c r="P823">
        <v>1</v>
      </c>
      <c r="Q823">
        <v>0</v>
      </c>
      <c r="R823">
        <v>133</v>
      </c>
      <c r="S823" s="5">
        <v>1</v>
      </c>
      <c r="T823" s="5">
        <v>3</v>
      </c>
      <c r="U823" s="5">
        <v>3</v>
      </c>
      <c r="V823" s="5">
        <v>7</v>
      </c>
    </row>
    <row r="824" spans="1:22" x14ac:dyDescent="0.35">
      <c r="A824">
        <v>823</v>
      </c>
      <c r="B824">
        <v>46</v>
      </c>
      <c r="C824" t="s">
        <v>74</v>
      </c>
      <c r="D824" t="s">
        <v>6</v>
      </c>
      <c r="E824" t="s">
        <v>9</v>
      </c>
      <c r="F824" t="s">
        <v>13</v>
      </c>
      <c r="G824">
        <v>1</v>
      </c>
      <c r="H824">
        <v>17</v>
      </c>
      <c r="I824" t="s">
        <v>18</v>
      </c>
      <c r="J824" s="1">
        <v>651.38</v>
      </c>
      <c r="K824" s="1">
        <v>217.12666666666667</v>
      </c>
      <c r="L824">
        <v>3</v>
      </c>
      <c r="M824">
        <v>1</v>
      </c>
      <c r="N824">
        <v>0</v>
      </c>
      <c r="O824">
        <v>0</v>
      </c>
      <c r="P824">
        <v>1</v>
      </c>
      <c r="Q824">
        <v>0</v>
      </c>
      <c r="R824">
        <v>125</v>
      </c>
      <c r="S824" s="5">
        <v>1</v>
      </c>
      <c r="T824" s="5">
        <v>2</v>
      </c>
      <c r="U824" s="5">
        <v>1</v>
      </c>
      <c r="V824" s="5">
        <v>4</v>
      </c>
    </row>
    <row r="825" spans="1:22" x14ac:dyDescent="0.35">
      <c r="A825">
        <v>824</v>
      </c>
      <c r="B825">
        <v>26</v>
      </c>
      <c r="C825" t="s">
        <v>73</v>
      </c>
      <c r="D825" t="s">
        <v>6</v>
      </c>
      <c r="E825" t="s">
        <v>9</v>
      </c>
      <c r="F825" t="s">
        <v>13</v>
      </c>
      <c r="G825">
        <v>0</v>
      </c>
      <c r="H825">
        <v>8</v>
      </c>
      <c r="I825" t="s">
        <v>18</v>
      </c>
      <c r="J825" s="1">
        <v>318.01</v>
      </c>
      <c r="K825" s="1">
        <v>318.01</v>
      </c>
      <c r="L825">
        <v>1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169</v>
      </c>
      <c r="S825" s="5">
        <v>1</v>
      </c>
      <c r="T825" s="5">
        <v>1</v>
      </c>
      <c r="U825" s="5">
        <v>1</v>
      </c>
      <c r="V825" s="5">
        <v>3</v>
      </c>
    </row>
    <row r="826" spans="1:22" x14ac:dyDescent="0.35">
      <c r="A826">
        <v>825</v>
      </c>
      <c r="B826">
        <v>36</v>
      </c>
      <c r="C826" t="s">
        <v>75</v>
      </c>
      <c r="D826" t="s">
        <v>6</v>
      </c>
      <c r="E826" t="s">
        <v>7</v>
      </c>
      <c r="F826" t="s">
        <v>11</v>
      </c>
      <c r="G826">
        <v>0</v>
      </c>
      <c r="H826">
        <v>21</v>
      </c>
      <c r="I826" t="s">
        <v>17</v>
      </c>
      <c r="J826" s="1">
        <v>1087.0500000000002</v>
      </c>
      <c r="K826" s="1">
        <v>120.78333333333336</v>
      </c>
      <c r="L826">
        <v>9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27</v>
      </c>
      <c r="S826" s="5">
        <v>3</v>
      </c>
      <c r="T826" s="5">
        <v>3</v>
      </c>
      <c r="U826" s="5">
        <v>2</v>
      </c>
      <c r="V826" s="5">
        <v>8</v>
      </c>
    </row>
    <row r="827" spans="1:22" x14ac:dyDescent="0.35">
      <c r="A827">
        <v>826</v>
      </c>
      <c r="B827">
        <v>43</v>
      </c>
      <c r="C827" t="s">
        <v>75</v>
      </c>
      <c r="D827" t="s">
        <v>5</v>
      </c>
      <c r="E827" t="s">
        <v>9</v>
      </c>
      <c r="F827" t="s">
        <v>11</v>
      </c>
      <c r="G827">
        <v>1</v>
      </c>
      <c r="H827">
        <v>14</v>
      </c>
      <c r="I827" t="s">
        <v>16</v>
      </c>
      <c r="J827" s="1">
        <v>1099.45</v>
      </c>
      <c r="K827" s="1">
        <v>183.24166666666667</v>
      </c>
      <c r="L827">
        <v>6</v>
      </c>
      <c r="M827">
        <v>1</v>
      </c>
      <c r="N827">
        <v>1</v>
      </c>
      <c r="O827">
        <v>1</v>
      </c>
      <c r="P827">
        <v>0</v>
      </c>
      <c r="Q827">
        <v>0</v>
      </c>
      <c r="R827">
        <v>113</v>
      </c>
      <c r="S827" s="5">
        <v>1</v>
      </c>
      <c r="T827" s="5">
        <v>2</v>
      </c>
      <c r="U827" s="5">
        <v>2</v>
      </c>
      <c r="V827" s="5">
        <v>5</v>
      </c>
    </row>
    <row r="828" spans="1:22" x14ac:dyDescent="0.35">
      <c r="A828">
        <v>827</v>
      </c>
      <c r="B828">
        <v>42</v>
      </c>
      <c r="C828" t="s">
        <v>75</v>
      </c>
      <c r="D828" t="s">
        <v>5</v>
      </c>
      <c r="E828" t="s">
        <v>8</v>
      </c>
      <c r="F828" t="s">
        <v>11</v>
      </c>
      <c r="G828">
        <v>1</v>
      </c>
      <c r="H828">
        <v>38</v>
      </c>
      <c r="I828" t="s">
        <v>18</v>
      </c>
      <c r="J828" s="1">
        <v>2317.9299999999998</v>
      </c>
      <c r="K828" s="1">
        <v>386.32166666666666</v>
      </c>
      <c r="L828">
        <v>6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16</v>
      </c>
      <c r="S828" s="5">
        <v>3</v>
      </c>
      <c r="T828" s="5">
        <v>2</v>
      </c>
      <c r="U828" s="5">
        <v>3</v>
      </c>
      <c r="V828" s="5">
        <v>8</v>
      </c>
    </row>
    <row r="829" spans="1:22" x14ac:dyDescent="0.35">
      <c r="A829">
        <v>828</v>
      </c>
      <c r="B829">
        <v>57</v>
      </c>
      <c r="C829" t="s">
        <v>74</v>
      </c>
      <c r="D829" t="s">
        <v>6</v>
      </c>
      <c r="E829" t="s">
        <v>9</v>
      </c>
      <c r="F829" t="s">
        <v>12</v>
      </c>
      <c r="G829">
        <v>0</v>
      </c>
      <c r="H829">
        <v>32</v>
      </c>
      <c r="I829" t="s">
        <v>18</v>
      </c>
      <c r="J829" s="1">
        <v>1361.59</v>
      </c>
      <c r="K829" s="1">
        <v>340.39749999999998</v>
      </c>
      <c r="L829">
        <v>4</v>
      </c>
      <c r="M829">
        <v>1</v>
      </c>
      <c r="N829">
        <v>1</v>
      </c>
      <c r="O829">
        <v>0</v>
      </c>
      <c r="P829">
        <v>0</v>
      </c>
      <c r="Q829">
        <v>1</v>
      </c>
      <c r="R829">
        <v>55</v>
      </c>
      <c r="S829" s="5">
        <v>2</v>
      </c>
      <c r="T829" s="5">
        <v>2</v>
      </c>
      <c r="U829" s="5">
        <v>2</v>
      </c>
      <c r="V829" s="5">
        <v>6</v>
      </c>
    </row>
    <row r="830" spans="1:22" x14ac:dyDescent="0.35">
      <c r="A830">
        <v>829</v>
      </c>
      <c r="B830">
        <v>60</v>
      </c>
      <c r="C830" t="s">
        <v>74</v>
      </c>
      <c r="D830" t="s">
        <v>5</v>
      </c>
      <c r="E830" t="s">
        <v>10</v>
      </c>
      <c r="F830" t="s">
        <v>12</v>
      </c>
      <c r="G830">
        <v>0</v>
      </c>
      <c r="H830">
        <v>36</v>
      </c>
      <c r="I830" t="s">
        <v>18</v>
      </c>
      <c r="J830" s="1">
        <v>144.37</v>
      </c>
      <c r="K830" s="1">
        <v>144.37</v>
      </c>
      <c r="L830">
        <v>1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144</v>
      </c>
      <c r="S830" s="5">
        <v>1</v>
      </c>
      <c r="T830" s="5">
        <v>1</v>
      </c>
      <c r="U830" s="5">
        <v>1</v>
      </c>
      <c r="V830" s="5">
        <v>3</v>
      </c>
    </row>
    <row r="831" spans="1:22" x14ac:dyDescent="0.35">
      <c r="A831">
        <v>830</v>
      </c>
      <c r="B831">
        <v>46</v>
      </c>
      <c r="C831" t="s">
        <v>74</v>
      </c>
      <c r="D831" t="s">
        <v>5</v>
      </c>
      <c r="E831" t="s">
        <v>8</v>
      </c>
      <c r="F831" t="s">
        <v>13</v>
      </c>
      <c r="G831">
        <v>0</v>
      </c>
      <c r="H831">
        <v>40</v>
      </c>
      <c r="I831" t="s">
        <v>17</v>
      </c>
      <c r="J831" s="1">
        <v>395.99</v>
      </c>
      <c r="K831" s="1">
        <v>197.995</v>
      </c>
      <c r="L831">
        <v>2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69</v>
      </c>
      <c r="S831" s="5">
        <v>2</v>
      </c>
      <c r="T831" s="5">
        <v>1</v>
      </c>
      <c r="U831" s="5">
        <v>1</v>
      </c>
      <c r="V831" s="5">
        <v>4</v>
      </c>
    </row>
    <row r="832" spans="1:22" x14ac:dyDescent="0.35">
      <c r="A832">
        <v>831</v>
      </c>
      <c r="B832">
        <v>42</v>
      </c>
      <c r="C832" t="s">
        <v>75</v>
      </c>
      <c r="D832" t="s">
        <v>6</v>
      </c>
      <c r="E832" t="s">
        <v>7</v>
      </c>
      <c r="F832" t="s">
        <v>13</v>
      </c>
      <c r="G832">
        <v>1</v>
      </c>
      <c r="H832">
        <v>4</v>
      </c>
      <c r="I832" t="s">
        <v>16</v>
      </c>
      <c r="J832" s="1">
        <v>1417.9499999999998</v>
      </c>
      <c r="K832" s="1">
        <v>177.24374999999998</v>
      </c>
      <c r="L832">
        <v>8</v>
      </c>
      <c r="M832">
        <v>1</v>
      </c>
      <c r="N832">
        <v>1</v>
      </c>
      <c r="O832">
        <v>0</v>
      </c>
      <c r="P832">
        <v>1</v>
      </c>
      <c r="Q832">
        <v>0</v>
      </c>
      <c r="R832">
        <v>20</v>
      </c>
      <c r="S832" s="5">
        <v>3</v>
      </c>
      <c r="T832" s="5">
        <v>3</v>
      </c>
      <c r="U832" s="5">
        <v>2</v>
      </c>
      <c r="V832" s="5">
        <v>8</v>
      </c>
    </row>
    <row r="833" spans="1:22" x14ac:dyDescent="0.35">
      <c r="A833">
        <v>832</v>
      </c>
      <c r="B833">
        <v>36</v>
      </c>
      <c r="C833" t="s">
        <v>75</v>
      </c>
      <c r="D833" t="s">
        <v>6</v>
      </c>
      <c r="E833" t="s">
        <v>8</v>
      </c>
      <c r="F833" t="s">
        <v>13</v>
      </c>
      <c r="G833">
        <v>0</v>
      </c>
      <c r="H833">
        <v>21</v>
      </c>
      <c r="I833" t="s">
        <v>17</v>
      </c>
      <c r="J833" s="1">
        <v>1463.62</v>
      </c>
      <c r="K833" s="1">
        <v>292.72399999999999</v>
      </c>
      <c r="L833">
        <v>5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39</v>
      </c>
      <c r="S833" s="5">
        <v>2</v>
      </c>
      <c r="T833" s="5">
        <v>2</v>
      </c>
      <c r="U833" s="5">
        <v>2</v>
      </c>
      <c r="V833" s="5">
        <v>6</v>
      </c>
    </row>
    <row r="834" spans="1:22" x14ac:dyDescent="0.35">
      <c r="A834">
        <v>833</v>
      </c>
      <c r="B834">
        <v>21</v>
      </c>
      <c r="C834" t="s">
        <v>73</v>
      </c>
      <c r="D834" t="s">
        <v>6</v>
      </c>
      <c r="E834" t="s">
        <v>9</v>
      </c>
      <c r="F834" t="s">
        <v>11</v>
      </c>
      <c r="G834">
        <v>0</v>
      </c>
      <c r="H834">
        <v>25</v>
      </c>
      <c r="I834" t="s">
        <v>16</v>
      </c>
      <c r="J834" s="1">
        <v>1000.7900000000001</v>
      </c>
      <c r="K834" s="1">
        <v>200.15800000000002</v>
      </c>
      <c r="L834">
        <v>5</v>
      </c>
      <c r="M834">
        <v>1</v>
      </c>
      <c r="N834">
        <v>1</v>
      </c>
      <c r="O834">
        <v>0</v>
      </c>
      <c r="P834">
        <v>1</v>
      </c>
      <c r="Q834">
        <v>0</v>
      </c>
      <c r="R834">
        <v>52</v>
      </c>
      <c r="S834" s="5">
        <v>2</v>
      </c>
      <c r="T834" s="5">
        <v>2</v>
      </c>
      <c r="U834" s="5">
        <v>2</v>
      </c>
      <c r="V834" s="5">
        <v>6</v>
      </c>
    </row>
    <row r="835" spans="1:22" x14ac:dyDescent="0.35">
      <c r="A835">
        <v>834</v>
      </c>
      <c r="B835">
        <v>62</v>
      </c>
      <c r="C835" t="s">
        <v>72</v>
      </c>
      <c r="D835" t="s">
        <v>6</v>
      </c>
      <c r="E835" t="s">
        <v>9</v>
      </c>
      <c r="F835" t="s">
        <v>11</v>
      </c>
      <c r="G835">
        <v>0</v>
      </c>
      <c r="H835">
        <v>45</v>
      </c>
      <c r="I835" t="s">
        <v>16</v>
      </c>
      <c r="J835" s="1">
        <v>1521.86</v>
      </c>
      <c r="K835" s="1">
        <v>304.37199999999996</v>
      </c>
      <c r="L835">
        <v>5</v>
      </c>
      <c r="M835">
        <v>1</v>
      </c>
      <c r="N835">
        <v>1</v>
      </c>
      <c r="O835">
        <v>0</v>
      </c>
      <c r="P835">
        <v>1</v>
      </c>
      <c r="Q835">
        <v>0</v>
      </c>
      <c r="R835">
        <v>13</v>
      </c>
      <c r="S835" s="5">
        <v>3</v>
      </c>
      <c r="T835" s="5">
        <v>2</v>
      </c>
      <c r="U835" s="5">
        <v>2</v>
      </c>
      <c r="V835" s="5">
        <v>7</v>
      </c>
    </row>
    <row r="836" spans="1:22" x14ac:dyDescent="0.35">
      <c r="A836">
        <v>835</v>
      </c>
      <c r="B836">
        <v>37</v>
      </c>
      <c r="C836" t="s">
        <v>75</v>
      </c>
      <c r="D836" t="s">
        <v>5</v>
      </c>
      <c r="E836" t="s">
        <v>7</v>
      </c>
      <c r="F836" t="s">
        <v>11</v>
      </c>
      <c r="G836">
        <v>0</v>
      </c>
      <c r="H836">
        <v>1</v>
      </c>
      <c r="I836" t="s">
        <v>16</v>
      </c>
      <c r="J836" s="1">
        <v>825.2</v>
      </c>
      <c r="K836" s="1">
        <v>165.04000000000002</v>
      </c>
      <c r="L836">
        <v>5</v>
      </c>
      <c r="M836">
        <v>1</v>
      </c>
      <c r="N836">
        <v>0</v>
      </c>
      <c r="O836">
        <v>1</v>
      </c>
      <c r="P836">
        <v>0</v>
      </c>
      <c r="Q836">
        <v>0</v>
      </c>
      <c r="R836">
        <v>97</v>
      </c>
      <c r="S836" s="5">
        <v>1</v>
      </c>
      <c r="T836" s="5">
        <v>2</v>
      </c>
      <c r="U836" s="5">
        <v>1</v>
      </c>
      <c r="V836" s="5">
        <v>4</v>
      </c>
    </row>
    <row r="837" spans="1:22" x14ac:dyDescent="0.35">
      <c r="A837">
        <v>836</v>
      </c>
      <c r="B837">
        <v>63</v>
      </c>
      <c r="C837" t="s">
        <v>72</v>
      </c>
      <c r="D837" t="s">
        <v>5</v>
      </c>
      <c r="E837" t="s">
        <v>10</v>
      </c>
      <c r="F837" t="s">
        <v>12</v>
      </c>
      <c r="G837">
        <v>1</v>
      </c>
      <c r="H837">
        <v>47</v>
      </c>
      <c r="I837" t="s">
        <v>16</v>
      </c>
      <c r="J837" s="1">
        <v>1130.44</v>
      </c>
      <c r="K837" s="1">
        <v>188.40666666666667</v>
      </c>
      <c r="L837">
        <v>6</v>
      </c>
      <c r="M837">
        <v>2</v>
      </c>
      <c r="N837">
        <v>0</v>
      </c>
      <c r="O837">
        <v>1</v>
      </c>
      <c r="P837">
        <v>0</v>
      </c>
      <c r="Q837">
        <v>1</v>
      </c>
      <c r="R837">
        <v>166</v>
      </c>
      <c r="S837" s="5">
        <v>1</v>
      </c>
      <c r="T837" s="5">
        <v>2</v>
      </c>
      <c r="U837" s="5">
        <v>2</v>
      </c>
      <c r="V837" s="5">
        <v>5</v>
      </c>
    </row>
    <row r="838" spans="1:22" x14ac:dyDescent="0.35">
      <c r="A838">
        <v>837</v>
      </c>
      <c r="B838">
        <v>18</v>
      </c>
      <c r="C838" t="s">
        <v>73</v>
      </c>
      <c r="D838" t="s">
        <v>6</v>
      </c>
      <c r="E838" t="s">
        <v>7</v>
      </c>
      <c r="F838" t="s">
        <v>12</v>
      </c>
      <c r="G838">
        <v>0</v>
      </c>
      <c r="H838">
        <v>13</v>
      </c>
      <c r="I838" t="s">
        <v>17</v>
      </c>
      <c r="J838" s="1">
        <v>1600.01</v>
      </c>
      <c r="K838" s="1">
        <v>228.57285714285715</v>
      </c>
      <c r="L838">
        <v>7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57</v>
      </c>
      <c r="S838" s="5">
        <v>2</v>
      </c>
      <c r="T838" s="5">
        <v>2</v>
      </c>
      <c r="U838" s="5">
        <v>3</v>
      </c>
      <c r="V838" s="5">
        <v>7</v>
      </c>
    </row>
    <row r="839" spans="1:22" x14ac:dyDescent="0.35">
      <c r="A839">
        <v>838</v>
      </c>
      <c r="B839">
        <v>28</v>
      </c>
      <c r="C839" t="s">
        <v>73</v>
      </c>
      <c r="D839" t="s">
        <v>5</v>
      </c>
      <c r="E839" t="s">
        <v>7</v>
      </c>
      <c r="F839" t="s">
        <v>13</v>
      </c>
      <c r="G839">
        <v>0</v>
      </c>
      <c r="H839">
        <v>16</v>
      </c>
      <c r="I839" t="s">
        <v>18</v>
      </c>
      <c r="J839" s="1">
        <v>1729.93</v>
      </c>
      <c r="K839" s="1">
        <v>192.21444444444444</v>
      </c>
      <c r="L839">
        <v>9</v>
      </c>
      <c r="M839">
        <v>2</v>
      </c>
      <c r="N839">
        <v>1</v>
      </c>
      <c r="O839">
        <v>1</v>
      </c>
      <c r="P839">
        <v>0</v>
      </c>
      <c r="Q839">
        <v>1</v>
      </c>
      <c r="R839">
        <v>10</v>
      </c>
      <c r="S839" s="5">
        <v>3</v>
      </c>
      <c r="T839" s="5">
        <v>3</v>
      </c>
      <c r="U839" s="5">
        <v>3</v>
      </c>
      <c r="V839" s="5">
        <v>9</v>
      </c>
    </row>
    <row r="840" spans="1:22" x14ac:dyDescent="0.35">
      <c r="A840">
        <v>839</v>
      </c>
      <c r="B840">
        <v>21</v>
      </c>
      <c r="C840" t="s">
        <v>73</v>
      </c>
      <c r="D840" t="s">
        <v>5</v>
      </c>
      <c r="E840" t="s">
        <v>7</v>
      </c>
      <c r="F840" t="s">
        <v>11</v>
      </c>
      <c r="G840">
        <v>0</v>
      </c>
      <c r="H840">
        <v>29</v>
      </c>
      <c r="I840" t="s">
        <v>16</v>
      </c>
      <c r="J840" s="1">
        <v>1182.5999999999999</v>
      </c>
      <c r="K840" s="1">
        <v>236.51999999999998</v>
      </c>
      <c r="L840">
        <v>5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15</v>
      </c>
      <c r="S840" s="5">
        <v>3</v>
      </c>
      <c r="T840" s="5">
        <v>2</v>
      </c>
      <c r="U840" s="5">
        <v>2</v>
      </c>
      <c r="V840" s="5">
        <v>7</v>
      </c>
    </row>
    <row r="841" spans="1:22" x14ac:dyDescent="0.35">
      <c r="A841">
        <v>840</v>
      </c>
      <c r="B841">
        <v>24</v>
      </c>
      <c r="C841" t="s">
        <v>73</v>
      </c>
      <c r="D841" t="s">
        <v>6</v>
      </c>
      <c r="E841" t="s">
        <v>7</v>
      </c>
      <c r="F841" t="s">
        <v>12</v>
      </c>
      <c r="G841">
        <v>0</v>
      </c>
      <c r="H841">
        <v>39</v>
      </c>
      <c r="I841" t="s">
        <v>16</v>
      </c>
      <c r="J841" s="1">
        <v>997.82999999999993</v>
      </c>
      <c r="K841" s="1">
        <v>199.56599999999997</v>
      </c>
      <c r="L841">
        <v>5</v>
      </c>
      <c r="M841">
        <v>1</v>
      </c>
      <c r="N841">
        <v>0</v>
      </c>
      <c r="O841">
        <v>1</v>
      </c>
      <c r="P841">
        <v>0</v>
      </c>
      <c r="Q841">
        <v>0</v>
      </c>
      <c r="R841">
        <v>7</v>
      </c>
      <c r="S841" s="5">
        <v>3</v>
      </c>
      <c r="T841" s="5">
        <v>2</v>
      </c>
      <c r="U841" s="5">
        <v>2</v>
      </c>
      <c r="V841" s="5">
        <v>7</v>
      </c>
    </row>
    <row r="842" spans="1:22" x14ac:dyDescent="0.35">
      <c r="A842">
        <v>841</v>
      </c>
      <c r="B842">
        <v>45</v>
      </c>
      <c r="C842" t="s">
        <v>75</v>
      </c>
      <c r="D842" t="s">
        <v>5</v>
      </c>
      <c r="E842" t="s">
        <v>9</v>
      </c>
      <c r="F842" t="s">
        <v>11</v>
      </c>
      <c r="G842">
        <v>1</v>
      </c>
      <c r="H842">
        <v>29</v>
      </c>
      <c r="I842" t="s">
        <v>17</v>
      </c>
      <c r="J842" s="1">
        <v>1829.4599999999998</v>
      </c>
      <c r="K842" s="1">
        <v>228.68249999999998</v>
      </c>
      <c r="L842">
        <v>8</v>
      </c>
      <c r="M842">
        <v>1</v>
      </c>
      <c r="N842">
        <v>1</v>
      </c>
      <c r="O842">
        <v>0</v>
      </c>
      <c r="P842">
        <v>0</v>
      </c>
      <c r="Q842">
        <v>1</v>
      </c>
      <c r="R842">
        <v>17</v>
      </c>
      <c r="S842" s="5">
        <v>3</v>
      </c>
      <c r="T842" s="5">
        <v>3</v>
      </c>
      <c r="U842" s="5">
        <v>3</v>
      </c>
      <c r="V842" s="5">
        <v>9</v>
      </c>
    </row>
    <row r="843" spans="1:22" x14ac:dyDescent="0.35">
      <c r="A843">
        <v>842</v>
      </c>
      <c r="B843">
        <v>53</v>
      </c>
      <c r="C843" t="s">
        <v>74</v>
      </c>
      <c r="D843" t="s">
        <v>5</v>
      </c>
      <c r="E843" t="s">
        <v>10</v>
      </c>
      <c r="F843" t="s">
        <v>12</v>
      </c>
      <c r="G843">
        <v>0</v>
      </c>
      <c r="H843">
        <v>12</v>
      </c>
      <c r="I843" t="s">
        <v>16</v>
      </c>
      <c r="J843" s="1">
        <v>2806.69</v>
      </c>
      <c r="K843" s="1">
        <v>350.83625000000001</v>
      </c>
      <c r="L843">
        <v>8</v>
      </c>
      <c r="M843">
        <v>1</v>
      </c>
      <c r="N843">
        <v>0</v>
      </c>
      <c r="O843">
        <v>1</v>
      </c>
      <c r="P843">
        <v>0</v>
      </c>
      <c r="Q843">
        <v>0</v>
      </c>
      <c r="R843">
        <v>27</v>
      </c>
      <c r="S843" s="5">
        <v>3</v>
      </c>
      <c r="T843" s="5">
        <v>3</v>
      </c>
      <c r="U843" s="5">
        <v>3</v>
      </c>
      <c r="V843" s="5">
        <v>9</v>
      </c>
    </row>
    <row r="844" spans="1:22" x14ac:dyDescent="0.35">
      <c r="A844">
        <v>843</v>
      </c>
      <c r="B844">
        <v>24</v>
      </c>
      <c r="C844" t="s">
        <v>73</v>
      </c>
      <c r="D844" t="s">
        <v>6</v>
      </c>
      <c r="E844" t="s">
        <v>8</v>
      </c>
      <c r="F844" t="s">
        <v>11</v>
      </c>
      <c r="G844">
        <v>0</v>
      </c>
      <c r="H844">
        <v>31</v>
      </c>
      <c r="I844" t="s">
        <v>17</v>
      </c>
      <c r="J844" s="1">
        <v>1069.53</v>
      </c>
      <c r="K844" s="1">
        <v>213.90600000000001</v>
      </c>
      <c r="L844">
        <v>5</v>
      </c>
      <c r="M844">
        <v>1</v>
      </c>
      <c r="N844">
        <v>0</v>
      </c>
      <c r="O844">
        <v>1</v>
      </c>
      <c r="P844">
        <v>0</v>
      </c>
      <c r="Q844">
        <v>0</v>
      </c>
      <c r="R844">
        <v>28</v>
      </c>
      <c r="S844" s="5">
        <v>3</v>
      </c>
      <c r="T844" s="5">
        <v>2</v>
      </c>
      <c r="U844" s="5">
        <v>2</v>
      </c>
      <c r="V844" s="5">
        <v>7</v>
      </c>
    </row>
    <row r="845" spans="1:22" x14ac:dyDescent="0.35">
      <c r="A845">
        <v>844</v>
      </c>
      <c r="B845">
        <v>37</v>
      </c>
      <c r="C845" t="s">
        <v>75</v>
      </c>
      <c r="D845" t="s">
        <v>5</v>
      </c>
      <c r="E845" t="s">
        <v>10</v>
      </c>
      <c r="F845" t="s">
        <v>12</v>
      </c>
      <c r="G845">
        <v>0</v>
      </c>
      <c r="H845">
        <v>20</v>
      </c>
      <c r="I845" t="s">
        <v>16</v>
      </c>
      <c r="J845" s="1">
        <v>1505.23</v>
      </c>
      <c r="K845" s="1">
        <v>250.87166666666667</v>
      </c>
      <c r="L845">
        <v>6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28</v>
      </c>
      <c r="S845" s="5">
        <v>3</v>
      </c>
      <c r="T845" s="5">
        <v>2</v>
      </c>
      <c r="U845" s="5">
        <v>2</v>
      </c>
      <c r="V845" s="5">
        <v>7</v>
      </c>
    </row>
    <row r="846" spans="1:22" x14ac:dyDescent="0.35">
      <c r="A846">
        <v>845</v>
      </c>
      <c r="B846">
        <v>52</v>
      </c>
      <c r="C846" t="s">
        <v>74</v>
      </c>
      <c r="D846" t="s">
        <v>5</v>
      </c>
      <c r="E846" t="s">
        <v>10</v>
      </c>
      <c r="F846" t="s">
        <v>12</v>
      </c>
      <c r="G846">
        <v>0</v>
      </c>
      <c r="H846">
        <v>35</v>
      </c>
      <c r="I846" t="s">
        <v>18</v>
      </c>
      <c r="J846" s="1">
        <v>2238.86</v>
      </c>
      <c r="K846" s="1">
        <v>279.85750000000002</v>
      </c>
      <c r="L846">
        <v>8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8</v>
      </c>
      <c r="S846" s="5">
        <v>3</v>
      </c>
      <c r="T846" s="5">
        <v>3</v>
      </c>
      <c r="U846" s="5">
        <v>3</v>
      </c>
      <c r="V846" s="5">
        <v>9</v>
      </c>
    </row>
    <row r="847" spans="1:22" x14ac:dyDescent="0.35">
      <c r="A847">
        <v>846</v>
      </c>
      <c r="B847">
        <v>68</v>
      </c>
      <c r="C847" t="s">
        <v>72</v>
      </c>
      <c r="D847" t="s">
        <v>5</v>
      </c>
      <c r="E847" t="s">
        <v>7</v>
      </c>
      <c r="F847" t="s">
        <v>12</v>
      </c>
      <c r="G847">
        <v>0</v>
      </c>
      <c r="H847">
        <v>41</v>
      </c>
      <c r="I847" t="s">
        <v>16</v>
      </c>
      <c r="J847" s="1">
        <v>1667.48</v>
      </c>
      <c r="K847" s="1">
        <v>333.49599999999998</v>
      </c>
      <c r="L847">
        <v>5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42</v>
      </c>
      <c r="S847" s="5">
        <v>2</v>
      </c>
      <c r="T847" s="5">
        <v>2</v>
      </c>
      <c r="U847" s="5">
        <v>3</v>
      </c>
      <c r="V847" s="5">
        <v>7</v>
      </c>
    </row>
    <row r="848" spans="1:22" x14ac:dyDescent="0.35">
      <c r="A848">
        <v>847</v>
      </c>
      <c r="B848">
        <v>68</v>
      </c>
      <c r="C848" t="s">
        <v>72</v>
      </c>
      <c r="D848" t="s">
        <v>6</v>
      </c>
      <c r="E848" t="s">
        <v>10</v>
      </c>
      <c r="F848" t="s">
        <v>12</v>
      </c>
      <c r="G848">
        <v>0</v>
      </c>
      <c r="H848">
        <v>28</v>
      </c>
      <c r="I848" t="s">
        <v>18</v>
      </c>
      <c r="J848" s="1">
        <v>1672.9299999999998</v>
      </c>
      <c r="K848" s="1">
        <v>278.82166666666666</v>
      </c>
      <c r="L848">
        <v>6</v>
      </c>
      <c r="M848">
        <v>2</v>
      </c>
      <c r="N848">
        <v>0</v>
      </c>
      <c r="O848">
        <v>1</v>
      </c>
      <c r="P848">
        <v>1</v>
      </c>
      <c r="Q848">
        <v>0</v>
      </c>
      <c r="R848">
        <v>136</v>
      </c>
      <c r="S848" s="5">
        <v>1</v>
      </c>
      <c r="T848" s="5">
        <v>2</v>
      </c>
      <c r="U848" s="5">
        <v>3</v>
      </c>
      <c r="V848" s="5">
        <v>6</v>
      </c>
    </row>
    <row r="849" spans="1:22" x14ac:dyDescent="0.35">
      <c r="A849">
        <v>848</v>
      </c>
      <c r="B849">
        <v>56</v>
      </c>
      <c r="C849" t="s">
        <v>74</v>
      </c>
      <c r="D849" t="s">
        <v>6</v>
      </c>
      <c r="E849" t="s">
        <v>7</v>
      </c>
      <c r="F849" t="s">
        <v>13</v>
      </c>
      <c r="G849">
        <v>1</v>
      </c>
      <c r="H849">
        <v>35</v>
      </c>
      <c r="I849" t="s">
        <v>16</v>
      </c>
      <c r="J849" s="1">
        <v>690.16000000000008</v>
      </c>
      <c r="K849" s="1">
        <v>345.08000000000004</v>
      </c>
      <c r="L849">
        <v>2</v>
      </c>
      <c r="M849">
        <v>2</v>
      </c>
      <c r="N849">
        <v>1</v>
      </c>
      <c r="O849">
        <v>0</v>
      </c>
      <c r="P849">
        <v>1</v>
      </c>
      <c r="Q849">
        <v>1</v>
      </c>
      <c r="R849">
        <v>54</v>
      </c>
      <c r="S849" s="5">
        <v>2</v>
      </c>
      <c r="T849" s="5">
        <v>1</v>
      </c>
      <c r="U849" s="5">
        <v>1</v>
      </c>
      <c r="V849" s="5">
        <v>4</v>
      </c>
    </row>
    <row r="850" spans="1:22" x14ac:dyDescent="0.35">
      <c r="A850">
        <v>849</v>
      </c>
      <c r="B850">
        <v>38</v>
      </c>
      <c r="C850" t="s">
        <v>75</v>
      </c>
      <c r="D850" t="s">
        <v>5</v>
      </c>
      <c r="E850" t="s">
        <v>8</v>
      </c>
      <c r="F850" t="s">
        <v>11</v>
      </c>
      <c r="G850">
        <v>0</v>
      </c>
      <c r="H850">
        <v>29</v>
      </c>
      <c r="I850" t="s">
        <v>17</v>
      </c>
      <c r="J850" s="1">
        <v>830.54000000000008</v>
      </c>
      <c r="K850" s="1">
        <v>166.108</v>
      </c>
      <c r="L850">
        <v>5</v>
      </c>
      <c r="M850">
        <v>2</v>
      </c>
      <c r="N850">
        <v>1</v>
      </c>
      <c r="O850">
        <v>1</v>
      </c>
      <c r="P850">
        <v>1</v>
      </c>
      <c r="Q850">
        <v>0</v>
      </c>
      <c r="R850">
        <v>20</v>
      </c>
      <c r="S850" s="5">
        <v>3</v>
      </c>
      <c r="T850" s="5">
        <v>2</v>
      </c>
      <c r="U850" s="5">
        <v>1</v>
      </c>
      <c r="V850" s="5">
        <v>6</v>
      </c>
    </row>
    <row r="851" spans="1:22" x14ac:dyDescent="0.35">
      <c r="A851">
        <v>850</v>
      </c>
      <c r="B851">
        <v>61</v>
      </c>
      <c r="C851" t="s">
        <v>72</v>
      </c>
      <c r="D851" t="s">
        <v>6</v>
      </c>
      <c r="E851" t="s">
        <v>7</v>
      </c>
      <c r="F851" t="s">
        <v>12</v>
      </c>
      <c r="G851">
        <v>1</v>
      </c>
      <c r="H851">
        <v>44</v>
      </c>
      <c r="I851" t="s">
        <v>16</v>
      </c>
      <c r="J851" s="1">
        <v>38.119999999999997</v>
      </c>
      <c r="K851" s="1">
        <v>38.119999999999997</v>
      </c>
      <c r="L851">
        <v>1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262</v>
      </c>
      <c r="S851" s="5">
        <v>1</v>
      </c>
      <c r="T851" s="5">
        <v>1</v>
      </c>
      <c r="U851" s="5">
        <v>1</v>
      </c>
      <c r="V851" s="5">
        <v>3</v>
      </c>
    </row>
    <row r="852" spans="1:22" x14ac:dyDescent="0.35">
      <c r="A852">
        <v>851</v>
      </c>
      <c r="B852">
        <v>18</v>
      </c>
      <c r="C852" t="s">
        <v>73</v>
      </c>
      <c r="D852" t="s">
        <v>5</v>
      </c>
      <c r="E852" t="s">
        <v>8</v>
      </c>
      <c r="F852" t="s">
        <v>12</v>
      </c>
      <c r="G852">
        <v>0</v>
      </c>
      <c r="H852">
        <v>39</v>
      </c>
      <c r="I852" t="s">
        <v>18</v>
      </c>
      <c r="J852" s="1">
        <v>580.17999999999995</v>
      </c>
      <c r="K852" s="1">
        <v>290.08999999999997</v>
      </c>
      <c r="L852">
        <v>2</v>
      </c>
      <c r="M852">
        <v>1</v>
      </c>
      <c r="N852">
        <v>0</v>
      </c>
      <c r="O852">
        <v>0</v>
      </c>
      <c r="P852">
        <v>1</v>
      </c>
      <c r="Q852">
        <v>0</v>
      </c>
      <c r="R852">
        <v>16</v>
      </c>
      <c r="S852" s="5">
        <v>3</v>
      </c>
      <c r="T852" s="5">
        <v>1</v>
      </c>
      <c r="U852" s="5">
        <v>1</v>
      </c>
      <c r="V852" s="5">
        <v>5</v>
      </c>
    </row>
    <row r="853" spans="1:22" x14ac:dyDescent="0.35">
      <c r="A853">
        <v>852</v>
      </c>
      <c r="B853">
        <v>54</v>
      </c>
      <c r="C853" t="s">
        <v>74</v>
      </c>
      <c r="D853" t="s">
        <v>6</v>
      </c>
      <c r="E853" t="s">
        <v>10</v>
      </c>
      <c r="F853" t="s">
        <v>11</v>
      </c>
      <c r="G853">
        <v>0</v>
      </c>
      <c r="H853">
        <v>29</v>
      </c>
      <c r="I853" t="s">
        <v>16</v>
      </c>
      <c r="J853" s="1">
        <v>569.13</v>
      </c>
      <c r="K853" s="1">
        <v>142.2825</v>
      </c>
      <c r="L853">
        <v>4</v>
      </c>
      <c r="M853">
        <v>1</v>
      </c>
      <c r="N853">
        <v>1</v>
      </c>
      <c r="O853">
        <v>1</v>
      </c>
      <c r="P853">
        <v>0</v>
      </c>
      <c r="Q853">
        <v>0</v>
      </c>
      <c r="R853">
        <v>14</v>
      </c>
      <c r="S853" s="5">
        <v>3</v>
      </c>
      <c r="T853" s="5">
        <v>2</v>
      </c>
      <c r="U853" s="5">
        <v>1</v>
      </c>
      <c r="V853" s="5">
        <v>6</v>
      </c>
    </row>
    <row r="854" spans="1:22" x14ac:dyDescent="0.35">
      <c r="A854">
        <v>853</v>
      </c>
      <c r="B854">
        <v>63</v>
      </c>
      <c r="C854" t="s">
        <v>72</v>
      </c>
      <c r="D854" t="s">
        <v>5</v>
      </c>
      <c r="E854" t="s">
        <v>7</v>
      </c>
      <c r="F854" t="s">
        <v>12</v>
      </c>
      <c r="G854">
        <v>0</v>
      </c>
      <c r="H854">
        <v>34</v>
      </c>
      <c r="I854" t="s">
        <v>17</v>
      </c>
      <c r="J854" s="1">
        <v>1178.95</v>
      </c>
      <c r="K854" s="1">
        <v>392.98333333333335</v>
      </c>
      <c r="L854">
        <v>3</v>
      </c>
      <c r="M854">
        <v>1</v>
      </c>
      <c r="N854">
        <v>1</v>
      </c>
      <c r="O854">
        <v>1</v>
      </c>
      <c r="P854">
        <v>0</v>
      </c>
      <c r="Q854">
        <v>0</v>
      </c>
      <c r="R854">
        <v>154</v>
      </c>
      <c r="S854" s="5">
        <v>1</v>
      </c>
      <c r="T854" s="5">
        <v>2</v>
      </c>
      <c r="U854" s="5">
        <v>2</v>
      </c>
      <c r="V854" s="5">
        <v>5</v>
      </c>
    </row>
    <row r="855" spans="1:22" x14ac:dyDescent="0.35">
      <c r="A855">
        <v>854</v>
      </c>
      <c r="B855">
        <v>59</v>
      </c>
      <c r="C855" t="s">
        <v>74</v>
      </c>
      <c r="D855" t="s">
        <v>6</v>
      </c>
      <c r="E855" t="s">
        <v>9</v>
      </c>
      <c r="F855" t="s">
        <v>12</v>
      </c>
      <c r="G855">
        <v>0</v>
      </c>
      <c r="H855">
        <v>10</v>
      </c>
      <c r="I855" t="s">
        <v>16</v>
      </c>
      <c r="J855" s="1">
        <v>47.85</v>
      </c>
      <c r="K855" s="1">
        <v>47.85</v>
      </c>
      <c r="L855">
        <v>1</v>
      </c>
      <c r="M855">
        <v>2</v>
      </c>
      <c r="N855">
        <v>1</v>
      </c>
      <c r="O855">
        <v>0</v>
      </c>
      <c r="P855">
        <v>1</v>
      </c>
      <c r="Q855">
        <v>0</v>
      </c>
      <c r="R855">
        <v>60</v>
      </c>
      <c r="S855" s="5">
        <v>2</v>
      </c>
      <c r="T855" s="5">
        <v>1</v>
      </c>
      <c r="U855" s="5">
        <v>1</v>
      </c>
      <c r="V855" s="5">
        <v>4</v>
      </c>
    </row>
    <row r="856" spans="1:22" x14ac:dyDescent="0.35">
      <c r="A856">
        <v>855</v>
      </c>
      <c r="B856">
        <v>20</v>
      </c>
      <c r="C856" t="s">
        <v>73</v>
      </c>
      <c r="D856" t="s">
        <v>5</v>
      </c>
      <c r="E856" t="s">
        <v>8</v>
      </c>
      <c r="F856" t="s">
        <v>11</v>
      </c>
      <c r="G856">
        <v>0</v>
      </c>
      <c r="H856">
        <v>37</v>
      </c>
      <c r="I856" t="s">
        <v>18</v>
      </c>
      <c r="J856" s="1">
        <v>2656.16</v>
      </c>
      <c r="K856" s="1">
        <v>332.02</v>
      </c>
      <c r="L856">
        <v>8</v>
      </c>
      <c r="M856">
        <v>2</v>
      </c>
      <c r="N856">
        <v>1</v>
      </c>
      <c r="O856">
        <v>0</v>
      </c>
      <c r="P856">
        <v>0</v>
      </c>
      <c r="Q856">
        <v>1</v>
      </c>
      <c r="R856">
        <v>51</v>
      </c>
      <c r="S856" s="5">
        <v>2</v>
      </c>
      <c r="T856" s="5">
        <v>3</v>
      </c>
      <c r="U856" s="5">
        <v>3</v>
      </c>
      <c r="V856" s="5">
        <v>8</v>
      </c>
    </row>
    <row r="857" spans="1:22" x14ac:dyDescent="0.35">
      <c r="A857">
        <v>856</v>
      </c>
      <c r="B857">
        <v>51</v>
      </c>
      <c r="C857" t="s">
        <v>74</v>
      </c>
      <c r="D857" t="s">
        <v>5</v>
      </c>
      <c r="E857" t="s">
        <v>10</v>
      </c>
      <c r="F857" t="s">
        <v>13</v>
      </c>
      <c r="G857">
        <v>0</v>
      </c>
      <c r="H857">
        <v>48</v>
      </c>
      <c r="I857" t="s">
        <v>17</v>
      </c>
      <c r="J857" s="1">
        <v>524.36</v>
      </c>
      <c r="K857" s="1">
        <v>174.78666666666666</v>
      </c>
      <c r="L857">
        <v>3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90</v>
      </c>
      <c r="S857" s="5">
        <v>1</v>
      </c>
      <c r="T857" s="5">
        <v>2</v>
      </c>
      <c r="U857" s="5">
        <v>1</v>
      </c>
      <c r="V857" s="5">
        <v>4</v>
      </c>
    </row>
    <row r="858" spans="1:22" x14ac:dyDescent="0.35">
      <c r="A858">
        <v>857</v>
      </c>
      <c r="B858">
        <v>30</v>
      </c>
      <c r="C858" t="s">
        <v>73</v>
      </c>
      <c r="D858" t="s">
        <v>6</v>
      </c>
      <c r="E858" t="s">
        <v>8</v>
      </c>
      <c r="F858" t="s">
        <v>13</v>
      </c>
      <c r="G858">
        <v>1</v>
      </c>
      <c r="H858">
        <v>7</v>
      </c>
      <c r="I858" t="s">
        <v>16</v>
      </c>
      <c r="J858" s="1">
        <v>379</v>
      </c>
      <c r="K858" s="1">
        <v>379</v>
      </c>
      <c r="L858">
        <v>1</v>
      </c>
      <c r="M858">
        <v>1</v>
      </c>
      <c r="N858">
        <v>0</v>
      </c>
      <c r="O858">
        <v>0</v>
      </c>
      <c r="P858">
        <v>0</v>
      </c>
      <c r="Q858">
        <v>1</v>
      </c>
      <c r="R858">
        <v>168</v>
      </c>
      <c r="S858" s="5">
        <v>1</v>
      </c>
      <c r="T858" s="5">
        <v>1</v>
      </c>
      <c r="U858" s="5">
        <v>1</v>
      </c>
      <c r="V858" s="5">
        <v>3</v>
      </c>
    </row>
    <row r="859" spans="1:22" x14ac:dyDescent="0.35">
      <c r="A859">
        <v>858</v>
      </c>
      <c r="B859">
        <v>33</v>
      </c>
      <c r="C859" t="s">
        <v>75</v>
      </c>
      <c r="D859" t="s">
        <v>5</v>
      </c>
      <c r="E859" t="s">
        <v>7</v>
      </c>
      <c r="F859" t="s">
        <v>12</v>
      </c>
      <c r="G859">
        <v>0</v>
      </c>
      <c r="H859">
        <v>9</v>
      </c>
      <c r="I859" t="s">
        <v>17</v>
      </c>
      <c r="J859" s="1">
        <v>224.33</v>
      </c>
      <c r="K859" s="1">
        <v>112.16500000000001</v>
      </c>
      <c r="L859">
        <v>2</v>
      </c>
      <c r="M859">
        <v>2</v>
      </c>
      <c r="N859">
        <v>0</v>
      </c>
      <c r="O859">
        <v>1</v>
      </c>
      <c r="P859">
        <v>1</v>
      </c>
      <c r="Q859">
        <v>0</v>
      </c>
      <c r="R859">
        <v>86</v>
      </c>
      <c r="S859" s="5">
        <v>1</v>
      </c>
      <c r="T859" s="5">
        <v>1</v>
      </c>
      <c r="U859" s="5">
        <v>1</v>
      </c>
      <c r="V859" s="5">
        <v>3</v>
      </c>
    </row>
    <row r="860" spans="1:22" x14ac:dyDescent="0.35">
      <c r="A860">
        <v>859</v>
      </c>
      <c r="B860">
        <v>51</v>
      </c>
      <c r="C860" t="s">
        <v>74</v>
      </c>
      <c r="D860" t="s">
        <v>5</v>
      </c>
      <c r="E860" t="s">
        <v>9</v>
      </c>
      <c r="F860" t="s">
        <v>13</v>
      </c>
      <c r="G860">
        <v>0</v>
      </c>
      <c r="H860">
        <v>16</v>
      </c>
      <c r="I860" t="s">
        <v>17</v>
      </c>
      <c r="J860" s="1">
        <v>2320.9000000000005</v>
      </c>
      <c r="K860" s="1">
        <v>257.87777777777785</v>
      </c>
      <c r="L860">
        <v>9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7</v>
      </c>
      <c r="S860" s="5">
        <v>3</v>
      </c>
      <c r="T860" s="5">
        <v>3</v>
      </c>
      <c r="U860" s="5">
        <v>3</v>
      </c>
      <c r="V860" s="5">
        <v>9</v>
      </c>
    </row>
    <row r="861" spans="1:22" x14ac:dyDescent="0.35">
      <c r="A861">
        <v>860</v>
      </c>
      <c r="B861">
        <v>41</v>
      </c>
      <c r="C861" t="s">
        <v>75</v>
      </c>
      <c r="D861" t="s">
        <v>6</v>
      </c>
      <c r="E861" t="s">
        <v>8</v>
      </c>
      <c r="F861" t="s">
        <v>13</v>
      </c>
      <c r="G861">
        <v>0</v>
      </c>
      <c r="H861">
        <v>21</v>
      </c>
      <c r="I861" t="s">
        <v>16</v>
      </c>
      <c r="J861" s="1">
        <v>410.36</v>
      </c>
      <c r="K861" s="1">
        <v>205.18</v>
      </c>
      <c r="L861">
        <v>2</v>
      </c>
      <c r="M861">
        <v>2</v>
      </c>
      <c r="N861">
        <v>1</v>
      </c>
      <c r="O861">
        <v>0</v>
      </c>
      <c r="P861">
        <v>0</v>
      </c>
      <c r="Q861">
        <v>1</v>
      </c>
      <c r="R861">
        <v>24</v>
      </c>
      <c r="S861" s="5">
        <v>3</v>
      </c>
      <c r="T861" s="5">
        <v>1</v>
      </c>
      <c r="U861" s="5">
        <v>1</v>
      </c>
      <c r="V861" s="5">
        <v>5</v>
      </c>
    </row>
    <row r="862" spans="1:22" x14ac:dyDescent="0.35">
      <c r="A862">
        <v>861</v>
      </c>
      <c r="B862">
        <v>30</v>
      </c>
      <c r="C862" t="s">
        <v>73</v>
      </c>
      <c r="D862" t="s">
        <v>6</v>
      </c>
      <c r="E862" t="s">
        <v>8</v>
      </c>
      <c r="F862" t="s">
        <v>12</v>
      </c>
      <c r="G862">
        <v>0</v>
      </c>
      <c r="H862">
        <v>14</v>
      </c>
      <c r="I862" t="s">
        <v>17</v>
      </c>
      <c r="J862" s="1">
        <v>258.79000000000002</v>
      </c>
      <c r="K862" s="1">
        <v>129.39500000000001</v>
      </c>
      <c r="L862">
        <v>2</v>
      </c>
      <c r="M862">
        <v>1</v>
      </c>
      <c r="N862">
        <v>0</v>
      </c>
      <c r="O862">
        <v>0</v>
      </c>
      <c r="P862">
        <v>1</v>
      </c>
      <c r="Q862">
        <v>0</v>
      </c>
      <c r="R862">
        <v>31</v>
      </c>
      <c r="S862" s="5">
        <v>2</v>
      </c>
      <c r="T862" s="5">
        <v>1</v>
      </c>
      <c r="U862" s="5">
        <v>1</v>
      </c>
      <c r="V862" s="5">
        <v>4</v>
      </c>
    </row>
    <row r="863" spans="1:22" x14ac:dyDescent="0.35">
      <c r="A863">
        <v>862</v>
      </c>
      <c r="B863">
        <v>23</v>
      </c>
      <c r="C863" t="s">
        <v>73</v>
      </c>
      <c r="D863" t="s">
        <v>5</v>
      </c>
      <c r="E863" t="s">
        <v>8</v>
      </c>
      <c r="F863" t="s">
        <v>12</v>
      </c>
      <c r="G863">
        <v>0</v>
      </c>
      <c r="H863">
        <v>2</v>
      </c>
      <c r="I863" t="s">
        <v>18</v>
      </c>
      <c r="J863" s="1">
        <v>1581.13</v>
      </c>
      <c r="K863" s="1">
        <v>263.5216666666667</v>
      </c>
      <c r="L863">
        <v>6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14</v>
      </c>
      <c r="S863" s="5">
        <v>3</v>
      </c>
      <c r="T863" s="5">
        <v>2</v>
      </c>
      <c r="U863" s="5">
        <v>3</v>
      </c>
      <c r="V863" s="5">
        <v>8</v>
      </c>
    </row>
    <row r="864" spans="1:22" x14ac:dyDescent="0.35">
      <c r="A864">
        <v>863</v>
      </c>
      <c r="B864">
        <v>56</v>
      </c>
      <c r="C864" t="s">
        <v>74</v>
      </c>
      <c r="D864" t="s">
        <v>5</v>
      </c>
      <c r="E864" t="s">
        <v>10</v>
      </c>
      <c r="F864" t="s">
        <v>13</v>
      </c>
      <c r="G864">
        <v>0</v>
      </c>
      <c r="H864">
        <v>26</v>
      </c>
      <c r="I864" t="s">
        <v>18</v>
      </c>
      <c r="J864" s="1">
        <v>1031.04</v>
      </c>
      <c r="K864" s="1">
        <v>147.29142857142855</v>
      </c>
      <c r="L864">
        <v>7</v>
      </c>
      <c r="M864">
        <v>2</v>
      </c>
      <c r="N864">
        <v>1</v>
      </c>
      <c r="O864">
        <v>0</v>
      </c>
      <c r="P864">
        <v>1</v>
      </c>
      <c r="Q864">
        <v>0</v>
      </c>
      <c r="R864">
        <v>34</v>
      </c>
      <c r="S864" s="5">
        <v>2</v>
      </c>
      <c r="T864" s="5">
        <v>2</v>
      </c>
      <c r="U864" s="5">
        <v>2</v>
      </c>
      <c r="V864" s="5">
        <v>6</v>
      </c>
    </row>
    <row r="865" spans="1:22" x14ac:dyDescent="0.35">
      <c r="A865">
        <v>864</v>
      </c>
      <c r="B865">
        <v>19</v>
      </c>
      <c r="C865" t="s">
        <v>73</v>
      </c>
      <c r="D865" t="s">
        <v>5</v>
      </c>
      <c r="E865" t="s">
        <v>9</v>
      </c>
      <c r="F865" t="s">
        <v>12</v>
      </c>
      <c r="G865">
        <v>0</v>
      </c>
      <c r="H865">
        <v>34</v>
      </c>
      <c r="I865" t="s">
        <v>17</v>
      </c>
      <c r="J865" s="1">
        <v>1537.15</v>
      </c>
      <c r="K865" s="1">
        <v>219.59285714285716</v>
      </c>
      <c r="L865">
        <v>7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10</v>
      </c>
      <c r="S865" s="5">
        <v>3</v>
      </c>
      <c r="T865" s="5">
        <v>2</v>
      </c>
      <c r="U865" s="5">
        <v>2</v>
      </c>
      <c r="V865" s="5">
        <v>7</v>
      </c>
    </row>
    <row r="866" spans="1:22" x14ac:dyDescent="0.35">
      <c r="A866">
        <v>865</v>
      </c>
      <c r="B866">
        <v>28</v>
      </c>
      <c r="C866" t="s">
        <v>73</v>
      </c>
      <c r="D866" t="s">
        <v>6</v>
      </c>
      <c r="E866" t="s">
        <v>9</v>
      </c>
      <c r="F866" t="s">
        <v>12</v>
      </c>
      <c r="G866">
        <v>0</v>
      </c>
      <c r="H866">
        <v>47</v>
      </c>
      <c r="I866" t="s">
        <v>16</v>
      </c>
      <c r="J866" s="1">
        <v>2739.6900000000005</v>
      </c>
      <c r="K866" s="1">
        <v>304.41000000000008</v>
      </c>
      <c r="L866">
        <v>9</v>
      </c>
      <c r="M866">
        <v>1</v>
      </c>
      <c r="N866">
        <v>1</v>
      </c>
      <c r="O866">
        <v>0</v>
      </c>
      <c r="P866">
        <v>1</v>
      </c>
      <c r="Q866">
        <v>0</v>
      </c>
      <c r="R866">
        <v>110</v>
      </c>
      <c r="S866" s="5">
        <v>1</v>
      </c>
      <c r="T866" s="5">
        <v>3</v>
      </c>
      <c r="U866" s="5">
        <v>3</v>
      </c>
      <c r="V866" s="5">
        <v>7</v>
      </c>
    </row>
    <row r="867" spans="1:22" x14ac:dyDescent="0.35">
      <c r="A867">
        <v>866</v>
      </c>
      <c r="B867">
        <v>24</v>
      </c>
      <c r="C867" t="s">
        <v>73</v>
      </c>
      <c r="D867" t="s">
        <v>6</v>
      </c>
      <c r="E867" t="s">
        <v>9</v>
      </c>
      <c r="F867" t="s">
        <v>13</v>
      </c>
      <c r="G867">
        <v>0</v>
      </c>
      <c r="H867">
        <v>49</v>
      </c>
      <c r="I867" t="s">
        <v>17</v>
      </c>
      <c r="J867" s="1">
        <v>440.09000000000003</v>
      </c>
      <c r="K867" s="1">
        <v>220.04500000000002</v>
      </c>
      <c r="L867">
        <v>2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167</v>
      </c>
      <c r="S867" s="5">
        <v>1</v>
      </c>
      <c r="T867" s="5">
        <v>1</v>
      </c>
      <c r="U867" s="5">
        <v>1</v>
      </c>
      <c r="V867" s="5">
        <v>3</v>
      </c>
    </row>
    <row r="868" spans="1:22" x14ac:dyDescent="0.35">
      <c r="A868">
        <v>867</v>
      </c>
      <c r="B868">
        <v>24</v>
      </c>
      <c r="C868" t="s">
        <v>73</v>
      </c>
      <c r="D868" t="s">
        <v>5</v>
      </c>
      <c r="E868" t="s">
        <v>8</v>
      </c>
      <c r="F868" t="s">
        <v>11</v>
      </c>
      <c r="G868">
        <v>0</v>
      </c>
      <c r="H868">
        <v>18</v>
      </c>
      <c r="I868" t="s">
        <v>17</v>
      </c>
      <c r="J868" s="1">
        <v>985.19</v>
      </c>
      <c r="K868" s="1">
        <v>164.19833333333335</v>
      </c>
      <c r="L868">
        <v>6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21</v>
      </c>
      <c r="S868" s="5">
        <v>3</v>
      </c>
      <c r="T868" s="5">
        <v>2</v>
      </c>
      <c r="U868" s="5">
        <v>2</v>
      </c>
      <c r="V868" s="5">
        <v>7</v>
      </c>
    </row>
    <row r="869" spans="1:22" x14ac:dyDescent="0.35">
      <c r="A869">
        <v>868</v>
      </c>
      <c r="B869">
        <v>56</v>
      </c>
      <c r="C869" t="s">
        <v>74</v>
      </c>
      <c r="D869" t="s">
        <v>5</v>
      </c>
      <c r="E869" t="s">
        <v>8</v>
      </c>
      <c r="F869" t="s">
        <v>13</v>
      </c>
      <c r="G869">
        <v>0</v>
      </c>
      <c r="H869">
        <v>12</v>
      </c>
      <c r="I869" t="s">
        <v>17</v>
      </c>
      <c r="J869" s="1">
        <v>1858.01</v>
      </c>
      <c r="K869" s="1">
        <v>309.66833333333335</v>
      </c>
      <c r="L869">
        <v>6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61</v>
      </c>
      <c r="S869" s="5">
        <v>2</v>
      </c>
      <c r="T869" s="5">
        <v>2</v>
      </c>
      <c r="U869" s="5">
        <v>3</v>
      </c>
      <c r="V869" s="5">
        <v>7</v>
      </c>
    </row>
    <row r="870" spans="1:22" x14ac:dyDescent="0.35">
      <c r="A870">
        <v>869</v>
      </c>
      <c r="B870">
        <v>56</v>
      </c>
      <c r="C870" t="s">
        <v>74</v>
      </c>
      <c r="D870" t="s">
        <v>5</v>
      </c>
      <c r="E870" t="s">
        <v>8</v>
      </c>
      <c r="F870" t="s">
        <v>13</v>
      </c>
      <c r="G870">
        <v>1</v>
      </c>
      <c r="H870">
        <v>19</v>
      </c>
      <c r="I870" t="s">
        <v>18</v>
      </c>
      <c r="J870" s="1">
        <v>1708.06</v>
      </c>
      <c r="K870" s="1">
        <v>244.00857142857143</v>
      </c>
      <c r="L870">
        <v>7</v>
      </c>
      <c r="M870">
        <v>2</v>
      </c>
      <c r="N870">
        <v>1</v>
      </c>
      <c r="O870">
        <v>1</v>
      </c>
      <c r="P870">
        <v>0</v>
      </c>
      <c r="Q870">
        <v>1</v>
      </c>
      <c r="R870">
        <v>78</v>
      </c>
      <c r="S870" s="5">
        <v>2</v>
      </c>
      <c r="T870" s="5">
        <v>2</v>
      </c>
      <c r="U870" s="5">
        <v>3</v>
      </c>
      <c r="V870" s="5">
        <v>7</v>
      </c>
    </row>
    <row r="871" spans="1:22" x14ac:dyDescent="0.35">
      <c r="A871">
        <v>870</v>
      </c>
      <c r="B871">
        <v>29</v>
      </c>
      <c r="C871" t="s">
        <v>73</v>
      </c>
      <c r="D871" t="s">
        <v>5</v>
      </c>
      <c r="E871" t="s">
        <v>8</v>
      </c>
      <c r="F871" t="s">
        <v>13</v>
      </c>
      <c r="G871">
        <v>0</v>
      </c>
      <c r="H871">
        <v>36</v>
      </c>
      <c r="I871" t="s">
        <v>17</v>
      </c>
      <c r="J871" s="1">
        <v>358.81</v>
      </c>
      <c r="K871" s="1">
        <v>358.81</v>
      </c>
      <c r="L871">
        <v>1</v>
      </c>
      <c r="M871">
        <v>1</v>
      </c>
      <c r="N871">
        <v>1</v>
      </c>
      <c r="O871">
        <v>0</v>
      </c>
      <c r="P871">
        <v>1</v>
      </c>
      <c r="Q871">
        <v>0</v>
      </c>
      <c r="R871">
        <v>326</v>
      </c>
      <c r="S871" s="5">
        <v>1</v>
      </c>
      <c r="T871" s="5">
        <v>1</v>
      </c>
      <c r="U871" s="5">
        <v>1</v>
      </c>
      <c r="V871" s="5">
        <v>3</v>
      </c>
    </row>
    <row r="872" spans="1:22" x14ac:dyDescent="0.35">
      <c r="A872">
        <v>871</v>
      </c>
      <c r="B872">
        <v>68</v>
      </c>
      <c r="C872" t="s">
        <v>72</v>
      </c>
      <c r="D872" t="s">
        <v>6</v>
      </c>
      <c r="E872" t="s">
        <v>7</v>
      </c>
      <c r="F872" t="s">
        <v>12</v>
      </c>
      <c r="G872">
        <v>0</v>
      </c>
      <c r="H872">
        <v>38</v>
      </c>
      <c r="I872" t="s">
        <v>18</v>
      </c>
      <c r="J872" s="1">
        <v>1268.83</v>
      </c>
      <c r="K872" s="1">
        <v>317.20749999999998</v>
      </c>
      <c r="L872">
        <v>4</v>
      </c>
      <c r="M872">
        <v>2</v>
      </c>
      <c r="N872">
        <v>1</v>
      </c>
      <c r="O872">
        <v>1</v>
      </c>
      <c r="P872">
        <v>1</v>
      </c>
      <c r="Q872">
        <v>0</v>
      </c>
      <c r="R872">
        <v>69</v>
      </c>
      <c r="S872" s="5">
        <v>2</v>
      </c>
      <c r="T872" s="5">
        <v>2</v>
      </c>
      <c r="U872" s="5">
        <v>2</v>
      </c>
      <c r="V872" s="5">
        <v>6</v>
      </c>
    </row>
    <row r="873" spans="1:22" x14ac:dyDescent="0.35">
      <c r="A873">
        <v>872</v>
      </c>
      <c r="B873">
        <v>39</v>
      </c>
      <c r="C873" t="s">
        <v>75</v>
      </c>
      <c r="D873" t="s">
        <v>5</v>
      </c>
      <c r="E873" t="s">
        <v>7</v>
      </c>
      <c r="F873" t="s">
        <v>13</v>
      </c>
      <c r="G873">
        <v>0</v>
      </c>
      <c r="H873">
        <v>16</v>
      </c>
      <c r="I873" t="s">
        <v>17</v>
      </c>
      <c r="J873" s="1">
        <v>2710.0699999999997</v>
      </c>
      <c r="K873" s="1">
        <v>338.75874999999996</v>
      </c>
      <c r="L873">
        <v>8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21</v>
      </c>
      <c r="S873" s="5">
        <v>3</v>
      </c>
      <c r="T873" s="5">
        <v>3</v>
      </c>
      <c r="U873" s="5">
        <v>3</v>
      </c>
      <c r="V873" s="5">
        <v>9</v>
      </c>
    </row>
    <row r="874" spans="1:22" x14ac:dyDescent="0.35">
      <c r="A874">
        <v>873</v>
      </c>
      <c r="B874">
        <v>68</v>
      </c>
      <c r="C874" t="s">
        <v>72</v>
      </c>
      <c r="D874" t="s">
        <v>5</v>
      </c>
      <c r="E874" t="s">
        <v>10</v>
      </c>
      <c r="F874" t="s">
        <v>12</v>
      </c>
      <c r="G874">
        <v>0</v>
      </c>
      <c r="H874">
        <v>46</v>
      </c>
      <c r="I874" t="s">
        <v>17</v>
      </c>
      <c r="J874" s="1">
        <v>868.72</v>
      </c>
      <c r="K874" s="1">
        <v>289.57333333333332</v>
      </c>
      <c r="L874">
        <v>3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42</v>
      </c>
      <c r="S874" s="5">
        <v>2</v>
      </c>
      <c r="T874" s="5">
        <v>2</v>
      </c>
      <c r="U874" s="5">
        <v>2</v>
      </c>
      <c r="V874" s="5">
        <v>6</v>
      </c>
    </row>
    <row r="875" spans="1:22" x14ac:dyDescent="0.35">
      <c r="A875">
        <v>874</v>
      </c>
      <c r="B875">
        <v>68</v>
      </c>
      <c r="C875" t="s">
        <v>72</v>
      </c>
      <c r="D875" t="s">
        <v>6</v>
      </c>
      <c r="E875" t="s">
        <v>8</v>
      </c>
      <c r="F875" t="s">
        <v>11</v>
      </c>
      <c r="G875">
        <v>0</v>
      </c>
      <c r="H875">
        <v>8</v>
      </c>
      <c r="I875" t="s">
        <v>16</v>
      </c>
      <c r="J875" s="1">
        <v>488.21</v>
      </c>
      <c r="K875" s="1">
        <v>488.21</v>
      </c>
      <c r="L875">
        <v>1</v>
      </c>
      <c r="M875">
        <v>2</v>
      </c>
      <c r="N875">
        <v>0</v>
      </c>
      <c r="O875">
        <v>0</v>
      </c>
      <c r="P875">
        <v>1</v>
      </c>
      <c r="Q875">
        <v>1</v>
      </c>
      <c r="R875">
        <v>117</v>
      </c>
      <c r="S875" s="5">
        <v>1</v>
      </c>
      <c r="T875" s="5">
        <v>1</v>
      </c>
      <c r="U875" s="5">
        <v>1</v>
      </c>
      <c r="V875" s="5">
        <v>3</v>
      </c>
    </row>
    <row r="876" spans="1:22" x14ac:dyDescent="0.35">
      <c r="A876">
        <v>875</v>
      </c>
      <c r="B876">
        <v>69</v>
      </c>
      <c r="C876" t="s">
        <v>72</v>
      </c>
      <c r="D876" t="s">
        <v>6</v>
      </c>
      <c r="E876" t="s">
        <v>10</v>
      </c>
      <c r="F876" t="s">
        <v>13</v>
      </c>
      <c r="G876">
        <v>0</v>
      </c>
      <c r="H876">
        <v>9</v>
      </c>
      <c r="I876" t="s">
        <v>17</v>
      </c>
      <c r="J876" s="1">
        <v>2066.71</v>
      </c>
      <c r="K876" s="1">
        <v>258.33875</v>
      </c>
      <c r="L876">
        <v>8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11</v>
      </c>
      <c r="S876" s="5">
        <v>3</v>
      </c>
      <c r="T876" s="5">
        <v>3</v>
      </c>
      <c r="U876" s="5">
        <v>3</v>
      </c>
      <c r="V876" s="5">
        <v>9</v>
      </c>
    </row>
    <row r="877" spans="1:22" x14ac:dyDescent="0.35">
      <c r="A877">
        <v>876</v>
      </c>
      <c r="B877">
        <v>20</v>
      </c>
      <c r="C877" t="s">
        <v>73</v>
      </c>
      <c r="D877" t="s">
        <v>6</v>
      </c>
      <c r="E877" t="s">
        <v>9</v>
      </c>
      <c r="F877" t="s">
        <v>11</v>
      </c>
      <c r="G877">
        <v>0</v>
      </c>
      <c r="H877">
        <v>4</v>
      </c>
      <c r="I877" t="s">
        <v>18</v>
      </c>
      <c r="J877" s="1">
        <v>1940.62</v>
      </c>
      <c r="K877" s="1">
        <v>242.57749999999999</v>
      </c>
      <c r="L877">
        <v>8</v>
      </c>
      <c r="M877">
        <v>1</v>
      </c>
      <c r="N877">
        <v>0</v>
      </c>
      <c r="O877">
        <v>0</v>
      </c>
      <c r="P877">
        <v>1</v>
      </c>
      <c r="Q877">
        <v>0</v>
      </c>
      <c r="R877">
        <v>3</v>
      </c>
      <c r="S877" s="5">
        <v>3</v>
      </c>
      <c r="T877" s="5">
        <v>3</v>
      </c>
      <c r="U877" s="5">
        <v>3</v>
      </c>
      <c r="V877" s="5">
        <v>9</v>
      </c>
    </row>
    <row r="878" spans="1:22" x14ac:dyDescent="0.35">
      <c r="A878">
        <v>877</v>
      </c>
      <c r="B878">
        <v>30</v>
      </c>
      <c r="C878" t="s">
        <v>73</v>
      </c>
      <c r="D878" t="s">
        <v>6</v>
      </c>
      <c r="E878" t="s">
        <v>8</v>
      </c>
      <c r="F878" t="s">
        <v>13</v>
      </c>
      <c r="G878">
        <v>0</v>
      </c>
      <c r="H878">
        <v>36</v>
      </c>
      <c r="I878" t="s">
        <v>17</v>
      </c>
      <c r="J878" s="1">
        <v>2189.5500000000002</v>
      </c>
      <c r="K878" s="1">
        <v>312.79285714285714</v>
      </c>
      <c r="L878">
        <v>7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30</v>
      </c>
      <c r="S878" s="5">
        <v>2</v>
      </c>
      <c r="T878" s="5">
        <v>2</v>
      </c>
      <c r="U878" s="5">
        <v>3</v>
      </c>
      <c r="V878" s="5">
        <v>7</v>
      </c>
    </row>
    <row r="879" spans="1:22" x14ac:dyDescent="0.35">
      <c r="A879">
        <v>878</v>
      </c>
      <c r="B879">
        <v>47</v>
      </c>
      <c r="C879" t="s">
        <v>74</v>
      </c>
      <c r="D879" t="s">
        <v>5</v>
      </c>
      <c r="E879" t="s">
        <v>7</v>
      </c>
      <c r="F879" t="s">
        <v>12</v>
      </c>
      <c r="G879">
        <v>0</v>
      </c>
      <c r="H879">
        <v>47</v>
      </c>
      <c r="I879" t="s">
        <v>17</v>
      </c>
      <c r="J879" s="1">
        <v>2181.62</v>
      </c>
      <c r="K879" s="1">
        <v>272.70249999999999</v>
      </c>
      <c r="L879">
        <v>8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83</v>
      </c>
      <c r="S879" s="5">
        <v>1</v>
      </c>
      <c r="T879" s="5">
        <v>3</v>
      </c>
      <c r="U879" s="5">
        <v>3</v>
      </c>
      <c r="V879" s="5">
        <v>7</v>
      </c>
    </row>
    <row r="880" spans="1:22" x14ac:dyDescent="0.35">
      <c r="A880">
        <v>879</v>
      </c>
      <c r="B880">
        <v>27</v>
      </c>
      <c r="C880" t="s">
        <v>73</v>
      </c>
      <c r="D880" t="s">
        <v>5</v>
      </c>
      <c r="E880" t="s">
        <v>8</v>
      </c>
      <c r="F880" t="s">
        <v>11</v>
      </c>
      <c r="G880">
        <v>0</v>
      </c>
      <c r="H880">
        <v>38</v>
      </c>
      <c r="I880" t="s">
        <v>18</v>
      </c>
      <c r="J880" s="1">
        <v>328.09</v>
      </c>
      <c r="K880" s="1">
        <v>328.09</v>
      </c>
      <c r="L880">
        <v>1</v>
      </c>
      <c r="M880">
        <v>1</v>
      </c>
      <c r="N880">
        <v>0</v>
      </c>
      <c r="O880">
        <v>0</v>
      </c>
      <c r="P880">
        <v>0</v>
      </c>
      <c r="Q880">
        <v>1</v>
      </c>
      <c r="R880">
        <v>18</v>
      </c>
      <c r="S880" s="5">
        <v>3</v>
      </c>
      <c r="T880" s="5">
        <v>1</v>
      </c>
      <c r="U880" s="5">
        <v>1</v>
      </c>
      <c r="V880" s="5">
        <v>5</v>
      </c>
    </row>
    <row r="881" spans="1:22" x14ac:dyDescent="0.35">
      <c r="A881">
        <v>880</v>
      </c>
      <c r="B881">
        <v>69</v>
      </c>
      <c r="C881" t="s">
        <v>72</v>
      </c>
      <c r="D881" t="s">
        <v>6</v>
      </c>
      <c r="E881" t="s">
        <v>9</v>
      </c>
      <c r="F881" t="s">
        <v>13</v>
      </c>
      <c r="G881">
        <v>0</v>
      </c>
      <c r="H881">
        <v>49</v>
      </c>
      <c r="I881" t="s">
        <v>18</v>
      </c>
      <c r="J881" s="1">
        <v>1311.23</v>
      </c>
      <c r="K881" s="1">
        <v>187.31857142857143</v>
      </c>
      <c r="L881">
        <v>7</v>
      </c>
      <c r="M881">
        <v>2</v>
      </c>
      <c r="N881">
        <v>0</v>
      </c>
      <c r="O881">
        <v>0</v>
      </c>
      <c r="P881">
        <v>0</v>
      </c>
      <c r="Q881">
        <v>1</v>
      </c>
      <c r="R881">
        <v>93</v>
      </c>
      <c r="S881" s="5">
        <v>1</v>
      </c>
      <c r="T881" s="5">
        <v>2</v>
      </c>
      <c r="U881" s="5">
        <v>2</v>
      </c>
      <c r="V881" s="5">
        <v>5</v>
      </c>
    </row>
    <row r="882" spans="1:22" x14ac:dyDescent="0.35">
      <c r="A882">
        <v>881</v>
      </c>
      <c r="B882">
        <v>26</v>
      </c>
      <c r="C882" t="s">
        <v>73</v>
      </c>
      <c r="D882" t="s">
        <v>6</v>
      </c>
      <c r="E882" t="s">
        <v>10</v>
      </c>
      <c r="F882" t="s">
        <v>11</v>
      </c>
      <c r="G882">
        <v>0</v>
      </c>
      <c r="H882">
        <v>49</v>
      </c>
      <c r="I882" t="s">
        <v>17</v>
      </c>
      <c r="J882" s="1">
        <v>189.28</v>
      </c>
      <c r="K882" s="1">
        <v>189.28</v>
      </c>
      <c r="L882">
        <v>1</v>
      </c>
      <c r="M882">
        <v>2</v>
      </c>
      <c r="N882">
        <v>1</v>
      </c>
      <c r="O882">
        <v>1</v>
      </c>
      <c r="P882">
        <v>1</v>
      </c>
      <c r="Q882">
        <v>0</v>
      </c>
      <c r="R882">
        <v>106</v>
      </c>
      <c r="S882" s="5">
        <v>1</v>
      </c>
      <c r="T882" s="5">
        <v>1</v>
      </c>
      <c r="U882" s="5">
        <v>1</v>
      </c>
      <c r="V882" s="5">
        <v>3</v>
      </c>
    </row>
    <row r="883" spans="1:22" x14ac:dyDescent="0.35">
      <c r="A883">
        <v>882</v>
      </c>
      <c r="B883">
        <v>23</v>
      </c>
      <c r="C883" t="s">
        <v>73</v>
      </c>
      <c r="D883" t="s">
        <v>5</v>
      </c>
      <c r="E883" t="s">
        <v>8</v>
      </c>
      <c r="F883" t="s">
        <v>12</v>
      </c>
      <c r="G883">
        <v>0</v>
      </c>
      <c r="H883">
        <v>45</v>
      </c>
      <c r="I883" t="s">
        <v>17</v>
      </c>
      <c r="J883" s="1">
        <v>745.26</v>
      </c>
      <c r="K883" s="1">
        <v>248.42</v>
      </c>
      <c r="L883">
        <v>3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49</v>
      </c>
      <c r="S883" s="5">
        <v>2</v>
      </c>
      <c r="T883" s="5">
        <v>2</v>
      </c>
      <c r="U883" s="5">
        <v>1</v>
      </c>
      <c r="V883" s="5">
        <v>5</v>
      </c>
    </row>
    <row r="884" spans="1:22" x14ac:dyDescent="0.35">
      <c r="A884">
        <v>883</v>
      </c>
      <c r="B884">
        <v>61</v>
      </c>
      <c r="C884" t="s">
        <v>72</v>
      </c>
      <c r="D884" t="s">
        <v>5</v>
      </c>
      <c r="E884" t="s">
        <v>7</v>
      </c>
      <c r="F884" t="s">
        <v>12</v>
      </c>
      <c r="G884">
        <v>0</v>
      </c>
      <c r="H884">
        <v>4</v>
      </c>
      <c r="I884" t="s">
        <v>17</v>
      </c>
      <c r="J884" s="1">
        <v>776.71</v>
      </c>
      <c r="K884" s="1">
        <v>110.95857142857143</v>
      </c>
      <c r="L884">
        <v>7</v>
      </c>
      <c r="M884">
        <v>2</v>
      </c>
      <c r="N884">
        <v>1</v>
      </c>
      <c r="O884">
        <v>1</v>
      </c>
      <c r="P884">
        <v>1</v>
      </c>
      <c r="Q884">
        <v>0</v>
      </c>
      <c r="R884">
        <v>71</v>
      </c>
      <c r="S884" s="5">
        <v>2</v>
      </c>
      <c r="T884" s="5">
        <v>2</v>
      </c>
      <c r="U884" s="5">
        <v>1</v>
      </c>
      <c r="V884" s="5">
        <v>5</v>
      </c>
    </row>
    <row r="885" spans="1:22" x14ac:dyDescent="0.35">
      <c r="A885">
        <v>884</v>
      </c>
      <c r="B885">
        <v>19</v>
      </c>
      <c r="C885" t="s">
        <v>73</v>
      </c>
      <c r="D885" t="s">
        <v>5</v>
      </c>
      <c r="E885" t="s">
        <v>9</v>
      </c>
      <c r="F885" t="s">
        <v>13</v>
      </c>
      <c r="G885">
        <v>0</v>
      </c>
      <c r="H885">
        <v>8</v>
      </c>
      <c r="I885" t="s">
        <v>18</v>
      </c>
      <c r="J885" s="1">
        <v>2069.0300000000002</v>
      </c>
      <c r="K885" s="1">
        <v>229.89222222222224</v>
      </c>
      <c r="L885">
        <v>9</v>
      </c>
      <c r="M885">
        <v>1</v>
      </c>
      <c r="N885">
        <v>1</v>
      </c>
      <c r="O885">
        <v>0</v>
      </c>
      <c r="P885">
        <v>0</v>
      </c>
      <c r="Q885">
        <v>1</v>
      </c>
      <c r="R885">
        <v>25</v>
      </c>
      <c r="S885" s="5">
        <v>3</v>
      </c>
      <c r="T885" s="5">
        <v>3</v>
      </c>
      <c r="U885" s="5">
        <v>3</v>
      </c>
      <c r="V885" s="5">
        <v>9</v>
      </c>
    </row>
    <row r="886" spans="1:22" x14ac:dyDescent="0.35">
      <c r="A886">
        <v>885</v>
      </c>
      <c r="B886">
        <v>61</v>
      </c>
      <c r="C886" t="s">
        <v>72</v>
      </c>
      <c r="D886" t="s">
        <v>6</v>
      </c>
      <c r="E886" t="s">
        <v>9</v>
      </c>
      <c r="F886" t="s">
        <v>13</v>
      </c>
      <c r="G886">
        <v>0</v>
      </c>
      <c r="H886">
        <v>43</v>
      </c>
      <c r="I886" t="s">
        <v>16</v>
      </c>
      <c r="J886" s="1">
        <v>2431.0299999999997</v>
      </c>
      <c r="K886" s="1">
        <v>270.11444444444442</v>
      </c>
      <c r="L886">
        <v>9</v>
      </c>
      <c r="M886">
        <v>2</v>
      </c>
      <c r="N886">
        <v>1</v>
      </c>
      <c r="O886">
        <v>0</v>
      </c>
      <c r="P886">
        <v>0</v>
      </c>
      <c r="Q886">
        <v>1</v>
      </c>
      <c r="R886">
        <v>63</v>
      </c>
      <c r="S886" s="5">
        <v>2</v>
      </c>
      <c r="T886" s="5">
        <v>3</v>
      </c>
      <c r="U886" s="5">
        <v>3</v>
      </c>
      <c r="V886" s="5">
        <v>8</v>
      </c>
    </row>
    <row r="887" spans="1:22" x14ac:dyDescent="0.35">
      <c r="A887">
        <v>886</v>
      </c>
      <c r="B887">
        <v>33</v>
      </c>
      <c r="C887" t="s">
        <v>75</v>
      </c>
      <c r="D887" t="s">
        <v>6</v>
      </c>
      <c r="E887" t="s">
        <v>10</v>
      </c>
      <c r="F887" t="s">
        <v>11</v>
      </c>
      <c r="G887">
        <v>0</v>
      </c>
      <c r="H887">
        <v>7</v>
      </c>
      <c r="I887" t="s">
        <v>16</v>
      </c>
      <c r="J887" s="1">
        <v>2197.83</v>
      </c>
      <c r="K887" s="1">
        <v>313.97571428571428</v>
      </c>
      <c r="L887">
        <v>7</v>
      </c>
      <c r="M887">
        <v>1</v>
      </c>
      <c r="N887">
        <v>0</v>
      </c>
      <c r="O887">
        <v>1</v>
      </c>
      <c r="P887">
        <v>0</v>
      </c>
      <c r="Q887">
        <v>0</v>
      </c>
      <c r="R887">
        <v>52</v>
      </c>
      <c r="S887" s="5">
        <v>2</v>
      </c>
      <c r="T887" s="5">
        <v>2</v>
      </c>
      <c r="U887" s="5">
        <v>3</v>
      </c>
      <c r="V887" s="5">
        <v>7</v>
      </c>
    </row>
    <row r="888" spans="1:22" x14ac:dyDescent="0.35">
      <c r="A888">
        <v>887</v>
      </c>
      <c r="B888">
        <v>30</v>
      </c>
      <c r="C888" t="s">
        <v>73</v>
      </c>
      <c r="D888" t="s">
        <v>6</v>
      </c>
      <c r="E888" t="s">
        <v>8</v>
      </c>
      <c r="F888" t="s">
        <v>12</v>
      </c>
      <c r="G888">
        <v>0</v>
      </c>
      <c r="H888">
        <v>3</v>
      </c>
      <c r="I888" t="s">
        <v>17</v>
      </c>
      <c r="J888" s="1">
        <v>812.28</v>
      </c>
      <c r="K888" s="1">
        <v>203.07</v>
      </c>
      <c r="L888">
        <v>4</v>
      </c>
      <c r="M888">
        <v>2</v>
      </c>
      <c r="N888">
        <v>1</v>
      </c>
      <c r="O888">
        <v>1</v>
      </c>
      <c r="P888">
        <v>0</v>
      </c>
      <c r="Q888">
        <v>1</v>
      </c>
      <c r="R888">
        <v>147</v>
      </c>
      <c r="S888" s="5">
        <v>1</v>
      </c>
      <c r="T888" s="5">
        <v>2</v>
      </c>
      <c r="U888" s="5">
        <v>1</v>
      </c>
      <c r="V888" s="5">
        <v>4</v>
      </c>
    </row>
    <row r="889" spans="1:22" x14ac:dyDescent="0.35">
      <c r="A889">
        <v>888</v>
      </c>
      <c r="B889">
        <v>65</v>
      </c>
      <c r="C889" t="s">
        <v>72</v>
      </c>
      <c r="D889" t="s">
        <v>5</v>
      </c>
      <c r="E889" t="s">
        <v>7</v>
      </c>
      <c r="F889" t="s">
        <v>12</v>
      </c>
      <c r="G889">
        <v>0</v>
      </c>
      <c r="H889">
        <v>1</v>
      </c>
      <c r="I889" t="s">
        <v>18</v>
      </c>
      <c r="J889" s="1">
        <v>436.94000000000005</v>
      </c>
      <c r="K889" s="1">
        <v>145.64666666666668</v>
      </c>
      <c r="L889">
        <v>3</v>
      </c>
      <c r="M889">
        <v>1</v>
      </c>
      <c r="N889">
        <v>1</v>
      </c>
      <c r="O889">
        <v>0</v>
      </c>
      <c r="P889">
        <v>1</v>
      </c>
      <c r="Q889">
        <v>0</v>
      </c>
      <c r="R889">
        <v>40</v>
      </c>
      <c r="S889" s="5">
        <v>2</v>
      </c>
      <c r="T889" s="5">
        <v>2</v>
      </c>
      <c r="U889" s="5">
        <v>1</v>
      </c>
      <c r="V889" s="5">
        <v>5</v>
      </c>
    </row>
    <row r="890" spans="1:22" x14ac:dyDescent="0.35">
      <c r="A890">
        <v>889</v>
      </c>
      <c r="B890">
        <v>30</v>
      </c>
      <c r="C890" t="s">
        <v>73</v>
      </c>
      <c r="D890" t="s">
        <v>5</v>
      </c>
      <c r="E890" t="s">
        <v>8</v>
      </c>
      <c r="F890" t="s">
        <v>13</v>
      </c>
      <c r="G890">
        <v>0</v>
      </c>
      <c r="H890">
        <v>4</v>
      </c>
      <c r="I890" t="s">
        <v>16</v>
      </c>
      <c r="J890" s="1">
        <v>306.88</v>
      </c>
      <c r="K890" s="1">
        <v>76.72</v>
      </c>
      <c r="L890">
        <v>4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58</v>
      </c>
      <c r="S890" s="5">
        <v>2</v>
      </c>
      <c r="T890" s="5">
        <v>2</v>
      </c>
      <c r="U890" s="5">
        <v>1</v>
      </c>
      <c r="V890" s="5">
        <v>5</v>
      </c>
    </row>
    <row r="891" spans="1:22" x14ac:dyDescent="0.35">
      <c r="A891">
        <v>890</v>
      </c>
      <c r="B891">
        <v>39</v>
      </c>
      <c r="C891" t="s">
        <v>75</v>
      </c>
      <c r="D891" t="s">
        <v>5</v>
      </c>
      <c r="E891" t="s">
        <v>7</v>
      </c>
      <c r="F891" t="s">
        <v>12</v>
      </c>
      <c r="G891">
        <v>0</v>
      </c>
      <c r="H891">
        <v>1</v>
      </c>
      <c r="I891" t="s">
        <v>16</v>
      </c>
      <c r="J891" s="1">
        <v>369.47</v>
      </c>
      <c r="K891" s="1">
        <v>184.73500000000001</v>
      </c>
      <c r="L891">
        <v>2</v>
      </c>
      <c r="M891">
        <v>2</v>
      </c>
      <c r="N891">
        <v>0</v>
      </c>
      <c r="O891">
        <v>0</v>
      </c>
      <c r="P891">
        <v>1</v>
      </c>
      <c r="Q891">
        <v>1</v>
      </c>
      <c r="R891">
        <v>173</v>
      </c>
      <c r="S891" s="5">
        <v>1</v>
      </c>
      <c r="T891" s="5">
        <v>1</v>
      </c>
      <c r="U891" s="5">
        <v>1</v>
      </c>
      <c r="V891" s="5">
        <v>3</v>
      </c>
    </row>
    <row r="892" spans="1:22" x14ac:dyDescent="0.35">
      <c r="A892">
        <v>891</v>
      </c>
      <c r="B892">
        <v>36</v>
      </c>
      <c r="C892" t="s">
        <v>75</v>
      </c>
      <c r="D892" t="s">
        <v>6</v>
      </c>
      <c r="E892" t="s">
        <v>10</v>
      </c>
      <c r="F892" t="s">
        <v>12</v>
      </c>
      <c r="G892">
        <v>0</v>
      </c>
      <c r="H892">
        <v>46</v>
      </c>
      <c r="I892" t="s">
        <v>17</v>
      </c>
      <c r="J892" s="1">
        <v>1602.1699999999998</v>
      </c>
      <c r="K892" s="1">
        <v>320.43399999999997</v>
      </c>
      <c r="L892">
        <v>5</v>
      </c>
      <c r="M892">
        <v>2</v>
      </c>
      <c r="N892">
        <v>1</v>
      </c>
      <c r="O892">
        <v>0</v>
      </c>
      <c r="P892">
        <v>1</v>
      </c>
      <c r="Q892">
        <v>1</v>
      </c>
      <c r="R892">
        <v>4</v>
      </c>
      <c r="S892" s="5">
        <v>3</v>
      </c>
      <c r="T892" s="5">
        <v>2</v>
      </c>
      <c r="U892" s="5">
        <v>3</v>
      </c>
      <c r="V892" s="5">
        <v>8</v>
      </c>
    </row>
    <row r="893" spans="1:22" x14ac:dyDescent="0.35">
      <c r="A893">
        <v>892</v>
      </c>
      <c r="B893">
        <v>43</v>
      </c>
      <c r="C893" t="s">
        <v>75</v>
      </c>
      <c r="D893" t="s">
        <v>6</v>
      </c>
      <c r="E893" t="s">
        <v>9</v>
      </c>
      <c r="F893" t="s">
        <v>12</v>
      </c>
      <c r="G893">
        <v>0</v>
      </c>
      <c r="H893">
        <v>42</v>
      </c>
      <c r="I893" t="s">
        <v>16</v>
      </c>
      <c r="J893" s="1">
        <v>183.21</v>
      </c>
      <c r="K893" s="1">
        <v>183.21</v>
      </c>
      <c r="L893">
        <v>1</v>
      </c>
      <c r="M893">
        <v>1</v>
      </c>
      <c r="N893">
        <v>1</v>
      </c>
      <c r="O893">
        <v>0</v>
      </c>
      <c r="P893">
        <v>0</v>
      </c>
      <c r="Q893">
        <v>1</v>
      </c>
      <c r="R893">
        <v>88</v>
      </c>
      <c r="S893" s="5">
        <v>1</v>
      </c>
      <c r="T893" s="5">
        <v>1</v>
      </c>
      <c r="U893" s="5">
        <v>1</v>
      </c>
      <c r="V893" s="5">
        <v>3</v>
      </c>
    </row>
    <row r="894" spans="1:22" x14ac:dyDescent="0.35">
      <c r="A894">
        <v>893</v>
      </c>
      <c r="B894">
        <v>31</v>
      </c>
      <c r="C894" t="s">
        <v>75</v>
      </c>
      <c r="D894" t="s">
        <v>5</v>
      </c>
      <c r="E894" t="s">
        <v>10</v>
      </c>
      <c r="F894" t="s">
        <v>11</v>
      </c>
      <c r="G894">
        <v>0</v>
      </c>
      <c r="H894">
        <v>38</v>
      </c>
      <c r="I894" t="s">
        <v>16</v>
      </c>
      <c r="J894" s="1">
        <v>3026.91</v>
      </c>
      <c r="K894" s="1">
        <v>336.32333333333332</v>
      </c>
      <c r="L894">
        <v>9</v>
      </c>
      <c r="M894">
        <v>2</v>
      </c>
      <c r="N894">
        <v>1</v>
      </c>
      <c r="O894">
        <v>1</v>
      </c>
      <c r="P894">
        <v>1</v>
      </c>
      <c r="Q894">
        <v>0</v>
      </c>
      <c r="R894">
        <v>94</v>
      </c>
      <c r="S894" s="5">
        <v>1</v>
      </c>
      <c r="T894" s="5">
        <v>3</v>
      </c>
      <c r="U894" s="5">
        <v>3</v>
      </c>
      <c r="V894" s="5">
        <v>7</v>
      </c>
    </row>
    <row r="895" spans="1:22" x14ac:dyDescent="0.35">
      <c r="A895">
        <v>894</v>
      </c>
      <c r="B895">
        <v>48</v>
      </c>
      <c r="C895" t="s">
        <v>74</v>
      </c>
      <c r="D895" t="s">
        <v>5</v>
      </c>
      <c r="E895" t="s">
        <v>9</v>
      </c>
      <c r="F895" t="s">
        <v>11</v>
      </c>
      <c r="G895">
        <v>0</v>
      </c>
      <c r="H895">
        <v>37</v>
      </c>
      <c r="I895" t="s">
        <v>16</v>
      </c>
      <c r="J895" s="1">
        <v>983.26</v>
      </c>
      <c r="K895" s="1">
        <v>327.75333333333333</v>
      </c>
      <c r="L895">
        <v>3</v>
      </c>
      <c r="M895">
        <v>2</v>
      </c>
      <c r="N895">
        <v>1</v>
      </c>
      <c r="O895">
        <v>0</v>
      </c>
      <c r="P895">
        <v>0</v>
      </c>
      <c r="Q895">
        <v>1</v>
      </c>
      <c r="R895">
        <v>53</v>
      </c>
      <c r="S895" s="5">
        <v>2</v>
      </c>
      <c r="T895" s="5">
        <v>2</v>
      </c>
      <c r="U895" s="5">
        <v>2</v>
      </c>
      <c r="V895" s="5">
        <v>6</v>
      </c>
    </row>
    <row r="896" spans="1:22" x14ac:dyDescent="0.35">
      <c r="A896">
        <v>895</v>
      </c>
      <c r="B896">
        <v>46</v>
      </c>
      <c r="C896" t="s">
        <v>74</v>
      </c>
      <c r="D896" t="s">
        <v>6</v>
      </c>
      <c r="E896" t="s">
        <v>8</v>
      </c>
      <c r="F896" t="s">
        <v>11</v>
      </c>
      <c r="G896">
        <v>0</v>
      </c>
      <c r="H896">
        <v>12</v>
      </c>
      <c r="I896" t="s">
        <v>16</v>
      </c>
      <c r="J896" s="1">
        <v>1649.0800000000002</v>
      </c>
      <c r="K896" s="1">
        <v>235.58285714285716</v>
      </c>
      <c r="L896">
        <v>7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91</v>
      </c>
      <c r="S896" s="5">
        <v>1</v>
      </c>
      <c r="T896" s="5">
        <v>2</v>
      </c>
      <c r="U896" s="5">
        <v>3</v>
      </c>
      <c r="V896" s="5">
        <v>6</v>
      </c>
    </row>
    <row r="897" spans="1:22" x14ac:dyDescent="0.35">
      <c r="A897">
        <v>896</v>
      </c>
      <c r="B897">
        <v>62</v>
      </c>
      <c r="C897" t="s">
        <v>72</v>
      </c>
      <c r="D897" t="s">
        <v>6</v>
      </c>
      <c r="E897" t="s">
        <v>9</v>
      </c>
      <c r="F897" t="s">
        <v>12</v>
      </c>
      <c r="G897">
        <v>0</v>
      </c>
      <c r="H897">
        <v>42</v>
      </c>
      <c r="I897" t="s">
        <v>18</v>
      </c>
      <c r="J897" s="1">
        <v>1403.03</v>
      </c>
      <c r="K897" s="1">
        <v>175.37875</v>
      </c>
      <c r="L897">
        <v>8</v>
      </c>
      <c r="M897">
        <v>1</v>
      </c>
      <c r="N897">
        <v>0</v>
      </c>
      <c r="O897">
        <v>0</v>
      </c>
      <c r="P897">
        <v>0</v>
      </c>
      <c r="Q897">
        <v>1</v>
      </c>
      <c r="R897">
        <v>73</v>
      </c>
      <c r="S897" s="5">
        <v>2</v>
      </c>
      <c r="T897" s="5">
        <v>3</v>
      </c>
      <c r="U897" s="5">
        <v>2</v>
      </c>
      <c r="V897" s="5">
        <v>7</v>
      </c>
    </row>
    <row r="898" spans="1:22" x14ac:dyDescent="0.35">
      <c r="A898">
        <v>897</v>
      </c>
      <c r="B898">
        <v>59</v>
      </c>
      <c r="C898" t="s">
        <v>74</v>
      </c>
      <c r="D898" t="s">
        <v>6</v>
      </c>
      <c r="E898" t="s">
        <v>7</v>
      </c>
      <c r="F898" t="s">
        <v>13</v>
      </c>
      <c r="G898">
        <v>0</v>
      </c>
      <c r="H898">
        <v>10</v>
      </c>
      <c r="I898" t="s">
        <v>16</v>
      </c>
      <c r="J898" s="1">
        <v>2125.2799999999997</v>
      </c>
      <c r="K898" s="1">
        <v>265.65999999999997</v>
      </c>
      <c r="L898">
        <v>8</v>
      </c>
      <c r="M898">
        <v>2</v>
      </c>
      <c r="N898">
        <v>1</v>
      </c>
      <c r="O898">
        <v>1</v>
      </c>
      <c r="P898">
        <v>1</v>
      </c>
      <c r="Q898">
        <v>0</v>
      </c>
      <c r="R898">
        <v>72</v>
      </c>
      <c r="S898" s="5">
        <v>2</v>
      </c>
      <c r="T898" s="5">
        <v>3</v>
      </c>
      <c r="U898" s="5">
        <v>3</v>
      </c>
      <c r="V898" s="5">
        <v>8</v>
      </c>
    </row>
    <row r="899" spans="1:22" x14ac:dyDescent="0.35">
      <c r="A899">
        <v>898</v>
      </c>
      <c r="B899">
        <v>39</v>
      </c>
      <c r="C899" t="s">
        <v>75</v>
      </c>
      <c r="D899" t="s">
        <v>5</v>
      </c>
      <c r="E899" t="s">
        <v>10</v>
      </c>
      <c r="F899" t="s">
        <v>13</v>
      </c>
      <c r="G899">
        <v>0</v>
      </c>
      <c r="H899">
        <v>47</v>
      </c>
      <c r="I899" t="s">
        <v>18</v>
      </c>
      <c r="J899" s="1">
        <v>2793.9999999999995</v>
      </c>
      <c r="K899" s="1">
        <v>310.4444444444444</v>
      </c>
      <c r="L899">
        <v>9</v>
      </c>
      <c r="M899">
        <v>1</v>
      </c>
      <c r="N899">
        <v>1</v>
      </c>
      <c r="O899">
        <v>0</v>
      </c>
      <c r="P899">
        <v>0</v>
      </c>
      <c r="Q899">
        <v>1</v>
      </c>
      <c r="R899">
        <v>70</v>
      </c>
      <c r="S899" s="5">
        <v>2</v>
      </c>
      <c r="T899" s="5">
        <v>3</v>
      </c>
      <c r="U899" s="5">
        <v>3</v>
      </c>
      <c r="V899" s="5">
        <v>8</v>
      </c>
    </row>
    <row r="900" spans="1:22" x14ac:dyDescent="0.35">
      <c r="A900">
        <v>899</v>
      </c>
      <c r="B900">
        <v>24</v>
      </c>
      <c r="C900" t="s">
        <v>73</v>
      </c>
      <c r="D900" t="s">
        <v>5</v>
      </c>
      <c r="E900" t="s">
        <v>9</v>
      </c>
      <c r="F900" t="s">
        <v>13</v>
      </c>
      <c r="G900">
        <v>1</v>
      </c>
      <c r="H900">
        <v>1</v>
      </c>
      <c r="I900" t="s">
        <v>17</v>
      </c>
      <c r="J900" s="1">
        <v>38.78</v>
      </c>
      <c r="K900" s="1">
        <v>38.78</v>
      </c>
      <c r="L900">
        <v>1</v>
      </c>
      <c r="M900">
        <v>1</v>
      </c>
      <c r="N900">
        <v>1</v>
      </c>
      <c r="O900">
        <v>0</v>
      </c>
      <c r="P900">
        <v>0</v>
      </c>
      <c r="Q900">
        <v>1</v>
      </c>
      <c r="R900">
        <v>154</v>
      </c>
      <c r="S900" s="5">
        <v>1</v>
      </c>
      <c r="T900" s="5">
        <v>1</v>
      </c>
      <c r="U900" s="5">
        <v>1</v>
      </c>
      <c r="V900" s="5">
        <v>3</v>
      </c>
    </row>
    <row r="901" spans="1:22" x14ac:dyDescent="0.35">
      <c r="A901">
        <v>900</v>
      </c>
      <c r="B901">
        <v>54</v>
      </c>
      <c r="C901" t="s">
        <v>74</v>
      </c>
      <c r="D901" t="s">
        <v>6</v>
      </c>
      <c r="E901" t="s">
        <v>9</v>
      </c>
      <c r="F901" t="s">
        <v>11</v>
      </c>
      <c r="G901">
        <v>0</v>
      </c>
      <c r="H901">
        <v>2</v>
      </c>
      <c r="I901" t="s">
        <v>18</v>
      </c>
      <c r="J901" s="1">
        <v>353.54</v>
      </c>
      <c r="K901" s="1">
        <v>117.84666666666668</v>
      </c>
      <c r="L901">
        <v>3</v>
      </c>
      <c r="M901">
        <v>1</v>
      </c>
      <c r="N901">
        <v>0</v>
      </c>
      <c r="O901">
        <v>0</v>
      </c>
      <c r="P901">
        <v>1</v>
      </c>
      <c r="Q901">
        <v>0</v>
      </c>
      <c r="R901">
        <v>5</v>
      </c>
      <c r="S901" s="5">
        <v>3</v>
      </c>
      <c r="T901" s="5">
        <v>2</v>
      </c>
      <c r="U901" s="5">
        <v>1</v>
      </c>
      <c r="V901" s="5">
        <v>6</v>
      </c>
    </row>
    <row r="902" spans="1:22" x14ac:dyDescent="0.35">
      <c r="A902">
        <v>901</v>
      </c>
      <c r="B902">
        <v>66</v>
      </c>
      <c r="C902" t="s">
        <v>72</v>
      </c>
      <c r="D902" t="s">
        <v>5</v>
      </c>
      <c r="E902" t="s">
        <v>8</v>
      </c>
      <c r="F902" t="s">
        <v>12</v>
      </c>
      <c r="G902">
        <v>0</v>
      </c>
      <c r="H902">
        <v>12</v>
      </c>
      <c r="I902" t="s">
        <v>17</v>
      </c>
      <c r="J902" s="1">
        <v>517.94000000000005</v>
      </c>
      <c r="K902" s="1">
        <v>258.97000000000003</v>
      </c>
      <c r="L902">
        <v>2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166</v>
      </c>
      <c r="S902" s="5">
        <v>1</v>
      </c>
      <c r="T902" s="5">
        <v>1</v>
      </c>
      <c r="U902" s="5">
        <v>1</v>
      </c>
      <c r="V902" s="5">
        <v>3</v>
      </c>
    </row>
    <row r="903" spans="1:22" x14ac:dyDescent="0.35">
      <c r="A903">
        <v>902</v>
      </c>
      <c r="B903">
        <v>58</v>
      </c>
      <c r="C903" t="s">
        <v>74</v>
      </c>
      <c r="D903" t="s">
        <v>6</v>
      </c>
      <c r="E903" t="s">
        <v>8</v>
      </c>
      <c r="F903" t="s">
        <v>11</v>
      </c>
      <c r="G903">
        <v>0</v>
      </c>
      <c r="H903">
        <v>39</v>
      </c>
      <c r="I903" t="s">
        <v>18</v>
      </c>
      <c r="J903" s="1">
        <v>1040.2</v>
      </c>
      <c r="K903" s="1">
        <v>148.6</v>
      </c>
      <c r="L903">
        <v>7</v>
      </c>
      <c r="M903">
        <v>2</v>
      </c>
      <c r="N903">
        <v>1</v>
      </c>
      <c r="O903">
        <v>0</v>
      </c>
      <c r="P903">
        <v>0</v>
      </c>
      <c r="Q903">
        <v>1</v>
      </c>
      <c r="R903">
        <v>20</v>
      </c>
      <c r="S903" s="5">
        <v>3</v>
      </c>
      <c r="T903" s="5">
        <v>2</v>
      </c>
      <c r="U903" s="5">
        <v>2</v>
      </c>
      <c r="V903" s="5">
        <v>7</v>
      </c>
    </row>
    <row r="904" spans="1:22" x14ac:dyDescent="0.35">
      <c r="A904">
        <v>903</v>
      </c>
      <c r="B904">
        <v>44</v>
      </c>
      <c r="C904" t="s">
        <v>75</v>
      </c>
      <c r="D904" t="s">
        <v>5</v>
      </c>
      <c r="E904" t="s">
        <v>8</v>
      </c>
      <c r="F904" t="s">
        <v>11</v>
      </c>
      <c r="G904">
        <v>1</v>
      </c>
      <c r="H904">
        <v>48</v>
      </c>
      <c r="I904" t="s">
        <v>16</v>
      </c>
      <c r="J904" s="1">
        <v>762.77999999999986</v>
      </c>
      <c r="K904" s="1">
        <v>190.69499999999996</v>
      </c>
      <c r="L904">
        <v>4</v>
      </c>
      <c r="M904">
        <v>1</v>
      </c>
      <c r="N904">
        <v>0</v>
      </c>
      <c r="O904">
        <v>1</v>
      </c>
      <c r="P904">
        <v>0</v>
      </c>
      <c r="Q904">
        <v>0</v>
      </c>
      <c r="R904">
        <v>156</v>
      </c>
      <c r="S904" s="5">
        <v>1</v>
      </c>
      <c r="T904" s="5">
        <v>2</v>
      </c>
      <c r="U904" s="5">
        <v>1</v>
      </c>
      <c r="V904" s="5">
        <v>4</v>
      </c>
    </row>
    <row r="905" spans="1:22" x14ac:dyDescent="0.35">
      <c r="A905">
        <v>904</v>
      </c>
      <c r="B905">
        <v>48</v>
      </c>
      <c r="C905" t="s">
        <v>74</v>
      </c>
      <c r="D905" t="s">
        <v>5</v>
      </c>
      <c r="E905" t="s">
        <v>7</v>
      </c>
      <c r="F905" t="s">
        <v>13</v>
      </c>
      <c r="G905">
        <v>0</v>
      </c>
      <c r="H905">
        <v>36</v>
      </c>
      <c r="I905" t="s">
        <v>16</v>
      </c>
      <c r="J905" s="1">
        <v>1684.3899999999999</v>
      </c>
      <c r="K905" s="1">
        <v>240.62714285714284</v>
      </c>
      <c r="L905">
        <v>7</v>
      </c>
      <c r="M905">
        <v>1</v>
      </c>
      <c r="N905">
        <v>0</v>
      </c>
      <c r="O905">
        <v>1</v>
      </c>
      <c r="P905">
        <v>0</v>
      </c>
      <c r="Q905">
        <v>0</v>
      </c>
      <c r="R905">
        <v>16</v>
      </c>
      <c r="S905" s="5">
        <v>3</v>
      </c>
      <c r="T905" s="5">
        <v>2</v>
      </c>
      <c r="U905" s="5">
        <v>3</v>
      </c>
      <c r="V905" s="5">
        <v>8</v>
      </c>
    </row>
    <row r="906" spans="1:22" x14ac:dyDescent="0.35">
      <c r="A906">
        <v>905</v>
      </c>
      <c r="B906">
        <v>23</v>
      </c>
      <c r="C906" t="s">
        <v>73</v>
      </c>
      <c r="D906" t="s">
        <v>5</v>
      </c>
      <c r="E906" t="s">
        <v>8</v>
      </c>
      <c r="F906" t="s">
        <v>13</v>
      </c>
      <c r="G906">
        <v>0</v>
      </c>
      <c r="H906">
        <v>7</v>
      </c>
      <c r="I906" t="s">
        <v>18</v>
      </c>
      <c r="J906" s="1">
        <v>1222.55</v>
      </c>
      <c r="K906" s="1">
        <v>152.81874999999999</v>
      </c>
      <c r="L906">
        <v>8</v>
      </c>
      <c r="M906">
        <v>1</v>
      </c>
      <c r="N906">
        <v>1</v>
      </c>
      <c r="O906">
        <v>0</v>
      </c>
      <c r="P906">
        <v>1</v>
      </c>
      <c r="Q906">
        <v>0</v>
      </c>
      <c r="R906">
        <v>66</v>
      </c>
      <c r="S906" s="5">
        <v>2</v>
      </c>
      <c r="T906" s="5">
        <v>3</v>
      </c>
      <c r="U906" s="5">
        <v>2</v>
      </c>
      <c r="V906" s="5">
        <v>7</v>
      </c>
    </row>
    <row r="907" spans="1:22" x14ac:dyDescent="0.35">
      <c r="A907">
        <v>906</v>
      </c>
      <c r="B907">
        <v>33</v>
      </c>
      <c r="C907" t="s">
        <v>75</v>
      </c>
      <c r="D907" t="s">
        <v>6</v>
      </c>
      <c r="E907" t="s">
        <v>9</v>
      </c>
      <c r="F907" t="s">
        <v>12</v>
      </c>
      <c r="G907">
        <v>1</v>
      </c>
      <c r="H907">
        <v>38</v>
      </c>
      <c r="I907" t="s">
        <v>17</v>
      </c>
      <c r="J907" s="1">
        <v>1235.8</v>
      </c>
      <c r="K907" s="1">
        <v>247.16</v>
      </c>
      <c r="L907">
        <v>5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2</v>
      </c>
      <c r="S907" s="5">
        <v>3</v>
      </c>
      <c r="T907" s="5">
        <v>2</v>
      </c>
      <c r="U907" s="5">
        <v>2</v>
      </c>
      <c r="V907" s="5">
        <v>7</v>
      </c>
    </row>
    <row r="908" spans="1:22" x14ac:dyDescent="0.35">
      <c r="A908">
        <v>907</v>
      </c>
      <c r="B908">
        <v>55</v>
      </c>
      <c r="C908" t="s">
        <v>74</v>
      </c>
      <c r="D908" t="s">
        <v>5</v>
      </c>
      <c r="E908" t="s">
        <v>7</v>
      </c>
      <c r="F908" t="s">
        <v>11</v>
      </c>
      <c r="G908">
        <v>0</v>
      </c>
      <c r="H908">
        <v>25</v>
      </c>
      <c r="I908" t="s">
        <v>17</v>
      </c>
      <c r="J908" s="1">
        <v>54.82</v>
      </c>
      <c r="K908" s="1">
        <v>54.82</v>
      </c>
      <c r="L908">
        <v>1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77</v>
      </c>
      <c r="S908" s="5">
        <v>2</v>
      </c>
      <c r="T908" s="5">
        <v>1</v>
      </c>
      <c r="U908" s="5">
        <v>1</v>
      </c>
      <c r="V908" s="5">
        <v>4</v>
      </c>
    </row>
    <row r="909" spans="1:22" x14ac:dyDescent="0.35">
      <c r="A909">
        <v>908</v>
      </c>
      <c r="B909">
        <v>55</v>
      </c>
      <c r="C909" t="s">
        <v>74</v>
      </c>
      <c r="D909" t="s">
        <v>6</v>
      </c>
      <c r="E909" t="s">
        <v>8</v>
      </c>
      <c r="F909" t="s">
        <v>12</v>
      </c>
      <c r="G909">
        <v>0</v>
      </c>
      <c r="H909">
        <v>3</v>
      </c>
      <c r="I909" t="s">
        <v>17</v>
      </c>
      <c r="J909" s="1">
        <v>1865.0900000000001</v>
      </c>
      <c r="K909" s="1">
        <v>207.23222222222225</v>
      </c>
      <c r="L909">
        <v>9</v>
      </c>
      <c r="M909">
        <v>2</v>
      </c>
      <c r="N909">
        <v>1</v>
      </c>
      <c r="O909">
        <v>1</v>
      </c>
      <c r="P909">
        <v>1</v>
      </c>
      <c r="Q909">
        <v>0</v>
      </c>
      <c r="R909">
        <v>36</v>
      </c>
      <c r="S909" s="5">
        <v>2</v>
      </c>
      <c r="T909" s="5">
        <v>3</v>
      </c>
      <c r="U909" s="5">
        <v>3</v>
      </c>
      <c r="V909" s="5">
        <v>8</v>
      </c>
    </row>
    <row r="910" spans="1:22" x14ac:dyDescent="0.35">
      <c r="A910">
        <v>909</v>
      </c>
      <c r="B910">
        <v>67</v>
      </c>
      <c r="C910" t="s">
        <v>72</v>
      </c>
      <c r="D910" t="s">
        <v>5</v>
      </c>
      <c r="E910" t="s">
        <v>9</v>
      </c>
      <c r="F910" t="s">
        <v>11</v>
      </c>
      <c r="G910">
        <v>0</v>
      </c>
      <c r="H910">
        <v>27</v>
      </c>
      <c r="I910" t="s">
        <v>18</v>
      </c>
      <c r="J910" s="1">
        <v>718.24</v>
      </c>
      <c r="K910" s="1">
        <v>239.41333333333333</v>
      </c>
      <c r="L910">
        <v>3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79</v>
      </c>
      <c r="S910" s="5">
        <v>2</v>
      </c>
      <c r="T910" s="5">
        <v>2</v>
      </c>
      <c r="U910" s="5">
        <v>1</v>
      </c>
      <c r="V910" s="5">
        <v>5</v>
      </c>
    </row>
    <row r="911" spans="1:22" x14ac:dyDescent="0.35">
      <c r="A911">
        <v>910</v>
      </c>
      <c r="B911">
        <v>49</v>
      </c>
      <c r="C911" t="s">
        <v>74</v>
      </c>
      <c r="D911" t="s">
        <v>6</v>
      </c>
      <c r="E911" t="s">
        <v>7</v>
      </c>
      <c r="F911" t="s">
        <v>12</v>
      </c>
      <c r="G911">
        <v>0</v>
      </c>
      <c r="H911">
        <v>24</v>
      </c>
      <c r="I911" t="s">
        <v>18</v>
      </c>
      <c r="J911" s="1">
        <v>797.13999999999987</v>
      </c>
      <c r="K911" s="1">
        <v>199.28499999999997</v>
      </c>
      <c r="L911">
        <v>4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46</v>
      </c>
      <c r="S911" s="5">
        <v>2</v>
      </c>
      <c r="T911" s="5">
        <v>2</v>
      </c>
      <c r="U911" s="5">
        <v>1</v>
      </c>
      <c r="V911" s="5">
        <v>5</v>
      </c>
    </row>
    <row r="912" spans="1:22" x14ac:dyDescent="0.35">
      <c r="A912">
        <v>911</v>
      </c>
      <c r="B912">
        <v>50</v>
      </c>
      <c r="C912" t="s">
        <v>74</v>
      </c>
      <c r="D912" t="s">
        <v>6</v>
      </c>
      <c r="E912" t="s">
        <v>9</v>
      </c>
      <c r="F912" t="s">
        <v>11</v>
      </c>
      <c r="G912">
        <v>0</v>
      </c>
      <c r="H912">
        <v>27</v>
      </c>
      <c r="I912" t="s">
        <v>16</v>
      </c>
      <c r="J912" s="1">
        <v>1058.9000000000001</v>
      </c>
      <c r="K912" s="1">
        <v>352.9666666666667</v>
      </c>
      <c r="L912">
        <v>3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143</v>
      </c>
      <c r="S912" s="5">
        <v>1</v>
      </c>
      <c r="T912" s="5">
        <v>2</v>
      </c>
      <c r="U912" s="5">
        <v>2</v>
      </c>
      <c r="V912" s="5">
        <v>5</v>
      </c>
    </row>
    <row r="913" spans="1:22" x14ac:dyDescent="0.35">
      <c r="A913">
        <v>912</v>
      </c>
      <c r="B913">
        <v>66</v>
      </c>
      <c r="C913" t="s">
        <v>72</v>
      </c>
      <c r="D913" t="s">
        <v>6</v>
      </c>
      <c r="E913" t="s">
        <v>8</v>
      </c>
      <c r="F913" t="s">
        <v>12</v>
      </c>
      <c r="G913">
        <v>0</v>
      </c>
      <c r="H913">
        <v>6</v>
      </c>
      <c r="I913" t="s">
        <v>16</v>
      </c>
      <c r="J913" s="1">
        <v>1915.0100000000002</v>
      </c>
      <c r="K913" s="1">
        <v>212.7788888888889</v>
      </c>
      <c r="L913">
        <v>9</v>
      </c>
      <c r="M913">
        <v>1</v>
      </c>
      <c r="N913">
        <v>1</v>
      </c>
      <c r="O913">
        <v>1</v>
      </c>
      <c r="P913">
        <v>0</v>
      </c>
      <c r="Q913">
        <v>0</v>
      </c>
      <c r="R913">
        <v>18</v>
      </c>
      <c r="S913" s="5">
        <v>3</v>
      </c>
      <c r="T913" s="5">
        <v>3</v>
      </c>
      <c r="U913" s="5">
        <v>3</v>
      </c>
      <c r="V913" s="5">
        <v>9</v>
      </c>
    </row>
    <row r="914" spans="1:22" x14ac:dyDescent="0.35">
      <c r="A914">
        <v>913</v>
      </c>
      <c r="B914">
        <v>34</v>
      </c>
      <c r="C914" t="s">
        <v>75</v>
      </c>
      <c r="D914" t="s">
        <v>6</v>
      </c>
      <c r="E914" t="s">
        <v>8</v>
      </c>
      <c r="F914" t="s">
        <v>11</v>
      </c>
      <c r="G914">
        <v>0</v>
      </c>
      <c r="H914">
        <v>25</v>
      </c>
      <c r="I914" t="s">
        <v>16</v>
      </c>
      <c r="J914" s="1">
        <v>267.44</v>
      </c>
      <c r="K914" s="1">
        <v>267.44</v>
      </c>
      <c r="L914">
        <v>1</v>
      </c>
      <c r="M914">
        <v>2</v>
      </c>
      <c r="N914">
        <v>0</v>
      </c>
      <c r="O914">
        <v>0</v>
      </c>
      <c r="P914">
        <v>1</v>
      </c>
      <c r="Q914">
        <v>1</v>
      </c>
      <c r="R914">
        <v>207</v>
      </c>
      <c r="S914" s="5">
        <v>1</v>
      </c>
      <c r="T914" s="5">
        <v>1</v>
      </c>
      <c r="U914" s="5">
        <v>1</v>
      </c>
      <c r="V914" s="5">
        <v>3</v>
      </c>
    </row>
    <row r="915" spans="1:22" x14ac:dyDescent="0.35">
      <c r="A915">
        <v>914</v>
      </c>
      <c r="B915">
        <v>50</v>
      </c>
      <c r="C915" t="s">
        <v>74</v>
      </c>
      <c r="D915" t="s">
        <v>6</v>
      </c>
      <c r="E915" t="s">
        <v>7</v>
      </c>
      <c r="F915" t="s">
        <v>11</v>
      </c>
      <c r="G915">
        <v>0</v>
      </c>
      <c r="H915">
        <v>43</v>
      </c>
      <c r="I915" t="s">
        <v>17</v>
      </c>
      <c r="J915" s="1">
        <v>1722.8</v>
      </c>
      <c r="K915" s="1">
        <v>246.1142857142857</v>
      </c>
      <c r="L915">
        <v>7</v>
      </c>
      <c r="M915">
        <v>2</v>
      </c>
      <c r="N915">
        <v>1</v>
      </c>
      <c r="O915">
        <v>1</v>
      </c>
      <c r="P915">
        <v>0</v>
      </c>
      <c r="Q915">
        <v>1</v>
      </c>
      <c r="R915">
        <v>23</v>
      </c>
      <c r="S915" s="5">
        <v>3</v>
      </c>
      <c r="T915" s="5">
        <v>2</v>
      </c>
      <c r="U915" s="5">
        <v>3</v>
      </c>
      <c r="V915" s="5">
        <v>8</v>
      </c>
    </row>
    <row r="916" spans="1:22" x14ac:dyDescent="0.35">
      <c r="A916">
        <v>915</v>
      </c>
      <c r="B916">
        <v>28</v>
      </c>
      <c r="C916" t="s">
        <v>73</v>
      </c>
      <c r="D916" t="s">
        <v>5</v>
      </c>
      <c r="E916" t="s">
        <v>10</v>
      </c>
      <c r="F916" t="s">
        <v>13</v>
      </c>
      <c r="G916">
        <v>0</v>
      </c>
      <c r="H916">
        <v>31</v>
      </c>
      <c r="I916" t="s">
        <v>18</v>
      </c>
      <c r="J916" s="1">
        <v>1786.6</v>
      </c>
      <c r="K916" s="1">
        <v>255.22857142857143</v>
      </c>
      <c r="L916">
        <v>7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16</v>
      </c>
      <c r="S916" s="5">
        <v>3</v>
      </c>
      <c r="T916" s="5">
        <v>2</v>
      </c>
      <c r="U916" s="5">
        <v>3</v>
      </c>
      <c r="V916" s="5">
        <v>8</v>
      </c>
    </row>
    <row r="917" spans="1:22" x14ac:dyDescent="0.35">
      <c r="A917">
        <v>916</v>
      </c>
      <c r="B917">
        <v>30</v>
      </c>
      <c r="C917" t="s">
        <v>73</v>
      </c>
      <c r="D917" t="s">
        <v>5</v>
      </c>
      <c r="E917" t="s">
        <v>9</v>
      </c>
      <c r="F917" t="s">
        <v>11</v>
      </c>
      <c r="G917">
        <v>0</v>
      </c>
      <c r="H917">
        <v>44</v>
      </c>
      <c r="I917" t="s">
        <v>16</v>
      </c>
      <c r="J917" s="1">
        <v>1176.8600000000001</v>
      </c>
      <c r="K917" s="1">
        <v>196.14333333333335</v>
      </c>
      <c r="L917">
        <v>6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31</v>
      </c>
      <c r="S917" s="5">
        <v>2</v>
      </c>
      <c r="T917" s="5">
        <v>2</v>
      </c>
      <c r="U917" s="5">
        <v>2</v>
      </c>
      <c r="V917" s="5">
        <v>6</v>
      </c>
    </row>
    <row r="918" spans="1:22" x14ac:dyDescent="0.35">
      <c r="A918">
        <v>917</v>
      </c>
      <c r="B918">
        <v>47</v>
      </c>
      <c r="C918" t="s">
        <v>74</v>
      </c>
      <c r="D918" t="s">
        <v>6</v>
      </c>
      <c r="E918" t="s">
        <v>9</v>
      </c>
      <c r="F918" t="s">
        <v>13</v>
      </c>
      <c r="G918">
        <v>0</v>
      </c>
      <c r="H918">
        <v>9</v>
      </c>
      <c r="I918" t="s">
        <v>16</v>
      </c>
      <c r="J918" s="1">
        <v>1799.3600000000001</v>
      </c>
      <c r="K918" s="1">
        <v>224.92000000000002</v>
      </c>
      <c r="L918">
        <v>8</v>
      </c>
      <c r="M918">
        <v>1</v>
      </c>
      <c r="N918">
        <v>0</v>
      </c>
      <c r="O918">
        <v>0</v>
      </c>
      <c r="P918">
        <v>0</v>
      </c>
      <c r="Q918">
        <v>1</v>
      </c>
      <c r="R918">
        <v>24</v>
      </c>
      <c r="S918" s="5">
        <v>3</v>
      </c>
      <c r="T918" s="5">
        <v>3</v>
      </c>
      <c r="U918" s="5">
        <v>3</v>
      </c>
      <c r="V918" s="5">
        <v>9</v>
      </c>
    </row>
    <row r="919" spans="1:22" x14ac:dyDescent="0.35">
      <c r="A919">
        <v>918</v>
      </c>
      <c r="B919">
        <v>18</v>
      </c>
      <c r="C919" t="s">
        <v>73</v>
      </c>
      <c r="D919" t="s">
        <v>6</v>
      </c>
      <c r="E919" t="s">
        <v>10</v>
      </c>
      <c r="F919" t="s">
        <v>12</v>
      </c>
      <c r="G919">
        <v>1</v>
      </c>
      <c r="H919">
        <v>39</v>
      </c>
      <c r="I919" t="s">
        <v>16</v>
      </c>
      <c r="J919" s="1">
        <v>1140.8200000000002</v>
      </c>
      <c r="K919" s="1">
        <v>285.20500000000004</v>
      </c>
      <c r="L919">
        <v>4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20</v>
      </c>
      <c r="S919" s="5">
        <v>3</v>
      </c>
      <c r="T919" s="5">
        <v>2</v>
      </c>
      <c r="U919" s="5">
        <v>2</v>
      </c>
      <c r="V919" s="5">
        <v>7</v>
      </c>
    </row>
    <row r="920" spans="1:22" x14ac:dyDescent="0.35">
      <c r="A920">
        <v>919</v>
      </c>
      <c r="B920">
        <v>47</v>
      </c>
      <c r="C920" t="s">
        <v>74</v>
      </c>
      <c r="D920" t="s">
        <v>6</v>
      </c>
      <c r="E920" t="s">
        <v>10</v>
      </c>
      <c r="F920" t="s">
        <v>13</v>
      </c>
      <c r="G920">
        <v>1</v>
      </c>
      <c r="H920">
        <v>29</v>
      </c>
      <c r="I920" t="s">
        <v>17</v>
      </c>
      <c r="J920" s="1">
        <v>1547.4700000000003</v>
      </c>
      <c r="K920" s="1">
        <v>221.0671428571429</v>
      </c>
      <c r="L920">
        <v>7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56</v>
      </c>
      <c r="S920" s="5">
        <v>2</v>
      </c>
      <c r="T920" s="5">
        <v>2</v>
      </c>
      <c r="U920" s="5">
        <v>2</v>
      </c>
      <c r="V920" s="5">
        <v>6</v>
      </c>
    </row>
    <row r="921" spans="1:22" x14ac:dyDescent="0.35">
      <c r="A921">
        <v>920</v>
      </c>
      <c r="B921">
        <v>44</v>
      </c>
      <c r="C921" t="s">
        <v>75</v>
      </c>
      <c r="D921" t="s">
        <v>5</v>
      </c>
      <c r="E921" t="s">
        <v>9</v>
      </c>
      <c r="F921" t="s">
        <v>11</v>
      </c>
      <c r="G921">
        <v>0</v>
      </c>
      <c r="H921">
        <v>14</v>
      </c>
      <c r="I921" t="s">
        <v>16</v>
      </c>
      <c r="J921" s="1">
        <v>2059.02</v>
      </c>
      <c r="K921" s="1">
        <v>228.78</v>
      </c>
      <c r="L921">
        <v>9</v>
      </c>
      <c r="M921">
        <v>1</v>
      </c>
      <c r="N921">
        <v>1</v>
      </c>
      <c r="O921">
        <v>0</v>
      </c>
      <c r="P921">
        <v>0</v>
      </c>
      <c r="Q921">
        <v>1</v>
      </c>
      <c r="R921">
        <v>85</v>
      </c>
      <c r="S921" s="5">
        <v>1</v>
      </c>
      <c r="T921" s="5">
        <v>3</v>
      </c>
      <c r="U921" s="5">
        <v>3</v>
      </c>
      <c r="V921" s="5">
        <v>7</v>
      </c>
    </row>
    <row r="922" spans="1:22" x14ac:dyDescent="0.35">
      <c r="A922">
        <v>921</v>
      </c>
      <c r="B922">
        <v>57</v>
      </c>
      <c r="C922" t="s">
        <v>74</v>
      </c>
      <c r="D922" t="s">
        <v>6</v>
      </c>
      <c r="E922" t="s">
        <v>7</v>
      </c>
      <c r="F922" t="s">
        <v>13</v>
      </c>
      <c r="G922">
        <v>0</v>
      </c>
      <c r="H922">
        <v>36</v>
      </c>
      <c r="I922" t="s">
        <v>18</v>
      </c>
      <c r="J922" s="1">
        <v>1778.2</v>
      </c>
      <c r="K922" s="1">
        <v>296.36666666666667</v>
      </c>
      <c r="L922">
        <v>6</v>
      </c>
      <c r="M922">
        <v>1</v>
      </c>
      <c r="N922">
        <v>1</v>
      </c>
      <c r="O922">
        <v>0</v>
      </c>
      <c r="P922">
        <v>1</v>
      </c>
      <c r="Q922">
        <v>0</v>
      </c>
      <c r="R922">
        <v>11</v>
      </c>
      <c r="S922" s="5">
        <v>3</v>
      </c>
      <c r="T922" s="5">
        <v>2</v>
      </c>
      <c r="U922" s="5">
        <v>3</v>
      </c>
      <c r="V922" s="5">
        <v>8</v>
      </c>
    </row>
    <row r="923" spans="1:22" x14ac:dyDescent="0.35">
      <c r="A923">
        <v>922</v>
      </c>
      <c r="B923">
        <v>40</v>
      </c>
      <c r="C923" t="s">
        <v>75</v>
      </c>
      <c r="D923" t="s">
        <v>5</v>
      </c>
      <c r="E923" t="s">
        <v>10</v>
      </c>
      <c r="F923" t="s">
        <v>13</v>
      </c>
      <c r="G923">
        <v>0</v>
      </c>
      <c r="H923">
        <v>29</v>
      </c>
      <c r="I923" t="s">
        <v>17</v>
      </c>
      <c r="J923" s="1">
        <v>1135</v>
      </c>
      <c r="K923" s="1">
        <v>378.33333333333331</v>
      </c>
      <c r="L923">
        <v>3</v>
      </c>
      <c r="M923">
        <v>1</v>
      </c>
      <c r="N923">
        <v>1</v>
      </c>
      <c r="O923">
        <v>1</v>
      </c>
      <c r="P923">
        <v>0</v>
      </c>
      <c r="Q923">
        <v>0</v>
      </c>
      <c r="R923">
        <v>76</v>
      </c>
      <c r="S923" s="5">
        <v>2</v>
      </c>
      <c r="T923" s="5">
        <v>2</v>
      </c>
      <c r="U923" s="5">
        <v>2</v>
      </c>
      <c r="V923" s="5">
        <v>6</v>
      </c>
    </row>
    <row r="924" spans="1:22" x14ac:dyDescent="0.35">
      <c r="A924">
        <v>923</v>
      </c>
      <c r="B924">
        <v>37</v>
      </c>
      <c r="C924" t="s">
        <v>75</v>
      </c>
      <c r="D924" t="s">
        <v>6</v>
      </c>
      <c r="E924" t="s">
        <v>8</v>
      </c>
      <c r="F924" t="s">
        <v>12</v>
      </c>
      <c r="G924">
        <v>0</v>
      </c>
      <c r="H924">
        <v>43</v>
      </c>
      <c r="I924" t="s">
        <v>17</v>
      </c>
      <c r="J924" s="1">
        <v>2462.8499999999995</v>
      </c>
      <c r="K924" s="1">
        <v>273.64999999999992</v>
      </c>
      <c r="L924">
        <v>9</v>
      </c>
      <c r="M924">
        <v>2</v>
      </c>
      <c r="N924">
        <v>1</v>
      </c>
      <c r="O924">
        <v>0</v>
      </c>
      <c r="P924">
        <v>1</v>
      </c>
      <c r="Q924">
        <v>1</v>
      </c>
      <c r="R924">
        <v>62</v>
      </c>
      <c r="S924" s="5">
        <v>2</v>
      </c>
      <c r="T924" s="5">
        <v>3</v>
      </c>
      <c r="U924" s="5">
        <v>3</v>
      </c>
      <c r="V924" s="5">
        <v>8</v>
      </c>
    </row>
    <row r="925" spans="1:22" x14ac:dyDescent="0.35">
      <c r="A925">
        <v>924</v>
      </c>
      <c r="B925">
        <v>23</v>
      </c>
      <c r="C925" t="s">
        <v>73</v>
      </c>
      <c r="D925" t="s">
        <v>5</v>
      </c>
      <c r="E925" t="s">
        <v>7</v>
      </c>
      <c r="F925" t="s">
        <v>13</v>
      </c>
      <c r="G925">
        <v>1</v>
      </c>
      <c r="H925">
        <v>41</v>
      </c>
      <c r="I925" t="s">
        <v>17</v>
      </c>
      <c r="J925" s="1">
        <v>760.13</v>
      </c>
      <c r="K925" s="1">
        <v>380.065</v>
      </c>
      <c r="L925">
        <v>2</v>
      </c>
      <c r="M925">
        <v>1</v>
      </c>
      <c r="N925">
        <v>1</v>
      </c>
      <c r="O925">
        <v>0</v>
      </c>
      <c r="P925">
        <v>1</v>
      </c>
      <c r="Q925">
        <v>0</v>
      </c>
      <c r="R925">
        <v>184</v>
      </c>
      <c r="S925" s="5">
        <v>1</v>
      </c>
      <c r="T925" s="5">
        <v>1</v>
      </c>
      <c r="U925" s="5">
        <v>1</v>
      </c>
      <c r="V925" s="5">
        <v>3</v>
      </c>
    </row>
    <row r="926" spans="1:22" x14ac:dyDescent="0.35">
      <c r="A926">
        <v>925</v>
      </c>
      <c r="B926">
        <v>54</v>
      </c>
      <c r="C926" t="s">
        <v>74</v>
      </c>
      <c r="D926" t="s">
        <v>6</v>
      </c>
      <c r="E926" t="s">
        <v>10</v>
      </c>
      <c r="F926" t="s">
        <v>12</v>
      </c>
      <c r="G926">
        <v>1</v>
      </c>
      <c r="H926">
        <v>38</v>
      </c>
      <c r="I926" t="s">
        <v>16</v>
      </c>
      <c r="J926" s="1">
        <v>1930.4099999999999</v>
      </c>
      <c r="K926" s="1">
        <v>386.08199999999999</v>
      </c>
      <c r="L926">
        <v>5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56</v>
      </c>
      <c r="S926" s="5">
        <v>2</v>
      </c>
      <c r="T926" s="5">
        <v>2</v>
      </c>
      <c r="U926" s="5">
        <v>3</v>
      </c>
      <c r="V926" s="5">
        <v>7</v>
      </c>
    </row>
    <row r="927" spans="1:22" x14ac:dyDescent="0.35">
      <c r="A927">
        <v>926</v>
      </c>
      <c r="B927">
        <v>37</v>
      </c>
      <c r="C927" t="s">
        <v>75</v>
      </c>
      <c r="D927" t="s">
        <v>5</v>
      </c>
      <c r="E927" t="s">
        <v>8</v>
      </c>
      <c r="F927" t="s">
        <v>12</v>
      </c>
      <c r="G927">
        <v>1</v>
      </c>
      <c r="H927">
        <v>22</v>
      </c>
      <c r="I927" t="s">
        <v>18</v>
      </c>
      <c r="J927" s="1">
        <v>157.62</v>
      </c>
      <c r="K927" s="1">
        <v>157.62</v>
      </c>
      <c r="L927">
        <v>1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90</v>
      </c>
      <c r="S927" s="5">
        <v>1</v>
      </c>
      <c r="T927" s="5">
        <v>1</v>
      </c>
      <c r="U927" s="5">
        <v>1</v>
      </c>
      <c r="V927" s="5">
        <v>3</v>
      </c>
    </row>
    <row r="928" spans="1:22" x14ac:dyDescent="0.35">
      <c r="A928">
        <v>927</v>
      </c>
      <c r="B928">
        <v>54</v>
      </c>
      <c r="C928" t="s">
        <v>74</v>
      </c>
      <c r="D928" t="s">
        <v>5</v>
      </c>
      <c r="E928" t="s">
        <v>8</v>
      </c>
      <c r="F928" t="s">
        <v>13</v>
      </c>
      <c r="G928">
        <v>1</v>
      </c>
      <c r="H928">
        <v>12</v>
      </c>
      <c r="I928" t="s">
        <v>16</v>
      </c>
      <c r="J928" s="1">
        <v>1462.34</v>
      </c>
      <c r="K928" s="1">
        <v>292.46799999999996</v>
      </c>
      <c r="L928">
        <v>5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78</v>
      </c>
      <c r="S928" s="5">
        <v>2</v>
      </c>
      <c r="T928" s="5">
        <v>2</v>
      </c>
      <c r="U928" s="5">
        <v>2</v>
      </c>
      <c r="V928" s="5">
        <v>6</v>
      </c>
    </row>
    <row r="929" spans="1:22" x14ac:dyDescent="0.35">
      <c r="A929">
        <v>928</v>
      </c>
      <c r="B929">
        <v>23</v>
      </c>
      <c r="C929" t="s">
        <v>73</v>
      </c>
      <c r="D929" t="s">
        <v>6</v>
      </c>
      <c r="E929" t="s">
        <v>9</v>
      </c>
      <c r="F929" t="s">
        <v>11</v>
      </c>
      <c r="G929">
        <v>0</v>
      </c>
      <c r="H929">
        <v>40</v>
      </c>
      <c r="I929" t="s">
        <v>17</v>
      </c>
      <c r="J929" s="1">
        <v>2584.66</v>
      </c>
      <c r="K929" s="1">
        <v>323.08249999999998</v>
      </c>
      <c r="L929">
        <v>8</v>
      </c>
      <c r="M929">
        <v>2</v>
      </c>
      <c r="N929">
        <v>1</v>
      </c>
      <c r="O929">
        <v>0</v>
      </c>
      <c r="P929">
        <v>1</v>
      </c>
      <c r="Q929">
        <v>1</v>
      </c>
      <c r="R929">
        <v>89</v>
      </c>
      <c r="S929" s="5">
        <v>1</v>
      </c>
      <c r="T929" s="5">
        <v>3</v>
      </c>
      <c r="U929" s="5">
        <v>3</v>
      </c>
      <c r="V929" s="5">
        <v>7</v>
      </c>
    </row>
    <row r="930" spans="1:22" x14ac:dyDescent="0.35">
      <c r="A930">
        <v>929</v>
      </c>
      <c r="B930">
        <v>46</v>
      </c>
      <c r="C930" t="s">
        <v>74</v>
      </c>
      <c r="D930" t="s">
        <v>6</v>
      </c>
      <c r="E930" t="s">
        <v>7</v>
      </c>
      <c r="F930" t="s">
        <v>12</v>
      </c>
      <c r="G930">
        <v>0</v>
      </c>
      <c r="H930">
        <v>49</v>
      </c>
      <c r="I930" t="s">
        <v>18</v>
      </c>
      <c r="J930" s="1">
        <v>358.27</v>
      </c>
      <c r="K930" s="1">
        <v>358.27</v>
      </c>
      <c r="L930">
        <v>1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163</v>
      </c>
      <c r="S930" s="5">
        <v>1</v>
      </c>
      <c r="T930" s="5">
        <v>1</v>
      </c>
      <c r="U930" s="5">
        <v>1</v>
      </c>
      <c r="V930" s="5">
        <v>3</v>
      </c>
    </row>
    <row r="931" spans="1:22" x14ac:dyDescent="0.35">
      <c r="A931">
        <v>930</v>
      </c>
      <c r="B931">
        <v>30</v>
      </c>
      <c r="C931" t="s">
        <v>73</v>
      </c>
      <c r="D931" t="s">
        <v>6</v>
      </c>
      <c r="E931" t="s">
        <v>10</v>
      </c>
      <c r="F931" t="s">
        <v>13</v>
      </c>
      <c r="G931">
        <v>0</v>
      </c>
      <c r="H931">
        <v>26</v>
      </c>
      <c r="I931" t="s">
        <v>17</v>
      </c>
      <c r="J931" s="1">
        <v>809.61</v>
      </c>
      <c r="K931" s="1">
        <v>404.80500000000001</v>
      </c>
      <c r="L931">
        <v>2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207</v>
      </c>
      <c r="S931" s="5">
        <v>1</v>
      </c>
      <c r="T931" s="5">
        <v>1</v>
      </c>
      <c r="U931" s="5">
        <v>1</v>
      </c>
      <c r="V931" s="5">
        <v>3</v>
      </c>
    </row>
    <row r="932" spans="1:22" x14ac:dyDescent="0.35">
      <c r="A932">
        <v>931</v>
      </c>
      <c r="B932">
        <v>44</v>
      </c>
      <c r="C932" t="s">
        <v>75</v>
      </c>
      <c r="D932" t="s">
        <v>6</v>
      </c>
      <c r="E932" t="s">
        <v>8</v>
      </c>
      <c r="F932" t="s">
        <v>12</v>
      </c>
      <c r="G932">
        <v>0</v>
      </c>
      <c r="H932">
        <v>46</v>
      </c>
      <c r="I932" t="s">
        <v>16</v>
      </c>
      <c r="J932" s="1">
        <v>1985.28</v>
      </c>
      <c r="K932" s="1">
        <v>397.05599999999998</v>
      </c>
      <c r="L932">
        <v>5</v>
      </c>
      <c r="M932">
        <v>1</v>
      </c>
      <c r="N932">
        <v>1</v>
      </c>
      <c r="O932">
        <v>0</v>
      </c>
      <c r="P932">
        <v>1</v>
      </c>
      <c r="Q932">
        <v>0</v>
      </c>
      <c r="R932">
        <v>18</v>
      </c>
      <c r="S932" s="5">
        <v>3</v>
      </c>
      <c r="T932" s="5">
        <v>2</v>
      </c>
      <c r="U932" s="5">
        <v>3</v>
      </c>
      <c r="V932" s="5">
        <v>8</v>
      </c>
    </row>
    <row r="933" spans="1:22" x14ac:dyDescent="0.35">
      <c r="A933">
        <v>932</v>
      </c>
      <c r="B933">
        <v>67</v>
      </c>
      <c r="C933" t="s">
        <v>72</v>
      </c>
      <c r="D933" t="s">
        <v>5</v>
      </c>
      <c r="E933" t="s">
        <v>9</v>
      </c>
      <c r="F933" t="s">
        <v>13</v>
      </c>
      <c r="G933">
        <v>0</v>
      </c>
      <c r="H933">
        <v>28</v>
      </c>
      <c r="I933" t="s">
        <v>18</v>
      </c>
      <c r="J933" s="1">
        <v>350.46</v>
      </c>
      <c r="K933" s="1">
        <v>350.46</v>
      </c>
      <c r="L933">
        <v>1</v>
      </c>
      <c r="M933">
        <v>1</v>
      </c>
      <c r="N933">
        <v>0</v>
      </c>
      <c r="O933">
        <v>0</v>
      </c>
      <c r="P933">
        <v>1</v>
      </c>
      <c r="Q933">
        <v>0</v>
      </c>
      <c r="R933">
        <v>323</v>
      </c>
      <c r="S933" s="5">
        <v>1</v>
      </c>
      <c r="T933" s="5">
        <v>1</v>
      </c>
      <c r="U933" s="5">
        <v>1</v>
      </c>
      <c r="V933" s="5">
        <v>3</v>
      </c>
    </row>
    <row r="934" spans="1:22" x14ac:dyDescent="0.35">
      <c r="A934">
        <v>933</v>
      </c>
      <c r="B934">
        <v>37</v>
      </c>
      <c r="C934" t="s">
        <v>75</v>
      </c>
      <c r="D934" t="s">
        <v>5</v>
      </c>
      <c r="E934" t="s">
        <v>10</v>
      </c>
      <c r="F934" t="s">
        <v>13</v>
      </c>
      <c r="G934">
        <v>0</v>
      </c>
      <c r="H934">
        <v>21</v>
      </c>
      <c r="I934" t="s">
        <v>17</v>
      </c>
      <c r="J934" s="1">
        <v>74.06</v>
      </c>
      <c r="K934" s="1">
        <v>74.06</v>
      </c>
      <c r="L934">
        <v>1</v>
      </c>
      <c r="M934">
        <v>2</v>
      </c>
      <c r="N934">
        <v>1</v>
      </c>
      <c r="O934">
        <v>1</v>
      </c>
      <c r="P934">
        <v>0</v>
      </c>
      <c r="Q934">
        <v>1</v>
      </c>
      <c r="R934">
        <v>122</v>
      </c>
      <c r="S934" s="5">
        <v>1</v>
      </c>
      <c r="T934" s="5">
        <v>1</v>
      </c>
      <c r="U934" s="5">
        <v>1</v>
      </c>
      <c r="V934" s="5">
        <v>3</v>
      </c>
    </row>
    <row r="935" spans="1:22" x14ac:dyDescent="0.35">
      <c r="A935">
        <v>934</v>
      </c>
      <c r="B935">
        <v>30</v>
      </c>
      <c r="C935" t="s">
        <v>73</v>
      </c>
      <c r="D935" t="s">
        <v>5</v>
      </c>
      <c r="E935" t="s">
        <v>8</v>
      </c>
      <c r="F935" t="s">
        <v>11</v>
      </c>
      <c r="G935">
        <v>0</v>
      </c>
      <c r="H935">
        <v>27</v>
      </c>
      <c r="I935" t="s">
        <v>16</v>
      </c>
      <c r="J935" s="1">
        <v>282.29000000000002</v>
      </c>
      <c r="K935" s="1">
        <v>282.29000000000002</v>
      </c>
      <c r="L935">
        <v>1</v>
      </c>
      <c r="M935">
        <v>1</v>
      </c>
      <c r="N935">
        <v>0</v>
      </c>
      <c r="O935">
        <v>0</v>
      </c>
      <c r="P935">
        <v>0</v>
      </c>
      <c r="Q935">
        <v>1</v>
      </c>
      <c r="R935">
        <v>334</v>
      </c>
      <c r="S935" s="5">
        <v>1</v>
      </c>
      <c r="T935" s="5">
        <v>1</v>
      </c>
      <c r="U935" s="5">
        <v>1</v>
      </c>
      <c r="V935" s="5">
        <v>3</v>
      </c>
    </row>
    <row r="936" spans="1:22" x14ac:dyDescent="0.35">
      <c r="A936">
        <v>935</v>
      </c>
      <c r="B936">
        <v>56</v>
      </c>
      <c r="C936" t="s">
        <v>74</v>
      </c>
      <c r="D936" t="s">
        <v>5</v>
      </c>
      <c r="E936" t="s">
        <v>9</v>
      </c>
      <c r="F936" t="s">
        <v>13</v>
      </c>
      <c r="G936">
        <v>1</v>
      </c>
      <c r="H936">
        <v>33</v>
      </c>
      <c r="I936" t="s">
        <v>17</v>
      </c>
      <c r="J936" s="1">
        <v>939.39</v>
      </c>
      <c r="K936" s="1">
        <v>234.8475</v>
      </c>
      <c r="L936">
        <v>4</v>
      </c>
      <c r="M936">
        <v>2</v>
      </c>
      <c r="N936">
        <v>0</v>
      </c>
      <c r="O936">
        <v>0</v>
      </c>
      <c r="P936">
        <v>0</v>
      </c>
      <c r="Q936">
        <v>1</v>
      </c>
      <c r="R936">
        <v>203</v>
      </c>
      <c r="S936" s="5">
        <v>1</v>
      </c>
      <c r="T936" s="5">
        <v>2</v>
      </c>
      <c r="U936" s="5">
        <v>2</v>
      </c>
      <c r="V936" s="5">
        <v>5</v>
      </c>
    </row>
    <row r="937" spans="1:22" x14ac:dyDescent="0.35">
      <c r="A937">
        <v>936</v>
      </c>
      <c r="B937">
        <v>25</v>
      </c>
      <c r="C937" t="s">
        <v>73</v>
      </c>
      <c r="D937" t="s">
        <v>5</v>
      </c>
      <c r="E937" t="s">
        <v>8</v>
      </c>
      <c r="F937" t="s">
        <v>12</v>
      </c>
      <c r="G937">
        <v>0</v>
      </c>
      <c r="H937">
        <v>29</v>
      </c>
      <c r="I937" t="s">
        <v>16</v>
      </c>
      <c r="J937" s="1">
        <v>2591.5700000000006</v>
      </c>
      <c r="K937" s="1">
        <v>287.9522222222223</v>
      </c>
      <c r="L937">
        <v>9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2</v>
      </c>
      <c r="S937" s="5">
        <v>3</v>
      </c>
      <c r="T937" s="5">
        <v>3</v>
      </c>
      <c r="U937" s="5">
        <v>3</v>
      </c>
      <c r="V937" s="5">
        <v>9</v>
      </c>
    </row>
    <row r="938" spans="1:22" x14ac:dyDescent="0.35">
      <c r="A938">
        <v>937</v>
      </c>
      <c r="B938">
        <v>34</v>
      </c>
      <c r="C938" t="s">
        <v>75</v>
      </c>
      <c r="D938" t="s">
        <v>5</v>
      </c>
      <c r="E938" t="s">
        <v>9</v>
      </c>
      <c r="F938" t="s">
        <v>12</v>
      </c>
      <c r="G938">
        <v>1</v>
      </c>
      <c r="H938">
        <v>24</v>
      </c>
      <c r="I938" t="s">
        <v>16</v>
      </c>
      <c r="J938" s="1">
        <v>1842.66</v>
      </c>
      <c r="K938" s="1">
        <v>263.23714285714289</v>
      </c>
      <c r="L938">
        <v>7</v>
      </c>
      <c r="M938">
        <v>2</v>
      </c>
      <c r="N938">
        <v>1</v>
      </c>
      <c r="O938">
        <v>1</v>
      </c>
      <c r="P938">
        <v>0</v>
      </c>
      <c r="Q938">
        <v>1</v>
      </c>
      <c r="R938">
        <v>80</v>
      </c>
      <c r="S938" s="5">
        <v>2</v>
      </c>
      <c r="T938" s="5">
        <v>2</v>
      </c>
      <c r="U938" s="5">
        <v>3</v>
      </c>
      <c r="V938" s="5">
        <v>7</v>
      </c>
    </row>
    <row r="939" spans="1:22" x14ac:dyDescent="0.35">
      <c r="A939">
        <v>938</v>
      </c>
      <c r="B939">
        <v>47</v>
      </c>
      <c r="C939" t="s">
        <v>74</v>
      </c>
      <c r="D939" t="s">
        <v>6</v>
      </c>
      <c r="E939" t="s">
        <v>9</v>
      </c>
      <c r="F939" t="s">
        <v>11</v>
      </c>
      <c r="G939">
        <v>0</v>
      </c>
      <c r="H939">
        <v>32</v>
      </c>
      <c r="I939" t="s">
        <v>17</v>
      </c>
      <c r="J939" s="1">
        <v>695.93000000000006</v>
      </c>
      <c r="K939" s="1">
        <v>231.97666666666669</v>
      </c>
      <c r="L939">
        <v>3</v>
      </c>
      <c r="M939">
        <v>1</v>
      </c>
      <c r="N939">
        <v>1</v>
      </c>
      <c r="O939">
        <v>0</v>
      </c>
      <c r="P939">
        <v>1</v>
      </c>
      <c r="Q939">
        <v>0</v>
      </c>
      <c r="R939">
        <v>150</v>
      </c>
      <c r="S939" s="5">
        <v>1</v>
      </c>
      <c r="T939" s="5">
        <v>2</v>
      </c>
      <c r="U939" s="5">
        <v>1</v>
      </c>
      <c r="V939" s="5">
        <v>4</v>
      </c>
    </row>
    <row r="940" spans="1:22" x14ac:dyDescent="0.35">
      <c r="A940">
        <v>939</v>
      </c>
      <c r="B940">
        <v>18</v>
      </c>
      <c r="C940" t="s">
        <v>73</v>
      </c>
      <c r="D940" t="s">
        <v>5</v>
      </c>
      <c r="E940" t="s">
        <v>7</v>
      </c>
      <c r="F940" t="s">
        <v>12</v>
      </c>
      <c r="G940">
        <v>0</v>
      </c>
      <c r="H940">
        <v>6</v>
      </c>
      <c r="I940" t="s">
        <v>17</v>
      </c>
      <c r="J940" s="1">
        <v>394.48</v>
      </c>
      <c r="K940" s="1">
        <v>394.48</v>
      </c>
      <c r="L940">
        <v>1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179</v>
      </c>
      <c r="S940" s="5">
        <v>1</v>
      </c>
      <c r="T940" s="5">
        <v>1</v>
      </c>
      <c r="U940" s="5">
        <v>1</v>
      </c>
      <c r="V940" s="5">
        <v>3</v>
      </c>
    </row>
    <row r="941" spans="1:22" x14ac:dyDescent="0.35">
      <c r="A941">
        <v>940</v>
      </c>
      <c r="B941">
        <v>41</v>
      </c>
      <c r="C941" t="s">
        <v>75</v>
      </c>
      <c r="D941" t="s">
        <v>5</v>
      </c>
      <c r="E941" t="s">
        <v>10</v>
      </c>
      <c r="F941" t="s">
        <v>11</v>
      </c>
      <c r="G941">
        <v>0</v>
      </c>
      <c r="H941">
        <v>27</v>
      </c>
      <c r="I941" t="s">
        <v>16</v>
      </c>
      <c r="J941" s="1">
        <v>1536.43</v>
      </c>
      <c r="K941" s="1">
        <v>219.49</v>
      </c>
      <c r="L941">
        <v>7</v>
      </c>
      <c r="M941">
        <v>2</v>
      </c>
      <c r="N941">
        <v>1</v>
      </c>
      <c r="O941">
        <v>1</v>
      </c>
      <c r="P941">
        <v>0</v>
      </c>
      <c r="Q941">
        <v>0</v>
      </c>
      <c r="R941">
        <v>55</v>
      </c>
      <c r="S941" s="5">
        <v>2</v>
      </c>
      <c r="T941" s="5">
        <v>2</v>
      </c>
      <c r="U941" s="5">
        <v>2</v>
      </c>
      <c r="V941" s="5">
        <v>6</v>
      </c>
    </row>
    <row r="942" spans="1:22" x14ac:dyDescent="0.35">
      <c r="A942">
        <v>941</v>
      </c>
      <c r="B942">
        <v>33</v>
      </c>
      <c r="C942" t="s">
        <v>75</v>
      </c>
      <c r="D942" t="s">
        <v>5</v>
      </c>
      <c r="E942" t="s">
        <v>9</v>
      </c>
      <c r="F942" t="s">
        <v>13</v>
      </c>
      <c r="G942">
        <v>0</v>
      </c>
      <c r="H942">
        <v>16</v>
      </c>
      <c r="I942" t="s">
        <v>17</v>
      </c>
      <c r="J942" s="1">
        <v>1440.83</v>
      </c>
      <c r="K942" s="1">
        <v>240.13833333333332</v>
      </c>
      <c r="L942">
        <v>6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7</v>
      </c>
      <c r="S942" s="5">
        <v>3</v>
      </c>
      <c r="T942" s="5">
        <v>2</v>
      </c>
      <c r="U942" s="5">
        <v>2</v>
      </c>
      <c r="V942" s="5">
        <v>7</v>
      </c>
    </row>
    <row r="943" spans="1:22" x14ac:dyDescent="0.35">
      <c r="A943">
        <v>942</v>
      </c>
      <c r="B943">
        <v>28</v>
      </c>
      <c r="C943" t="s">
        <v>73</v>
      </c>
      <c r="D943" t="s">
        <v>6</v>
      </c>
      <c r="E943" t="s">
        <v>8</v>
      </c>
      <c r="F943" t="s">
        <v>13</v>
      </c>
      <c r="G943">
        <v>0</v>
      </c>
      <c r="H943">
        <v>36</v>
      </c>
      <c r="I943" t="s">
        <v>18</v>
      </c>
      <c r="J943" s="1">
        <v>1539.4199999999998</v>
      </c>
      <c r="K943" s="1">
        <v>219.91714285714284</v>
      </c>
      <c r="L943">
        <v>7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40</v>
      </c>
      <c r="S943" s="5">
        <v>2</v>
      </c>
      <c r="T943" s="5">
        <v>2</v>
      </c>
      <c r="U943" s="5">
        <v>2</v>
      </c>
      <c r="V943" s="5">
        <v>6</v>
      </c>
    </row>
    <row r="944" spans="1:22" x14ac:dyDescent="0.35">
      <c r="A944">
        <v>943</v>
      </c>
      <c r="B944">
        <v>21</v>
      </c>
      <c r="C944" t="s">
        <v>73</v>
      </c>
      <c r="D944" t="s">
        <v>5</v>
      </c>
      <c r="E944" t="s">
        <v>10</v>
      </c>
      <c r="F944" t="s">
        <v>13</v>
      </c>
      <c r="G944">
        <v>0</v>
      </c>
      <c r="H944">
        <v>47</v>
      </c>
      <c r="I944" t="s">
        <v>17</v>
      </c>
      <c r="J944" s="1">
        <v>398.92</v>
      </c>
      <c r="K944" s="1">
        <v>199.46</v>
      </c>
      <c r="L944">
        <v>2</v>
      </c>
      <c r="M944">
        <v>1</v>
      </c>
      <c r="N944">
        <v>0</v>
      </c>
      <c r="O944">
        <v>0</v>
      </c>
      <c r="P944">
        <v>1</v>
      </c>
      <c r="Q944">
        <v>0</v>
      </c>
      <c r="R944">
        <v>151</v>
      </c>
      <c r="S944" s="5">
        <v>1</v>
      </c>
      <c r="T944" s="5">
        <v>1</v>
      </c>
      <c r="U944" s="5">
        <v>1</v>
      </c>
      <c r="V944" s="5">
        <v>3</v>
      </c>
    </row>
    <row r="945" spans="1:22" x14ac:dyDescent="0.35">
      <c r="A945">
        <v>944</v>
      </c>
      <c r="B945">
        <v>21</v>
      </c>
      <c r="C945" t="s">
        <v>73</v>
      </c>
      <c r="D945" t="s">
        <v>6</v>
      </c>
      <c r="E945" t="s">
        <v>10</v>
      </c>
      <c r="F945" t="s">
        <v>11</v>
      </c>
      <c r="G945">
        <v>0</v>
      </c>
      <c r="H945">
        <v>30</v>
      </c>
      <c r="I945" t="s">
        <v>17</v>
      </c>
      <c r="J945" s="1">
        <v>1280.0999999999999</v>
      </c>
      <c r="K945" s="1">
        <v>256.02</v>
      </c>
      <c r="L945">
        <v>5</v>
      </c>
      <c r="M945">
        <v>2</v>
      </c>
      <c r="N945">
        <v>1</v>
      </c>
      <c r="O945">
        <v>1</v>
      </c>
      <c r="P945">
        <v>0</v>
      </c>
      <c r="Q945">
        <v>0</v>
      </c>
      <c r="R945">
        <v>107</v>
      </c>
      <c r="S945" s="5">
        <v>1</v>
      </c>
      <c r="T945" s="5">
        <v>2</v>
      </c>
      <c r="U945" s="5">
        <v>2</v>
      </c>
      <c r="V945" s="5">
        <v>5</v>
      </c>
    </row>
    <row r="946" spans="1:22" x14ac:dyDescent="0.35">
      <c r="A946">
        <v>945</v>
      </c>
      <c r="B946">
        <v>34</v>
      </c>
      <c r="C946" t="s">
        <v>75</v>
      </c>
      <c r="D946" t="s">
        <v>5</v>
      </c>
      <c r="E946" t="s">
        <v>10</v>
      </c>
      <c r="F946" t="s">
        <v>12</v>
      </c>
      <c r="G946">
        <v>0</v>
      </c>
      <c r="H946">
        <v>15</v>
      </c>
      <c r="I946" t="s">
        <v>17</v>
      </c>
      <c r="J946" s="1">
        <v>541.20000000000005</v>
      </c>
      <c r="K946" s="1">
        <v>108.24000000000001</v>
      </c>
      <c r="L946">
        <v>5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117</v>
      </c>
      <c r="S946" s="5">
        <v>1</v>
      </c>
      <c r="T946" s="5">
        <v>2</v>
      </c>
      <c r="U946" s="5">
        <v>1</v>
      </c>
      <c r="V946" s="5">
        <v>4</v>
      </c>
    </row>
    <row r="947" spans="1:22" x14ac:dyDescent="0.35">
      <c r="A947">
        <v>946</v>
      </c>
      <c r="B947">
        <v>66</v>
      </c>
      <c r="C947" t="s">
        <v>72</v>
      </c>
      <c r="D947" t="s">
        <v>5</v>
      </c>
      <c r="E947" t="s">
        <v>7</v>
      </c>
      <c r="F947" t="s">
        <v>12</v>
      </c>
      <c r="G947">
        <v>0</v>
      </c>
      <c r="H947">
        <v>8</v>
      </c>
      <c r="I947" t="s">
        <v>16</v>
      </c>
      <c r="J947" s="1">
        <v>451.82</v>
      </c>
      <c r="K947" s="1">
        <v>150.60666666666665</v>
      </c>
      <c r="L947">
        <v>3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60</v>
      </c>
      <c r="S947" s="5">
        <v>2</v>
      </c>
      <c r="T947" s="5">
        <v>2</v>
      </c>
      <c r="U947" s="5">
        <v>1</v>
      </c>
      <c r="V947" s="5">
        <v>5</v>
      </c>
    </row>
    <row r="948" spans="1:22" x14ac:dyDescent="0.35">
      <c r="A948">
        <v>947</v>
      </c>
      <c r="B948">
        <v>27</v>
      </c>
      <c r="C948" t="s">
        <v>73</v>
      </c>
      <c r="D948" t="s">
        <v>6</v>
      </c>
      <c r="E948" t="s">
        <v>9</v>
      </c>
      <c r="F948" t="s">
        <v>13</v>
      </c>
      <c r="G948">
        <v>1</v>
      </c>
      <c r="H948">
        <v>31</v>
      </c>
      <c r="I948" t="s">
        <v>17</v>
      </c>
      <c r="J948" s="1">
        <v>589.05999999999995</v>
      </c>
      <c r="K948" s="1">
        <v>196.35333333333332</v>
      </c>
      <c r="L948">
        <v>3</v>
      </c>
      <c r="M948">
        <v>1</v>
      </c>
      <c r="N948">
        <v>1</v>
      </c>
      <c r="O948">
        <v>0</v>
      </c>
      <c r="P948">
        <v>0</v>
      </c>
      <c r="Q948">
        <v>1</v>
      </c>
      <c r="R948">
        <v>109</v>
      </c>
      <c r="S948" s="5">
        <v>1</v>
      </c>
      <c r="T948" s="5">
        <v>2</v>
      </c>
      <c r="U948" s="5">
        <v>1</v>
      </c>
      <c r="V948" s="5">
        <v>4</v>
      </c>
    </row>
    <row r="949" spans="1:22" x14ac:dyDescent="0.35">
      <c r="A949">
        <v>948</v>
      </c>
      <c r="B949">
        <v>38</v>
      </c>
      <c r="C949" t="s">
        <v>75</v>
      </c>
      <c r="D949" t="s">
        <v>5</v>
      </c>
      <c r="E949" t="s">
        <v>9</v>
      </c>
      <c r="F949" t="s">
        <v>12</v>
      </c>
      <c r="G949">
        <v>1</v>
      </c>
      <c r="H949">
        <v>9</v>
      </c>
      <c r="I949" t="s">
        <v>16</v>
      </c>
      <c r="J949" s="1">
        <v>1416.12</v>
      </c>
      <c r="K949" s="1">
        <v>283.22399999999999</v>
      </c>
      <c r="L949">
        <v>5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84</v>
      </c>
      <c r="S949" s="5">
        <v>1</v>
      </c>
      <c r="T949" s="5">
        <v>2</v>
      </c>
      <c r="U949" s="5">
        <v>2</v>
      </c>
      <c r="V949" s="5">
        <v>5</v>
      </c>
    </row>
    <row r="950" spans="1:22" x14ac:dyDescent="0.35">
      <c r="A950">
        <v>949</v>
      </c>
      <c r="B950">
        <v>55</v>
      </c>
      <c r="C950" t="s">
        <v>74</v>
      </c>
      <c r="D950" t="s">
        <v>5</v>
      </c>
      <c r="E950" t="s">
        <v>9</v>
      </c>
      <c r="F950" t="s">
        <v>11</v>
      </c>
      <c r="G950">
        <v>0</v>
      </c>
      <c r="H950">
        <v>42</v>
      </c>
      <c r="I950" t="s">
        <v>18</v>
      </c>
      <c r="J950" s="1">
        <v>956.3</v>
      </c>
      <c r="K950" s="1">
        <v>239.07499999999999</v>
      </c>
      <c r="L950">
        <v>4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97</v>
      </c>
      <c r="S950" s="5">
        <v>1</v>
      </c>
      <c r="T950" s="5">
        <v>2</v>
      </c>
      <c r="U950" s="5">
        <v>2</v>
      </c>
      <c r="V950" s="5">
        <v>5</v>
      </c>
    </row>
    <row r="951" spans="1:22" x14ac:dyDescent="0.35">
      <c r="A951">
        <v>950</v>
      </c>
      <c r="B951">
        <v>66</v>
      </c>
      <c r="C951" t="s">
        <v>72</v>
      </c>
      <c r="D951" t="s">
        <v>6</v>
      </c>
      <c r="E951" t="s">
        <v>9</v>
      </c>
      <c r="F951" t="s">
        <v>11</v>
      </c>
      <c r="G951">
        <v>0</v>
      </c>
      <c r="H951">
        <v>21</v>
      </c>
      <c r="I951" t="s">
        <v>18</v>
      </c>
      <c r="J951" s="1">
        <v>1085.17</v>
      </c>
      <c r="K951" s="1">
        <v>271.29250000000002</v>
      </c>
      <c r="L951">
        <v>4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30</v>
      </c>
      <c r="S951" s="5">
        <v>2</v>
      </c>
      <c r="T951" s="5">
        <v>2</v>
      </c>
      <c r="U951" s="5">
        <v>2</v>
      </c>
      <c r="V951" s="5">
        <v>6</v>
      </c>
    </row>
    <row r="952" spans="1:22" x14ac:dyDescent="0.35">
      <c r="A952">
        <v>951</v>
      </c>
      <c r="B952">
        <v>35</v>
      </c>
      <c r="C952" t="s">
        <v>75</v>
      </c>
      <c r="D952" t="s">
        <v>6</v>
      </c>
      <c r="E952" t="s">
        <v>8</v>
      </c>
      <c r="F952" t="s">
        <v>11</v>
      </c>
      <c r="G952">
        <v>0</v>
      </c>
      <c r="H952">
        <v>39</v>
      </c>
      <c r="I952" t="s">
        <v>18</v>
      </c>
      <c r="J952" s="1">
        <v>1494.9199999999998</v>
      </c>
      <c r="K952" s="1">
        <v>213.55999999999997</v>
      </c>
      <c r="L952">
        <v>7</v>
      </c>
      <c r="M952">
        <v>2</v>
      </c>
      <c r="N952">
        <v>1</v>
      </c>
      <c r="O952">
        <v>1</v>
      </c>
      <c r="P952">
        <v>0</v>
      </c>
      <c r="Q952">
        <v>1</v>
      </c>
      <c r="R952">
        <v>69</v>
      </c>
      <c r="S952" s="5">
        <v>2</v>
      </c>
      <c r="T952" s="5">
        <v>2</v>
      </c>
      <c r="U952" s="5">
        <v>2</v>
      </c>
      <c r="V952" s="5">
        <v>6</v>
      </c>
    </row>
    <row r="953" spans="1:22" x14ac:dyDescent="0.35">
      <c r="A953">
        <v>952</v>
      </c>
      <c r="B953">
        <v>27</v>
      </c>
      <c r="C953" t="s">
        <v>73</v>
      </c>
      <c r="D953" t="s">
        <v>5</v>
      </c>
      <c r="E953" t="s">
        <v>9</v>
      </c>
      <c r="F953" t="s">
        <v>11</v>
      </c>
      <c r="G953">
        <v>0</v>
      </c>
      <c r="H953">
        <v>39</v>
      </c>
      <c r="I953" t="s">
        <v>17</v>
      </c>
      <c r="J953" s="1">
        <v>344.33</v>
      </c>
      <c r="K953" s="1">
        <v>344.33</v>
      </c>
      <c r="L953">
        <v>1</v>
      </c>
      <c r="M953">
        <v>1</v>
      </c>
      <c r="N953">
        <v>1</v>
      </c>
      <c r="O953">
        <v>0</v>
      </c>
      <c r="P953">
        <v>1</v>
      </c>
      <c r="Q953">
        <v>0</v>
      </c>
      <c r="R953">
        <v>340</v>
      </c>
      <c r="S953" s="5">
        <v>1</v>
      </c>
      <c r="T953" s="5">
        <v>1</v>
      </c>
      <c r="U953" s="5">
        <v>1</v>
      </c>
      <c r="V953" s="5">
        <v>3</v>
      </c>
    </row>
    <row r="954" spans="1:22" x14ac:dyDescent="0.35">
      <c r="A954">
        <v>953</v>
      </c>
      <c r="B954">
        <v>62</v>
      </c>
      <c r="C954" t="s">
        <v>72</v>
      </c>
      <c r="D954" t="s">
        <v>5</v>
      </c>
      <c r="E954" t="s">
        <v>10</v>
      </c>
      <c r="F954" t="s">
        <v>12</v>
      </c>
      <c r="G954">
        <v>0</v>
      </c>
      <c r="H954">
        <v>43</v>
      </c>
      <c r="I954" t="s">
        <v>17</v>
      </c>
      <c r="J954" s="1">
        <v>2580.58</v>
      </c>
      <c r="K954" s="1">
        <v>286.73111111111109</v>
      </c>
      <c r="L954">
        <v>9</v>
      </c>
      <c r="M954">
        <v>2</v>
      </c>
      <c r="N954">
        <v>1</v>
      </c>
      <c r="O954">
        <v>1</v>
      </c>
      <c r="P954">
        <v>0</v>
      </c>
      <c r="Q954">
        <v>1</v>
      </c>
      <c r="R954">
        <v>9</v>
      </c>
      <c r="S954" s="5">
        <v>3</v>
      </c>
      <c r="T954" s="5">
        <v>3</v>
      </c>
      <c r="U954" s="5">
        <v>3</v>
      </c>
      <c r="V954" s="5">
        <v>9</v>
      </c>
    </row>
    <row r="955" spans="1:22" x14ac:dyDescent="0.35">
      <c r="A955">
        <v>954</v>
      </c>
      <c r="B955">
        <v>33</v>
      </c>
      <c r="C955" t="s">
        <v>75</v>
      </c>
      <c r="D955" t="s">
        <v>6</v>
      </c>
      <c r="E955" t="s">
        <v>9</v>
      </c>
      <c r="F955" t="s">
        <v>11</v>
      </c>
      <c r="G955">
        <v>0</v>
      </c>
      <c r="H955">
        <v>20</v>
      </c>
      <c r="I955" t="s">
        <v>18</v>
      </c>
      <c r="J955" s="1">
        <v>2009.3200000000002</v>
      </c>
      <c r="K955" s="1">
        <v>334.88666666666671</v>
      </c>
      <c r="L955">
        <v>6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55</v>
      </c>
      <c r="S955" s="5">
        <v>2</v>
      </c>
      <c r="T955" s="5">
        <v>2</v>
      </c>
      <c r="U955" s="5">
        <v>3</v>
      </c>
      <c r="V955" s="5">
        <v>7</v>
      </c>
    </row>
    <row r="956" spans="1:22" x14ac:dyDescent="0.35">
      <c r="A956">
        <v>955</v>
      </c>
      <c r="B956">
        <v>56</v>
      </c>
      <c r="C956" t="s">
        <v>74</v>
      </c>
      <c r="D956" t="s">
        <v>6</v>
      </c>
      <c r="E956" t="s">
        <v>9</v>
      </c>
      <c r="F956" t="s">
        <v>12</v>
      </c>
      <c r="G956">
        <v>0</v>
      </c>
      <c r="H956">
        <v>26</v>
      </c>
      <c r="I956" t="s">
        <v>17</v>
      </c>
      <c r="J956" s="1">
        <v>1453.74</v>
      </c>
      <c r="K956" s="1">
        <v>242.29</v>
      </c>
      <c r="L956">
        <v>6</v>
      </c>
      <c r="M956">
        <v>2</v>
      </c>
      <c r="N956">
        <v>1</v>
      </c>
      <c r="O956">
        <v>1</v>
      </c>
      <c r="P956">
        <v>1</v>
      </c>
      <c r="Q956">
        <v>0</v>
      </c>
      <c r="R956">
        <v>16</v>
      </c>
      <c r="S956" s="5">
        <v>3</v>
      </c>
      <c r="T956" s="5">
        <v>2</v>
      </c>
      <c r="U956" s="5">
        <v>2</v>
      </c>
      <c r="V956" s="5">
        <v>7</v>
      </c>
    </row>
    <row r="957" spans="1:22" x14ac:dyDescent="0.35">
      <c r="A957">
        <v>956</v>
      </c>
      <c r="B957">
        <v>32</v>
      </c>
      <c r="C957" t="s">
        <v>75</v>
      </c>
      <c r="D957" t="s">
        <v>6</v>
      </c>
      <c r="E957" t="s">
        <v>9</v>
      </c>
      <c r="F957" t="s">
        <v>13</v>
      </c>
      <c r="G957">
        <v>0</v>
      </c>
      <c r="H957">
        <v>38</v>
      </c>
      <c r="I957" t="s">
        <v>18</v>
      </c>
      <c r="J957" s="1">
        <v>858.04</v>
      </c>
      <c r="K957" s="1">
        <v>286.01333333333332</v>
      </c>
      <c r="L957">
        <v>3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122</v>
      </c>
      <c r="S957" s="5">
        <v>1</v>
      </c>
      <c r="T957" s="5">
        <v>2</v>
      </c>
      <c r="U957" s="5">
        <v>2</v>
      </c>
      <c r="V957" s="5">
        <v>5</v>
      </c>
    </row>
    <row r="958" spans="1:22" x14ac:dyDescent="0.35">
      <c r="A958">
        <v>957</v>
      </c>
      <c r="B958">
        <v>51</v>
      </c>
      <c r="C958" t="s">
        <v>74</v>
      </c>
      <c r="D958" t="s">
        <v>6</v>
      </c>
      <c r="E958" t="s">
        <v>9</v>
      </c>
      <c r="F958" t="s">
        <v>12</v>
      </c>
      <c r="G958">
        <v>0</v>
      </c>
      <c r="H958">
        <v>43</v>
      </c>
      <c r="I958" t="s">
        <v>16</v>
      </c>
      <c r="J958" s="1">
        <v>32.799999999999997</v>
      </c>
      <c r="K958" s="1">
        <v>32.799999999999997</v>
      </c>
      <c r="L958">
        <v>1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198</v>
      </c>
      <c r="S958" s="5">
        <v>1</v>
      </c>
      <c r="T958" s="5">
        <v>1</v>
      </c>
      <c r="U958" s="5">
        <v>1</v>
      </c>
      <c r="V958" s="5">
        <v>3</v>
      </c>
    </row>
    <row r="959" spans="1:22" x14ac:dyDescent="0.35">
      <c r="A959">
        <v>958</v>
      </c>
      <c r="B959">
        <v>22</v>
      </c>
      <c r="C959" t="s">
        <v>73</v>
      </c>
      <c r="D959" t="s">
        <v>5</v>
      </c>
      <c r="E959" t="s">
        <v>7</v>
      </c>
      <c r="F959" t="s">
        <v>11</v>
      </c>
      <c r="G959">
        <v>0</v>
      </c>
      <c r="H959">
        <v>14</v>
      </c>
      <c r="I959" t="s">
        <v>18</v>
      </c>
      <c r="J959" s="1">
        <v>972.8</v>
      </c>
      <c r="K959" s="1">
        <v>194.56</v>
      </c>
      <c r="L959">
        <v>5</v>
      </c>
      <c r="M959">
        <v>1</v>
      </c>
      <c r="N959">
        <v>1</v>
      </c>
      <c r="O959">
        <v>1</v>
      </c>
      <c r="P959">
        <v>0</v>
      </c>
      <c r="Q959">
        <v>0</v>
      </c>
      <c r="R959">
        <v>76</v>
      </c>
      <c r="S959" s="5">
        <v>2</v>
      </c>
      <c r="T959" s="5">
        <v>2</v>
      </c>
      <c r="U959" s="5">
        <v>2</v>
      </c>
      <c r="V959" s="5">
        <v>6</v>
      </c>
    </row>
    <row r="960" spans="1:22" x14ac:dyDescent="0.35">
      <c r="A960">
        <v>959</v>
      </c>
      <c r="B960">
        <v>34</v>
      </c>
      <c r="C960" t="s">
        <v>75</v>
      </c>
      <c r="D960" t="s">
        <v>5</v>
      </c>
      <c r="E960" t="s">
        <v>10</v>
      </c>
      <c r="F960" t="s">
        <v>12</v>
      </c>
      <c r="G960">
        <v>0</v>
      </c>
      <c r="H960">
        <v>48</v>
      </c>
      <c r="I960" t="s">
        <v>18</v>
      </c>
      <c r="J960" s="1">
        <v>285.35000000000002</v>
      </c>
      <c r="K960" s="1">
        <v>285.35000000000002</v>
      </c>
      <c r="L960">
        <v>1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203</v>
      </c>
      <c r="S960" s="5">
        <v>1</v>
      </c>
      <c r="T960" s="5">
        <v>1</v>
      </c>
      <c r="U960" s="5">
        <v>1</v>
      </c>
      <c r="V960" s="5">
        <v>3</v>
      </c>
    </row>
    <row r="961" spans="1:22" x14ac:dyDescent="0.35">
      <c r="A961">
        <v>960</v>
      </c>
      <c r="B961">
        <v>54</v>
      </c>
      <c r="C961" t="s">
        <v>74</v>
      </c>
      <c r="D961" t="s">
        <v>6</v>
      </c>
      <c r="E961" t="s">
        <v>7</v>
      </c>
      <c r="F961" t="s">
        <v>13</v>
      </c>
      <c r="G961">
        <v>0</v>
      </c>
      <c r="H961">
        <v>41</v>
      </c>
      <c r="I961" t="s">
        <v>18</v>
      </c>
      <c r="J961" s="1">
        <v>1553.52</v>
      </c>
      <c r="K961" s="1">
        <v>258.92</v>
      </c>
      <c r="L961">
        <v>6</v>
      </c>
      <c r="M961">
        <v>2</v>
      </c>
      <c r="N961">
        <v>1</v>
      </c>
      <c r="O961">
        <v>0</v>
      </c>
      <c r="P961">
        <v>0</v>
      </c>
      <c r="Q961">
        <v>1</v>
      </c>
      <c r="R961">
        <v>73</v>
      </c>
      <c r="S961" s="5">
        <v>2</v>
      </c>
      <c r="T961" s="5">
        <v>2</v>
      </c>
      <c r="U961" s="5">
        <v>2</v>
      </c>
      <c r="V961" s="5">
        <v>6</v>
      </c>
    </row>
    <row r="962" spans="1:22" x14ac:dyDescent="0.35">
      <c r="A962">
        <v>961</v>
      </c>
      <c r="B962">
        <v>25</v>
      </c>
      <c r="C962" t="s">
        <v>73</v>
      </c>
      <c r="D962" t="s">
        <v>5</v>
      </c>
      <c r="E962" t="s">
        <v>10</v>
      </c>
      <c r="F962" t="s">
        <v>13</v>
      </c>
      <c r="G962">
        <v>0</v>
      </c>
      <c r="H962">
        <v>21</v>
      </c>
      <c r="I962" t="s">
        <v>16</v>
      </c>
      <c r="J962" s="1">
        <v>964.32999999999993</v>
      </c>
      <c r="K962" s="1">
        <v>321.44333333333333</v>
      </c>
      <c r="L962">
        <v>3</v>
      </c>
      <c r="M962">
        <v>2</v>
      </c>
      <c r="N962">
        <v>1</v>
      </c>
      <c r="O962">
        <v>0</v>
      </c>
      <c r="P962">
        <v>1</v>
      </c>
      <c r="Q962">
        <v>1</v>
      </c>
      <c r="R962">
        <v>4</v>
      </c>
      <c r="S962" s="5">
        <v>3</v>
      </c>
      <c r="T962" s="5">
        <v>2</v>
      </c>
      <c r="U962" s="5">
        <v>2</v>
      </c>
      <c r="V962" s="5">
        <v>7</v>
      </c>
    </row>
    <row r="963" spans="1:22" x14ac:dyDescent="0.35">
      <c r="A963">
        <v>962</v>
      </c>
      <c r="B963">
        <v>41</v>
      </c>
      <c r="C963" t="s">
        <v>75</v>
      </c>
      <c r="D963" t="s">
        <v>6</v>
      </c>
      <c r="E963" t="s">
        <v>9</v>
      </c>
      <c r="F963" t="s">
        <v>13</v>
      </c>
      <c r="G963">
        <v>1</v>
      </c>
      <c r="H963">
        <v>19</v>
      </c>
      <c r="I963" t="s">
        <v>18</v>
      </c>
      <c r="J963" s="1">
        <v>1021.0799999999999</v>
      </c>
      <c r="K963" s="1">
        <v>255.26999999999998</v>
      </c>
      <c r="L963">
        <v>4</v>
      </c>
      <c r="M963">
        <v>2</v>
      </c>
      <c r="N963">
        <v>1</v>
      </c>
      <c r="O963">
        <v>0</v>
      </c>
      <c r="P963">
        <v>0</v>
      </c>
      <c r="Q963">
        <v>1</v>
      </c>
      <c r="R963">
        <v>42</v>
      </c>
      <c r="S963" s="5">
        <v>2</v>
      </c>
      <c r="T963" s="5">
        <v>2</v>
      </c>
      <c r="U963" s="5">
        <v>2</v>
      </c>
      <c r="V963" s="5">
        <v>6</v>
      </c>
    </row>
    <row r="964" spans="1:22" x14ac:dyDescent="0.35">
      <c r="A964">
        <v>963</v>
      </c>
      <c r="B964">
        <v>45</v>
      </c>
      <c r="C964" t="s">
        <v>75</v>
      </c>
      <c r="D964" t="s">
        <v>6</v>
      </c>
      <c r="E964" t="s">
        <v>9</v>
      </c>
      <c r="F964" t="s">
        <v>12</v>
      </c>
      <c r="G964">
        <v>0</v>
      </c>
      <c r="H964">
        <v>14</v>
      </c>
      <c r="I964" t="s">
        <v>18</v>
      </c>
      <c r="J964" s="1">
        <v>660.32999999999993</v>
      </c>
      <c r="K964" s="1">
        <v>220.10999999999999</v>
      </c>
      <c r="L964">
        <v>3</v>
      </c>
      <c r="M964">
        <v>2</v>
      </c>
      <c r="N964">
        <v>0</v>
      </c>
      <c r="O964">
        <v>0</v>
      </c>
      <c r="P964">
        <v>1</v>
      </c>
      <c r="Q964">
        <v>0</v>
      </c>
      <c r="R964">
        <v>4</v>
      </c>
      <c r="S964" s="5">
        <v>3</v>
      </c>
      <c r="T964" s="5">
        <v>2</v>
      </c>
      <c r="U964" s="5">
        <v>1</v>
      </c>
      <c r="V964" s="5">
        <v>6</v>
      </c>
    </row>
    <row r="965" spans="1:22" x14ac:dyDescent="0.35">
      <c r="A965">
        <v>964</v>
      </c>
      <c r="B965">
        <v>64</v>
      </c>
      <c r="C965" t="s">
        <v>72</v>
      </c>
      <c r="D965" t="s">
        <v>5</v>
      </c>
      <c r="E965" t="s">
        <v>10</v>
      </c>
      <c r="F965" t="s">
        <v>11</v>
      </c>
      <c r="G965">
        <v>0</v>
      </c>
      <c r="H965">
        <v>9</v>
      </c>
      <c r="I965" t="s">
        <v>18</v>
      </c>
      <c r="J965" s="1">
        <v>2348.8199999999997</v>
      </c>
      <c r="K965" s="1">
        <v>260.97999999999996</v>
      </c>
      <c r="L965">
        <v>9</v>
      </c>
      <c r="M965">
        <v>2</v>
      </c>
      <c r="N965">
        <v>1</v>
      </c>
      <c r="O965">
        <v>0</v>
      </c>
      <c r="P965">
        <v>1</v>
      </c>
      <c r="Q965">
        <v>1</v>
      </c>
      <c r="R965">
        <v>16</v>
      </c>
      <c r="S965" s="5">
        <v>3</v>
      </c>
      <c r="T965" s="5">
        <v>3</v>
      </c>
      <c r="U965" s="5">
        <v>3</v>
      </c>
      <c r="V965" s="5">
        <v>9</v>
      </c>
    </row>
    <row r="966" spans="1:22" x14ac:dyDescent="0.35">
      <c r="A966">
        <v>965</v>
      </c>
      <c r="B966">
        <v>25</v>
      </c>
      <c r="C966" t="s">
        <v>73</v>
      </c>
      <c r="D966" t="s">
        <v>6</v>
      </c>
      <c r="E966" t="s">
        <v>10</v>
      </c>
      <c r="F966" t="s">
        <v>11</v>
      </c>
      <c r="G966">
        <v>1</v>
      </c>
      <c r="H966">
        <v>42</v>
      </c>
      <c r="I966" t="s">
        <v>16</v>
      </c>
      <c r="J966" s="1">
        <v>213.98</v>
      </c>
      <c r="K966" s="1">
        <v>213.98</v>
      </c>
      <c r="L966">
        <v>1</v>
      </c>
      <c r="M966">
        <v>1</v>
      </c>
      <c r="N966">
        <v>1</v>
      </c>
      <c r="O966">
        <v>1</v>
      </c>
      <c r="P966">
        <v>0</v>
      </c>
      <c r="Q966">
        <v>0</v>
      </c>
      <c r="R966">
        <v>67</v>
      </c>
      <c r="S966" s="5">
        <v>2</v>
      </c>
      <c r="T966" s="5">
        <v>1</v>
      </c>
      <c r="U966" s="5">
        <v>1</v>
      </c>
      <c r="V966" s="5">
        <v>4</v>
      </c>
    </row>
    <row r="967" spans="1:22" x14ac:dyDescent="0.35">
      <c r="A967">
        <v>966</v>
      </c>
      <c r="B967">
        <v>40</v>
      </c>
      <c r="C967" t="s">
        <v>75</v>
      </c>
      <c r="D967" t="s">
        <v>6</v>
      </c>
      <c r="E967" t="s">
        <v>7</v>
      </c>
      <c r="F967" t="s">
        <v>12</v>
      </c>
      <c r="G967">
        <v>1</v>
      </c>
      <c r="H967">
        <v>4</v>
      </c>
      <c r="I967" t="s">
        <v>16</v>
      </c>
      <c r="J967" s="1">
        <v>2097.75</v>
      </c>
      <c r="K967" s="1">
        <v>299.67857142857144</v>
      </c>
      <c r="L967">
        <v>7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32</v>
      </c>
      <c r="S967" s="5">
        <v>2</v>
      </c>
      <c r="T967" s="5">
        <v>2</v>
      </c>
      <c r="U967" s="5">
        <v>3</v>
      </c>
      <c r="V967" s="5">
        <v>7</v>
      </c>
    </row>
    <row r="968" spans="1:22" x14ac:dyDescent="0.35">
      <c r="A968">
        <v>967</v>
      </c>
      <c r="B968">
        <v>52</v>
      </c>
      <c r="C968" t="s">
        <v>74</v>
      </c>
      <c r="D968" t="s">
        <v>5</v>
      </c>
      <c r="E968" t="s">
        <v>7</v>
      </c>
      <c r="F968" t="s">
        <v>11</v>
      </c>
      <c r="G968">
        <v>0</v>
      </c>
      <c r="H968">
        <v>23</v>
      </c>
      <c r="I968" t="s">
        <v>18</v>
      </c>
      <c r="J968" s="1">
        <v>230.71</v>
      </c>
      <c r="K968" s="1">
        <v>230.71</v>
      </c>
      <c r="L968">
        <v>1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160</v>
      </c>
      <c r="S968" s="5">
        <v>1</v>
      </c>
      <c r="T968" s="5">
        <v>1</v>
      </c>
      <c r="U968" s="5">
        <v>1</v>
      </c>
      <c r="V968" s="5">
        <v>3</v>
      </c>
    </row>
    <row r="969" spans="1:22" x14ac:dyDescent="0.35">
      <c r="A969">
        <v>968</v>
      </c>
      <c r="B969">
        <v>48</v>
      </c>
      <c r="C969" t="s">
        <v>74</v>
      </c>
      <c r="D969" t="s">
        <v>5</v>
      </c>
      <c r="E969" t="s">
        <v>8</v>
      </c>
      <c r="F969" t="s">
        <v>11</v>
      </c>
      <c r="G969">
        <v>0</v>
      </c>
      <c r="H969">
        <v>22</v>
      </c>
      <c r="I969" t="s">
        <v>18</v>
      </c>
      <c r="J969" s="1">
        <v>344.12</v>
      </c>
      <c r="K969" s="1">
        <v>172.06</v>
      </c>
      <c r="L969">
        <v>2</v>
      </c>
      <c r="M969">
        <v>1</v>
      </c>
      <c r="N969">
        <v>0</v>
      </c>
      <c r="O969">
        <v>0</v>
      </c>
      <c r="P969">
        <v>1</v>
      </c>
      <c r="Q969">
        <v>0</v>
      </c>
      <c r="R969">
        <v>230</v>
      </c>
      <c r="S969" s="5">
        <v>1</v>
      </c>
      <c r="T969" s="5">
        <v>1</v>
      </c>
      <c r="U969" s="5">
        <v>1</v>
      </c>
      <c r="V969" s="5">
        <v>3</v>
      </c>
    </row>
    <row r="970" spans="1:22" x14ac:dyDescent="0.35">
      <c r="A970">
        <v>969</v>
      </c>
      <c r="B970">
        <v>34</v>
      </c>
      <c r="C970" t="s">
        <v>75</v>
      </c>
      <c r="D970" t="s">
        <v>6</v>
      </c>
      <c r="E970" t="s">
        <v>8</v>
      </c>
      <c r="F970" t="s">
        <v>12</v>
      </c>
      <c r="G970">
        <v>0</v>
      </c>
      <c r="H970">
        <v>20</v>
      </c>
      <c r="I970" t="s">
        <v>18</v>
      </c>
      <c r="J970" s="1">
        <v>1296.96</v>
      </c>
      <c r="K970" s="1">
        <v>324.24</v>
      </c>
      <c r="L970">
        <v>4</v>
      </c>
      <c r="M970">
        <v>1</v>
      </c>
      <c r="N970">
        <v>1</v>
      </c>
      <c r="O970">
        <v>1</v>
      </c>
      <c r="P970">
        <v>0</v>
      </c>
      <c r="Q970">
        <v>0</v>
      </c>
      <c r="R970">
        <v>63</v>
      </c>
      <c r="S970" s="5">
        <v>2</v>
      </c>
      <c r="T970" s="5">
        <v>2</v>
      </c>
      <c r="U970" s="5">
        <v>2</v>
      </c>
      <c r="V970" s="5">
        <v>6</v>
      </c>
    </row>
    <row r="971" spans="1:22" x14ac:dyDescent="0.35">
      <c r="A971">
        <v>970</v>
      </c>
      <c r="B971">
        <v>45</v>
      </c>
      <c r="C971" t="s">
        <v>75</v>
      </c>
      <c r="D971" t="s">
        <v>5</v>
      </c>
      <c r="E971" t="s">
        <v>7</v>
      </c>
      <c r="F971" t="s">
        <v>13</v>
      </c>
      <c r="G971">
        <v>1</v>
      </c>
      <c r="H971">
        <v>19</v>
      </c>
      <c r="I971" t="s">
        <v>17</v>
      </c>
      <c r="J971" s="1">
        <v>748.68000000000006</v>
      </c>
      <c r="K971" s="1">
        <v>124.78000000000002</v>
      </c>
      <c r="L971">
        <v>6</v>
      </c>
      <c r="M971">
        <v>2</v>
      </c>
      <c r="N971">
        <v>1</v>
      </c>
      <c r="O971">
        <v>1</v>
      </c>
      <c r="P971">
        <v>0</v>
      </c>
      <c r="Q971">
        <v>1</v>
      </c>
      <c r="R971">
        <v>69</v>
      </c>
      <c r="S971" s="5">
        <v>2</v>
      </c>
      <c r="T971" s="5">
        <v>2</v>
      </c>
      <c r="U971" s="5">
        <v>1</v>
      </c>
      <c r="V971" s="5">
        <v>5</v>
      </c>
    </row>
    <row r="972" spans="1:22" x14ac:dyDescent="0.35">
      <c r="A972">
        <v>971</v>
      </c>
      <c r="B972">
        <v>65</v>
      </c>
      <c r="C972" t="s">
        <v>72</v>
      </c>
      <c r="D972" t="s">
        <v>5</v>
      </c>
      <c r="E972" t="s">
        <v>8</v>
      </c>
      <c r="F972" t="s">
        <v>11</v>
      </c>
      <c r="G972">
        <v>1</v>
      </c>
      <c r="H972">
        <v>19</v>
      </c>
      <c r="I972" t="s">
        <v>16</v>
      </c>
      <c r="J972" s="1">
        <v>283.95</v>
      </c>
      <c r="K972" s="1">
        <v>141.97499999999999</v>
      </c>
      <c r="L972">
        <v>2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147</v>
      </c>
      <c r="S972" s="5">
        <v>1</v>
      </c>
      <c r="T972" s="5">
        <v>1</v>
      </c>
      <c r="U972" s="5">
        <v>1</v>
      </c>
      <c r="V972" s="5">
        <v>3</v>
      </c>
    </row>
    <row r="973" spans="1:22" x14ac:dyDescent="0.35">
      <c r="A973">
        <v>972</v>
      </c>
      <c r="B973">
        <v>65</v>
      </c>
      <c r="C973" t="s">
        <v>72</v>
      </c>
      <c r="D973" t="s">
        <v>5</v>
      </c>
      <c r="E973" t="s">
        <v>7</v>
      </c>
      <c r="F973" t="s">
        <v>13</v>
      </c>
      <c r="G973">
        <v>0</v>
      </c>
      <c r="H973">
        <v>23</v>
      </c>
      <c r="I973" t="s">
        <v>16</v>
      </c>
      <c r="J973" s="1">
        <v>1105.44</v>
      </c>
      <c r="K973" s="1">
        <v>368.48</v>
      </c>
      <c r="L973">
        <v>3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246</v>
      </c>
      <c r="S973" s="5">
        <v>1</v>
      </c>
      <c r="T973" s="5">
        <v>2</v>
      </c>
      <c r="U973" s="5">
        <v>2</v>
      </c>
      <c r="V973" s="5">
        <v>5</v>
      </c>
    </row>
    <row r="974" spans="1:22" x14ac:dyDescent="0.35">
      <c r="A974">
        <v>973</v>
      </c>
      <c r="B974">
        <v>68</v>
      </c>
      <c r="C974" t="s">
        <v>72</v>
      </c>
      <c r="D974" t="s">
        <v>5</v>
      </c>
      <c r="E974" t="s">
        <v>7</v>
      </c>
      <c r="F974" t="s">
        <v>11</v>
      </c>
      <c r="G974">
        <v>0</v>
      </c>
      <c r="H974">
        <v>31</v>
      </c>
      <c r="I974" t="s">
        <v>17</v>
      </c>
      <c r="J974" s="1">
        <v>56.53</v>
      </c>
      <c r="K974" s="1">
        <v>56.53</v>
      </c>
      <c r="L974">
        <v>1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24</v>
      </c>
      <c r="S974" s="5">
        <v>3</v>
      </c>
      <c r="T974" s="5">
        <v>1</v>
      </c>
      <c r="U974" s="5">
        <v>1</v>
      </c>
      <c r="V974" s="5">
        <v>5</v>
      </c>
    </row>
    <row r="975" spans="1:22" x14ac:dyDescent="0.35">
      <c r="A975">
        <v>974</v>
      </c>
      <c r="B975">
        <v>29</v>
      </c>
      <c r="C975" t="s">
        <v>73</v>
      </c>
      <c r="D975" t="s">
        <v>5</v>
      </c>
      <c r="E975" t="s">
        <v>7</v>
      </c>
      <c r="F975" t="s">
        <v>13</v>
      </c>
      <c r="G975">
        <v>0</v>
      </c>
      <c r="H975">
        <v>46</v>
      </c>
      <c r="I975" t="s">
        <v>16</v>
      </c>
      <c r="J975" s="1">
        <v>1789.8100000000002</v>
      </c>
      <c r="K975" s="1">
        <v>298.30166666666668</v>
      </c>
      <c r="L975">
        <v>6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37</v>
      </c>
      <c r="S975" s="5">
        <v>2</v>
      </c>
      <c r="T975" s="5">
        <v>2</v>
      </c>
      <c r="U975" s="5">
        <v>3</v>
      </c>
      <c r="V975" s="5">
        <v>7</v>
      </c>
    </row>
    <row r="976" spans="1:22" x14ac:dyDescent="0.35">
      <c r="A976">
        <v>975</v>
      </c>
      <c r="B976">
        <v>41</v>
      </c>
      <c r="C976" t="s">
        <v>75</v>
      </c>
      <c r="D976" t="s">
        <v>5</v>
      </c>
      <c r="E976" t="s">
        <v>8</v>
      </c>
      <c r="F976" t="s">
        <v>13</v>
      </c>
      <c r="G976">
        <v>1</v>
      </c>
      <c r="H976">
        <v>19</v>
      </c>
      <c r="I976" t="s">
        <v>16</v>
      </c>
      <c r="J976" s="1">
        <v>1892.1799999999998</v>
      </c>
      <c r="K976" s="1">
        <v>270.31142857142856</v>
      </c>
      <c r="L976">
        <v>7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22</v>
      </c>
      <c r="S976" s="5">
        <v>3</v>
      </c>
      <c r="T976" s="5">
        <v>2</v>
      </c>
      <c r="U976" s="5">
        <v>3</v>
      </c>
      <c r="V976" s="5">
        <v>8</v>
      </c>
    </row>
    <row r="977" spans="1:22" x14ac:dyDescent="0.35">
      <c r="A977">
        <v>976</v>
      </c>
      <c r="B977">
        <v>32</v>
      </c>
      <c r="C977" t="s">
        <v>75</v>
      </c>
      <c r="D977" t="s">
        <v>6</v>
      </c>
      <c r="E977" t="s">
        <v>10</v>
      </c>
      <c r="F977" t="s">
        <v>11</v>
      </c>
      <c r="G977">
        <v>0</v>
      </c>
      <c r="H977">
        <v>44</v>
      </c>
      <c r="I977" t="s">
        <v>18</v>
      </c>
      <c r="J977" s="1">
        <v>557.62</v>
      </c>
      <c r="K977" s="1">
        <v>278.81</v>
      </c>
      <c r="L977">
        <v>2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289</v>
      </c>
      <c r="S977" s="5">
        <v>1</v>
      </c>
      <c r="T977" s="5">
        <v>1</v>
      </c>
      <c r="U977" s="5">
        <v>1</v>
      </c>
      <c r="V977" s="5">
        <v>3</v>
      </c>
    </row>
    <row r="978" spans="1:22" x14ac:dyDescent="0.35">
      <c r="A978">
        <v>977</v>
      </c>
      <c r="B978">
        <v>57</v>
      </c>
      <c r="C978" t="s">
        <v>74</v>
      </c>
      <c r="D978" t="s">
        <v>5</v>
      </c>
      <c r="E978" t="s">
        <v>9</v>
      </c>
      <c r="F978" t="s">
        <v>11</v>
      </c>
      <c r="G978">
        <v>0</v>
      </c>
      <c r="H978">
        <v>20</v>
      </c>
      <c r="I978" t="s">
        <v>18</v>
      </c>
      <c r="J978" s="1">
        <v>772.33999999999992</v>
      </c>
      <c r="K978" s="1">
        <v>257.44666666666666</v>
      </c>
      <c r="L978">
        <v>3</v>
      </c>
      <c r="M978">
        <v>2</v>
      </c>
      <c r="N978">
        <v>0</v>
      </c>
      <c r="O978">
        <v>1</v>
      </c>
      <c r="P978">
        <v>1</v>
      </c>
      <c r="Q978">
        <v>0</v>
      </c>
      <c r="R978">
        <v>132</v>
      </c>
      <c r="S978" s="5">
        <v>1</v>
      </c>
      <c r="T978" s="5">
        <v>2</v>
      </c>
      <c r="U978" s="5">
        <v>1</v>
      </c>
      <c r="V978" s="5">
        <v>4</v>
      </c>
    </row>
    <row r="979" spans="1:22" x14ac:dyDescent="0.35">
      <c r="A979">
        <v>978</v>
      </c>
      <c r="B979">
        <v>48</v>
      </c>
      <c r="C979" t="s">
        <v>74</v>
      </c>
      <c r="D979" t="s">
        <v>6</v>
      </c>
      <c r="E979" t="s">
        <v>8</v>
      </c>
      <c r="F979" t="s">
        <v>12</v>
      </c>
      <c r="G979">
        <v>0</v>
      </c>
      <c r="H979">
        <v>26</v>
      </c>
      <c r="I979" t="s">
        <v>16</v>
      </c>
      <c r="J979" s="1">
        <v>1465.5</v>
      </c>
      <c r="K979" s="1">
        <v>209.35714285714286</v>
      </c>
      <c r="L979">
        <v>7</v>
      </c>
      <c r="M979">
        <v>1</v>
      </c>
      <c r="N979">
        <v>1</v>
      </c>
      <c r="O979">
        <v>1</v>
      </c>
      <c r="P979">
        <v>0</v>
      </c>
      <c r="Q979">
        <v>0</v>
      </c>
      <c r="R979">
        <v>51</v>
      </c>
      <c r="S979" s="5">
        <v>2</v>
      </c>
      <c r="T979" s="5">
        <v>2</v>
      </c>
      <c r="U979" s="5">
        <v>2</v>
      </c>
      <c r="V979" s="5">
        <v>6</v>
      </c>
    </row>
    <row r="980" spans="1:22" x14ac:dyDescent="0.35">
      <c r="A980">
        <v>979</v>
      </c>
      <c r="B980">
        <v>44</v>
      </c>
      <c r="C980" t="s">
        <v>75</v>
      </c>
      <c r="D980" t="s">
        <v>6</v>
      </c>
      <c r="E980" t="s">
        <v>9</v>
      </c>
      <c r="F980" t="s">
        <v>11</v>
      </c>
      <c r="G980">
        <v>1</v>
      </c>
      <c r="H980">
        <v>6</v>
      </c>
      <c r="I980" t="s">
        <v>17</v>
      </c>
      <c r="J980" s="1">
        <v>1711.28</v>
      </c>
      <c r="K980" s="1">
        <v>244.46857142857144</v>
      </c>
      <c r="L980">
        <v>7</v>
      </c>
      <c r="M980">
        <v>1</v>
      </c>
      <c r="N980">
        <v>0</v>
      </c>
      <c r="O980">
        <v>0</v>
      </c>
      <c r="P980">
        <v>0</v>
      </c>
      <c r="Q980">
        <v>1</v>
      </c>
      <c r="R980">
        <v>90</v>
      </c>
      <c r="S980" s="5">
        <v>1</v>
      </c>
      <c r="T980" s="5">
        <v>2</v>
      </c>
      <c r="U980" s="5">
        <v>3</v>
      </c>
      <c r="V980" s="5">
        <v>6</v>
      </c>
    </row>
    <row r="981" spans="1:22" x14ac:dyDescent="0.35">
      <c r="A981">
        <v>980</v>
      </c>
      <c r="B981">
        <v>52</v>
      </c>
      <c r="C981" t="s">
        <v>74</v>
      </c>
      <c r="D981" t="s">
        <v>6</v>
      </c>
      <c r="E981" t="s">
        <v>9</v>
      </c>
      <c r="F981" t="s">
        <v>11</v>
      </c>
      <c r="G981">
        <v>0</v>
      </c>
      <c r="H981">
        <v>28</v>
      </c>
      <c r="I981" t="s">
        <v>18</v>
      </c>
      <c r="J981" s="1">
        <v>2079.5</v>
      </c>
      <c r="K981" s="1">
        <v>259.9375</v>
      </c>
      <c r="L981">
        <v>8</v>
      </c>
      <c r="M981">
        <v>1</v>
      </c>
      <c r="N981">
        <v>1</v>
      </c>
      <c r="O981">
        <v>1</v>
      </c>
      <c r="P981">
        <v>0</v>
      </c>
      <c r="Q981">
        <v>0</v>
      </c>
      <c r="R981">
        <v>7</v>
      </c>
      <c r="S981" s="5">
        <v>3</v>
      </c>
      <c r="T981" s="5">
        <v>3</v>
      </c>
      <c r="U981" s="5">
        <v>3</v>
      </c>
      <c r="V981" s="5">
        <v>9</v>
      </c>
    </row>
    <row r="982" spans="1:22" x14ac:dyDescent="0.35">
      <c r="A982">
        <v>981</v>
      </c>
      <c r="B982">
        <v>35</v>
      </c>
      <c r="C982" t="s">
        <v>75</v>
      </c>
      <c r="D982" t="s">
        <v>5</v>
      </c>
      <c r="E982" t="s">
        <v>10</v>
      </c>
      <c r="F982" t="s">
        <v>12</v>
      </c>
      <c r="G982">
        <v>0</v>
      </c>
      <c r="H982">
        <v>41</v>
      </c>
      <c r="I982" t="s">
        <v>17</v>
      </c>
      <c r="J982" s="1">
        <v>285.43</v>
      </c>
      <c r="K982" s="1">
        <v>285.43</v>
      </c>
      <c r="L982">
        <v>1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307</v>
      </c>
      <c r="S982" s="5">
        <v>1</v>
      </c>
      <c r="T982" s="5">
        <v>1</v>
      </c>
      <c r="U982" s="5">
        <v>1</v>
      </c>
      <c r="V982" s="5">
        <v>3</v>
      </c>
    </row>
    <row r="983" spans="1:22" x14ac:dyDescent="0.35">
      <c r="A983">
        <v>982</v>
      </c>
      <c r="B983">
        <v>53</v>
      </c>
      <c r="C983" t="s">
        <v>74</v>
      </c>
      <c r="D983" t="s">
        <v>5</v>
      </c>
      <c r="E983" t="s">
        <v>8</v>
      </c>
      <c r="F983" t="s">
        <v>13</v>
      </c>
      <c r="G983">
        <v>1</v>
      </c>
      <c r="H983">
        <v>4</v>
      </c>
      <c r="I983" t="s">
        <v>16</v>
      </c>
      <c r="J983" s="1">
        <v>913.21</v>
      </c>
      <c r="K983" s="1">
        <v>152.20166666666668</v>
      </c>
      <c r="L983">
        <v>6</v>
      </c>
      <c r="M983">
        <v>1</v>
      </c>
      <c r="N983">
        <v>0</v>
      </c>
      <c r="O983">
        <v>0</v>
      </c>
      <c r="P983">
        <v>1</v>
      </c>
      <c r="Q983">
        <v>0</v>
      </c>
      <c r="R983">
        <v>105</v>
      </c>
      <c r="S983" s="5">
        <v>1</v>
      </c>
      <c r="T983" s="5">
        <v>2</v>
      </c>
      <c r="U983" s="5">
        <v>2</v>
      </c>
      <c r="V983" s="5">
        <v>5</v>
      </c>
    </row>
    <row r="984" spans="1:22" x14ac:dyDescent="0.35">
      <c r="A984">
        <v>983</v>
      </c>
      <c r="B984">
        <v>25</v>
      </c>
      <c r="C984" t="s">
        <v>73</v>
      </c>
      <c r="D984" t="s">
        <v>6</v>
      </c>
      <c r="E984" t="s">
        <v>9</v>
      </c>
      <c r="F984" t="s">
        <v>12</v>
      </c>
      <c r="G984">
        <v>0</v>
      </c>
      <c r="H984">
        <v>49</v>
      </c>
      <c r="I984" t="s">
        <v>16</v>
      </c>
      <c r="J984" s="1">
        <v>1395.3000000000002</v>
      </c>
      <c r="K984" s="1">
        <v>279.06000000000006</v>
      </c>
      <c r="L984">
        <v>5</v>
      </c>
      <c r="M984">
        <v>2</v>
      </c>
      <c r="N984">
        <v>1</v>
      </c>
      <c r="O984">
        <v>1</v>
      </c>
      <c r="P984">
        <v>0</v>
      </c>
      <c r="Q984">
        <v>0</v>
      </c>
      <c r="R984">
        <v>40</v>
      </c>
      <c r="S984" s="5">
        <v>2</v>
      </c>
      <c r="T984" s="5">
        <v>2</v>
      </c>
      <c r="U984" s="5">
        <v>2</v>
      </c>
      <c r="V984" s="5">
        <v>6</v>
      </c>
    </row>
    <row r="985" spans="1:22" x14ac:dyDescent="0.35">
      <c r="A985">
        <v>984</v>
      </c>
      <c r="B985">
        <v>63</v>
      </c>
      <c r="C985" t="s">
        <v>72</v>
      </c>
      <c r="D985" t="s">
        <v>6</v>
      </c>
      <c r="E985" t="s">
        <v>10</v>
      </c>
      <c r="F985" t="s">
        <v>13</v>
      </c>
      <c r="G985">
        <v>0</v>
      </c>
      <c r="H985">
        <v>44</v>
      </c>
      <c r="I985" t="s">
        <v>17</v>
      </c>
      <c r="J985" s="1">
        <v>1127.04</v>
      </c>
      <c r="K985" s="1">
        <v>140.88</v>
      </c>
      <c r="L985">
        <v>8</v>
      </c>
      <c r="M985">
        <v>1</v>
      </c>
      <c r="N985">
        <v>0</v>
      </c>
      <c r="O985">
        <v>1</v>
      </c>
      <c r="P985">
        <v>0</v>
      </c>
      <c r="Q985">
        <v>0</v>
      </c>
      <c r="R985">
        <v>9</v>
      </c>
      <c r="S985" s="5">
        <v>3</v>
      </c>
      <c r="T985" s="5">
        <v>3</v>
      </c>
      <c r="U985" s="5">
        <v>2</v>
      </c>
      <c r="V985" s="5">
        <v>8</v>
      </c>
    </row>
    <row r="986" spans="1:22" x14ac:dyDescent="0.35">
      <c r="A986">
        <v>985</v>
      </c>
      <c r="B986">
        <v>66</v>
      </c>
      <c r="C986" t="s">
        <v>72</v>
      </c>
      <c r="D986" t="s">
        <v>6</v>
      </c>
      <c r="E986" t="s">
        <v>10</v>
      </c>
      <c r="F986" t="s">
        <v>12</v>
      </c>
      <c r="G986">
        <v>0</v>
      </c>
      <c r="H986">
        <v>9</v>
      </c>
      <c r="I986" t="s">
        <v>17</v>
      </c>
      <c r="J986" s="1">
        <v>1752.58</v>
      </c>
      <c r="K986" s="1">
        <v>350.51599999999996</v>
      </c>
      <c r="L986">
        <v>5</v>
      </c>
      <c r="M986">
        <v>2</v>
      </c>
      <c r="N986">
        <v>1</v>
      </c>
      <c r="O986">
        <v>0</v>
      </c>
      <c r="P986">
        <v>0</v>
      </c>
      <c r="Q986">
        <v>1</v>
      </c>
      <c r="R986">
        <v>9</v>
      </c>
      <c r="S986" s="5">
        <v>3</v>
      </c>
      <c r="T986" s="5">
        <v>2</v>
      </c>
      <c r="U986" s="5">
        <v>3</v>
      </c>
      <c r="V986" s="5">
        <v>8</v>
      </c>
    </row>
    <row r="987" spans="1:22" x14ac:dyDescent="0.35">
      <c r="A987">
        <v>986</v>
      </c>
      <c r="B987">
        <v>55</v>
      </c>
      <c r="C987" t="s">
        <v>74</v>
      </c>
      <c r="D987" t="s">
        <v>6</v>
      </c>
      <c r="E987" t="s">
        <v>7</v>
      </c>
      <c r="F987" t="s">
        <v>11</v>
      </c>
      <c r="G987">
        <v>0</v>
      </c>
      <c r="H987">
        <v>49</v>
      </c>
      <c r="I987" t="s">
        <v>18</v>
      </c>
      <c r="J987" s="1">
        <v>1392.6100000000001</v>
      </c>
      <c r="K987" s="1">
        <v>198.94428571428574</v>
      </c>
      <c r="L987">
        <v>7</v>
      </c>
      <c r="M987">
        <v>2</v>
      </c>
      <c r="N987">
        <v>0</v>
      </c>
      <c r="O987">
        <v>1</v>
      </c>
      <c r="P987">
        <v>1</v>
      </c>
      <c r="Q987">
        <v>0</v>
      </c>
      <c r="R987">
        <v>83</v>
      </c>
      <c r="S987" s="5">
        <v>1</v>
      </c>
      <c r="T987" s="5">
        <v>2</v>
      </c>
      <c r="U987" s="5">
        <v>2</v>
      </c>
      <c r="V987" s="5">
        <v>5</v>
      </c>
    </row>
    <row r="988" spans="1:22" x14ac:dyDescent="0.35">
      <c r="A988">
        <v>987</v>
      </c>
      <c r="B988">
        <v>22</v>
      </c>
      <c r="C988" t="s">
        <v>73</v>
      </c>
      <c r="D988" t="s">
        <v>5</v>
      </c>
      <c r="E988" t="s">
        <v>8</v>
      </c>
      <c r="F988" t="s">
        <v>11</v>
      </c>
      <c r="G988">
        <v>1</v>
      </c>
      <c r="H988">
        <v>14</v>
      </c>
      <c r="I988" t="s">
        <v>16</v>
      </c>
      <c r="J988" s="1">
        <v>1683.65</v>
      </c>
      <c r="K988" s="1">
        <v>240.52142857142857</v>
      </c>
      <c r="L988">
        <v>7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9</v>
      </c>
      <c r="S988" s="5">
        <v>3</v>
      </c>
      <c r="T988" s="5">
        <v>2</v>
      </c>
      <c r="U988" s="5">
        <v>3</v>
      </c>
      <c r="V988" s="5">
        <v>8</v>
      </c>
    </row>
    <row r="989" spans="1:22" x14ac:dyDescent="0.35">
      <c r="A989">
        <v>988</v>
      </c>
      <c r="B989">
        <v>31</v>
      </c>
      <c r="C989" t="s">
        <v>75</v>
      </c>
      <c r="D989" t="s">
        <v>6</v>
      </c>
      <c r="E989" t="s">
        <v>9</v>
      </c>
      <c r="F989" t="s">
        <v>13</v>
      </c>
      <c r="G989">
        <v>0</v>
      </c>
      <c r="H989">
        <v>31</v>
      </c>
      <c r="I989" t="s">
        <v>17</v>
      </c>
      <c r="J989" s="1">
        <v>2543.12</v>
      </c>
      <c r="K989" s="1">
        <v>282.56888888888886</v>
      </c>
      <c r="L989">
        <v>9</v>
      </c>
      <c r="M989">
        <v>2</v>
      </c>
      <c r="N989">
        <v>1</v>
      </c>
      <c r="O989">
        <v>1</v>
      </c>
      <c r="P989">
        <v>1</v>
      </c>
      <c r="Q989">
        <v>0</v>
      </c>
      <c r="R989">
        <v>33</v>
      </c>
      <c r="S989" s="5">
        <v>2</v>
      </c>
      <c r="T989" s="5">
        <v>3</v>
      </c>
      <c r="U989" s="5">
        <v>3</v>
      </c>
      <c r="V989" s="5">
        <v>8</v>
      </c>
    </row>
    <row r="990" spans="1:22" x14ac:dyDescent="0.35">
      <c r="A990">
        <v>989</v>
      </c>
      <c r="B990">
        <v>55</v>
      </c>
      <c r="C990" t="s">
        <v>74</v>
      </c>
      <c r="D990" t="s">
        <v>5</v>
      </c>
      <c r="E990" t="s">
        <v>10</v>
      </c>
      <c r="F990" t="s">
        <v>11</v>
      </c>
      <c r="G990">
        <v>1</v>
      </c>
      <c r="H990">
        <v>29</v>
      </c>
      <c r="I990" t="s">
        <v>17</v>
      </c>
      <c r="J990" s="1">
        <v>1530.42</v>
      </c>
      <c r="K990" s="1">
        <v>218.63142857142859</v>
      </c>
      <c r="L990">
        <v>7</v>
      </c>
      <c r="M990">
        <v>2</v>
      </c>
      <c r="N990">
        <v>1</v>
      </c>
      <c r="O990">
        <v>1</v>
      </c>
      <c r="P990">
        <v>0</v>
      </c>
      <c r="Q990">
        <v>0</v>
      </c>
      <c r="R990">
        <v>104</v>
      </c>
      <c r="S990" s="5">
        <v>1</v>
      </c>
      <c r="T990" s="5">
        <v>2</v>
      </c>
      <c r="U990" s="5">
        <v>2</v>
      </c>
      <c r="V990" s="5">
        <v>5</v>
      </c>
    </row>
    <row r="991" spans="1:22" x14ac:dyDescent="0.35">
      <c r="A991">
        <v>990</v>
      </c>
      <c r="B991">
        <v>37</v>
      </c>
      <c r="C991" t="s">
        <v>75</v>
      </c>
      <c r="D991" t="s">
        <v>6</v>
      </c>
      <c r="E991" t="s">
        <v>9</v>
      </c>
      <c r="F991" t="s">
        <v>13</v>
      </c>
      <c r="G991">
        <v>1</v>
      </c>
      <c r="H991">
        <v>49</v>
      </c>
      <c r="I991" t="s">
        <v>16</v>
      </c>
      <c r="J991" s="1">
        <v>483.5</v>
      </c>
      <c r="K991" s="1">
        <v>483.5</v>
      </c>
      <c r="L991">
        <v>1</v>
      </c>
      <c r="M991">
        <v>2</v>
      </c>
      <c r="N991">
        <v>1</v>
      </c>
      <c r="O991">
        <v>1</v>
      </c>
      <c r="P991">
        <v>0</v>
      </c>
      <c r="Q991">
        <v>1</v>
      </c>
      <c r="R991">
        <v>179</v>
      </c>
      <c r="S991" s="5">
        <v>1</v>
      </c>
      <c r="T991" s="5">
        <v>1</v>
      </c>
      <c r="U991" s="5">
        <v>1</v>
      </c>
      <c r="V991" s="5">
        <v>3</v>
      </c>
    </row>
    <row r="992" spans="1:22" x14ac:dyDescent="0.35">
      <c r="A992">
        <v>991</v>
      </c>
      <c r="B992">
        <v>61</v>
      </c>
      <c r="C992" t="s">
        <v>72</v>
      </c>
      <c r="D992" t="s">
        <v>5</v>
      </c>
      <c r="E992" t="s">
        <v>8</v>
      </c>
      <c r="F992" t="s">
        <v>12</v>
      </c>
      <c r="G992">
        <v>0</v>
      </c>
      <c r="H992">
        <v>22</v>
      </c>
      <c r="I992" t="s">
        <v>17</v>
      </c>
      <c r="J992" s="1">
        <v>801.36000000000013</v>
      </c>
      <c r="K992" s="1">
        <v>267.12000000000006</v>
      </c>
      <c r="L992">
        <v>3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8</v>
      </c>
      <c r="S992" s="5">
        <v>3</v>
      </c>
      <c r="T992" s="5">
        <v>2</v>
      </c>
      <c r="U992" s="5">
        <v>1</v>
      </c>
      <c r="V992" s="5">
        <v>6</v>
      </c>
    </row>
    <row r="993" spans="1:22" x14ac:dyDescent="0.35">
      <c r="A993">
        <v>992</v>
      </c>
      <c r="B993">
        <v>26</v>
      </c>
      <c r="C993" t="s">
        <v>73</v>
      </c>
      <c r="D993" t="s">
        <v>5</v>
      </c>
      <c r="E993" t="s">
        <v>7</v>
      </c>
      <c r="F993" t="s">
        <v>11</v>
      </c>
      <c r="G993">
        <v>0</v>
      </c>
      <c r="H993">
        <v>9</v>
      </c>
      <c r="I993" t="s">
        <v>17</v>
      </c>
      <c r="J993" s="1">
        <v>311.62</v>
      </c>
      <c r="K993" s="1">
        <v>311.62</v>
      </c>
      <c r="L993">
        <v>1</v>
      </c>
      <c r="M993">
        <v>1</v>
      </c>
      <c r="N993">
        <v>1</v>
      </c>
      <c r="O993">
        <v>0</v>
      </c>
      <c r="P993">
        <v>0</v>
      </c>
      <c r="Q993">
        <v>1</v>
      </c>
      <c r="R993">
        <v>269</v>
      </c>
      <c r="S993" s="5">
        <v>1</v>
      </c>
      <c r="T993" s="5">
        <v>1</v>
      </c>
      <c r="U993" s="5">
        <v>1</v>
      </c>
      <c r="V993" s="5">
        <v>3</v>
      </c>
    </row>
    <row r="994" spans="1:22" x14ac:dyDescent="0.35">
      <c r="A994">
        <v>993</v>
      </c>
      <c r="B994">
        <v>50</v>
      </c>
      <c r="C994" t="s">
        <v>74</v>
      </c>
      <c r="D994" t="s">
        <v>6</v>
      </c>
      <c r="E994" t="s">
        <v>9</v>
      </c>
      <c r="F994" t="s">
        <v>13</v>
      </c>
      <c r="G994">
        <v>0</v>
      </c>
      <c r="H994">
        <v>11</v>
      </c>
      <c r="I994" t="s">
        <v>17</v>
      </c>
      <c r="J994" s="1">
        <v>81.64</v>
      </c>
      <c r="K994" s="1">
        <v>81.64</v>
      </c>
      <c r="L994">
        <v>1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317</v>
      </c>
      <c r="S994" s="5">
        <v>1</v>
      </c>
      <c r="T994" s="5">
        <v>1</v>
      </c>
      <c r="U994" s="5">
        <v>1</v>
      </c>
      <c r="V994" s="5">
        <v>3</v>
      </c>
    </row>
    <row r="995" spans="1:22" x14ac:dyDescent="0.35">
      <c r="A995">
        <v>994</v>
      </c>
      <c r="B995">
        <v>35</v>
      </c>
      <c r="C995" t="s">
        <v>75</v>
      </c>
      <c r="D995" t="s">
        <v>6</v>
      </c>
      <c r="E995" t="s">
        <v>7</v>
      </c>
      <c r="F995" t="s">
        <v>12</v>
      </c>
      <c r="G995">
        <v>0</v>
      </c>
      <c r="H995">
        <v>25</v>
      </c>
      <c r="I995" t="s">
        <v>16</v>
      </c>
      <c r="J995" s="1">
        <v>1801.34</v>
      </c>
      <c r="K995" s="1">
        <v>200.14888888888888</v>
      </c>
      <c r="L995">
        <v>9</v>
      </c>
      <c r="M995">
        <v>2</v>
      </c>
      <c r="N995">
        <v>1</v>
      </c>
      <c r="O995">
        <v>1</v>
      </c>
      <c r="P995">
        <v>0</v>
      </c>
      <c r="Q995">
        <v>0</v>
      </c>
      <c r="R995">
        <v>15</v>
      </c>
      <c r="S995" s="5">
        <v>3</v>
      </c>
      <c r="T995" s="5">
        <v>3</v>
      </c>
      <c r="U995" s="5">
        <v>3</v>
      </c>
      <c r="V995" s="5">
        <v>9</v>
      </c>
    </row>
    <row r="996" spans="1:22" x14ac:dyDescent="0.35">
      <c r="A996">
        <v>995</v>
      </c>
      <c r="B996">
        <v>23</v>
      </c>
      <c r="C996" t="s">
        <v>73</v>
      </c>
      <c r="D996" t="s">
        <v>6</v>
      </c>
      <c r="E996" t="s">
        <v>10</v>
      </c>
      <c r="F996" t="s">
        <v>11</v>
      </c>
      <c r="G996">
        <v>1</v>
      </c>
      <c r="H996">
        <v>34</v>
      </c>
      <c r="I996" t="s">
        <v>17</v>
      </c>
      <c r="J996" s="1">
        <v>1020</v>
      </c>
      <c r="K996" s="1">
        <v>204</v>
      </c>
      <c r="L996">
        <v>5</v>
      </c>
      <c r="M996">
        <v>1</v>
      </c>
      <c r="N996">
        <v>0</v>
      </c>
      <c r="O996">
        <v>0</v>
      </c>
      <c r="P996">
        <v>1</v>
      </c>
      <c r="Q996">
        <v>0</v>
      </c>
      <c r="R996">
        <v>4</v>
      </c>
      <c r="S996" s="5">
        <v>3</v>
      </c>
      <c r="T996" s="5">
        <v>2</v>
      </c>
      <c r="U996" s="5">
        <v>2</v>
      </c>
      <c r="V996" s="5">
        <v>7</v>
      </c>
    </row>
    <row r="997" spans="1:22" x14ac:dyDescent="0.35">
      <c r="A997">
        <v>996</v>
      </c>
      <c r="B997">
        <v>54</v>
      </c>
      <c r="C997" t="s">
        <v>74</v>
      </c>
      <c r="D997" t="s">
        <v>6</v>
      </c>
      <c r="E997" t="s">
        <v>7</v>
      </c>
      <c r="F997" t="s">
        <v>11</v>
      </c>
      <c r="G997">
        <v>0</v>
      </c>
      <c r="H997">
        <v>38</v>
      </c>
      <c r="I997" t="s">
        <v>16</v>
      </c>
      <c r="J997" s="1">
        <v>227.25</v>
      </c>
      <c r="K997" s="1">
        <v>227.25</v>
      </c>
      <c r="L997">
        <v>1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160</v>
      </c>
      <c r="S997" s="5">
        <v>1</v>
      </c>
      <c r="T997" s="5">
        <v>1</v>
      </c>
      <c r="U997" s="5">
        <v>1</v>
      </c>
      <c r="V997" s="5">
        <v>3</v>
      </c>
    </row>
    <row r="998" spans="1:22" x14ac:dyDescent="0.35">
      <c r="A998">
        <v>997</v>
      </c>
      <c r="B998">
        <v>19</v>
      </c>
      <c r="C998" t="s">
        <v>73</v>
      </c>
      <c r="D998" t="s">
        <v>5</v>
      </c>
      <c r="E998" t="s">
        <v>9</v>
      </c>
      <c r="F998" t="s">
        <v>13</v>
      </c>
      <c r="G998">
        <v>0</v>
      </c>
      <c r="H998">
        <v>5</v>
      </c>
      <c r="I998" t="s">
        <v>16</v>
      </c>
      <c r="J998" s="1">
        <v>419.82</v>
      </c>
      <c r="K998" s="1">
        <v>209.91</v>
      </c>
      <c r="L998">
        <v>2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67</v>
      </c>
      <c r="S998" s="5">
        <v>2</v>
      </c>
      <c r="T998" s="5">
        <v>1</v>
      </c>
      <c r="U998" s="5">
        <v>1</v>
      </c>
      <c r="V998" s="5">
        <v>4</v>
      </c>
    </row>
    <row r="999" spans="1:22" x14ac:dyDescent="0.35">
      <c r="A999">
        <v>998</v>
      </c>
      <c r="B999">
        <v>47</v>
      </c>
      <c r="C999" t="s">
        <v>74</v>
      </c>
      <c r="D999" t="s">
        <v>5</v>
      </c>
      <c r="E999" t="s">
        <v>8</v>
      </c>
      <c r="F999" t="s">
        <v>11</v>
      </c>
      <c r="G999">
        <v>0</v>
      </c>
      <c r="H999">
        <v>47</v>
      </c>
      <c r="I999" t="s">
        <v>17</v>
      </c>
      <c r="J999" s="1">
        <v>252.15</v>
      </c>
      <c r="K999" s="1">
        <v>252.15</v>
      </c>
      <c r="L999">
        <v>1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104</v>
      </c>
      <c r="S999" s="5">
        <v>1</v>
      </c>
      <c r="T999" s="5">
        <v>1</v>
      </c>
      <c r="U999" s="5">
        <v>1</v>
      </c>
      <c r="V999" s="5">
        <v>3</v>
      </c>
    </row>
    <row r="1000" spans="1:22" x14ac:dyDescent="0.35">
      <c r="A1000">
        <v>999</v>
      </c>
      <c r="B1000">
        <v>23</v>
      </c>
      <c r="C1000" t="s">
        <v>73</v>
      </c>
      <c r="D1000" t="s">
        <v>5</v>
      </c>
      <c r="E1000" t="s">
        <v>9</v>
      </c>
      <c r="F1000" t="s">
        <v>13</v>
      </c>
      <c r="G1000">
        <v>0</v>
      </c>
      <c r="H1000">
        <v>23</v>
      </c>
      <c r="I1000" t="s">
        <v>17</v>
      </c>
      <c r="J1000" s="1">
        <v>2393.2599999999998</v>
      </c>
      <c r="K1000" s="1">
        <v>265.91777777777776</v>
      </c>
      <c r="L1000">
        <v>9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24</v>
      </c>
      <c r="S1000" s="5">
        <v>3</v>
      </c>
      <c r="T1000" s="5">
        <v>3</v>
      </c>
      <c r="U1000" s="5">
        <v>3</v>
      </c>
      <c r="V1000" s="5">
        <v>9</v>
      </c>
    </row>
    <row r="1001" spans="1:22" x14ac:dyDescent="0.35">
      <c r="A1001">
        <v>1000</v>
      </c>
      <c r="B1001">
        <v>34</v>
      </c>
      <c r="C1001" t="s">
        <v>75</v>
      </c>
      <c r="D1001" t="s">
        <v>5</v>
      </c>
      <c r="E1001" t="s">
        <v>9</v>
      </c>
      <c r="F1001" t="s">
        <v>11</v>
      </c>
      <c r="G1001">
        <v>0</v>
      </c>
      <c r="H1001">
        <v>22</v>
      </c>
      <c r="I1001" t="s">
        <v>16</v>
      </c>
      <c r="J1001" s="1">
        <v>1670.79</v>
      </c>
      <c r="K1001" s="1">
        <v>278.46499999999997</v>
      </c>
      <c r="L1001">
        <v>6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18</v>
      </c>
      <c r="S1001" s="5">
        <v>3</v>
      </c>
      <c r="T1001" s="5">
        <v>2</v>
      </c>
      <c r="U1001" s="5">
        <v>3</v>
      </c>
      <c r="V1001" s="5">
        <v>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29E86-9370-4666-98A1-06EA043CB67C}">
  <dimension ref="A1:I36"/>
  <sheetViews>
    <sheetView workbookViewId="0">
      <selection activeCell="E33" sqref="E33"/>
    </sheetView>
  </sheetViews>
  <sheetFormatPr defaultRowHeight="14.5" x14ac:dyDescent="0.35"/>
  <cols>
    <col min="1" max="1" width="18.6328125" bestFit="1" customWidth="1"/>
    <col min="2" max="2" width="11.36328125" customWidth="1"/>
    <col min="3" max="3" width="12.08984375" customWidth="1"/>
    <col min="4" max="4" width="9.7265625" bestFit="1" customWidth="1"/>
    <col min="5" max="5" width="14.36328125" customWidth="1"/>
    <col min="6" max="6" width="14.453125" customWidth="1"/>
    <col min="7" max="8" width="14.7265625" customWidth="1"/>
    <col min="9" max="9" width="42.453125" bestFit="1" customWidth="1"/>
  </cols>
  <sheetData>
    <row r="1" spans="1:4" x14ac:dyDescent="0.35">
      <c r="A1" t="s">
        <v>33</v>
      </c>
      <c r="B1" t="s">
        <v>34</v>
      </c>
      <c r="C1" t="s">
        <v>35</v>
      </c>
      <c r="D1" t="s">
        <v>36</v>
      </c>
    </row>
    <row r="2" spans="1:4" x14ac:dyDescent="0.35">
      <c r="A2" t="s">
        <v>0</v>
      </c>
      <c r="B2">
        <f>COUNTBLANK(Customer_level!A$2:A$1001)</f>
        <v>0</v>
      </c>
      <c r="C2">
        <f>B2/1000*100</f>
        <v>0</v>
      </c>
    </row>
    <row r="3" spans="1:4" x14ac:dyDescent="0.35">
      <c r="A3" t="s">
        <v>1</v>
      </c>
      <c r="B3">
        <f>COUNTBLANK(Customer_level!B$2:B$1001)</f>
        <v>0</v>
      </c>
      <c r="C3">
        <f t="shared" ref="C3:C22" si="0">B3/1000*100</f>
        <v>0</v>
      </c>
    </row>
    <row r="4" spans="1:4" x14ac:dyDescent="0.35">
      <c r="A4" t="s">
        <v>2</v>
      </c>
      <c r="B4">
        <f>COUNTBLANK(Customer_level!D2:D1001)</f>
        <v>0</v>
      </c>
      <c r="C4">
        <f t="shared" si="0"/>
        <v>0</v>
      </c>
    </row>
    <row r="5" spans="1:4" x14ac:dyDescent="0.35">
      <c r="A5" t="s">
        <v>3</v>
      </c>
      <c r="B5">
        <f>COUNTBLANK(Customer_level!E2:E1001)</f>
        <v>0</v>
      </c>
      <c r="C5">
        <f t="shared" si="0"/>
        <v>0</v>
      </c>
    </row>
    <row r="6" spans="1:4" x14ac:dyDescent="0.35">
      <c r="A6" t="s">
        <v>4</v>
      </c>
      <c r="B6">
        <f>COUNTBLANK(Customer_level!F2:F1001)</f>
        <v>0</v>
      </c>
      <c r="C6">
        <f t="shared" si="0"/>
        <v>0</v>
      </c>
    </row>
    <row r="7" spans="1:4" x14ac:dyDescent="0.35">
      <c r="A7" t="s">
        <v>19</v>
      </c>
      <c r="B7">
        <f>COUNTBLANK(Customer_level!G2:G1001)</f>
        <v>0</v>
      </c>
      <c r="C7">
        <f t="shared" si="0"/>
        <v>0</v>
      </c>
    </row>
    <row r="8" spans="1:4" x14ac:dyDescent="0.35">
      <c r="A8" t="s">
        <v>14</v>
      </c>
      <c r="B8">
        <f>COUNTBLANK(Customer_level!H2:H1001)</f>
        <v>0</v>
      </c>
      <c r="C8">
        <f t="shared" si="0"/>
        <v>0</v>
      </c>
    </row>
    <row r="9" spans="1:4" x14ac:dyDescent="0.35">
      <c r="A9" t="s">
        <v>15</v>
      </c>
      <c r="B9">
        <f>COUNTBLANK(Customer_level!I2:I1001)</f>
        <v>0</v>
      </c>
      <c r="C9">
        <f t="shared" si="0"/>
        <v>0</v>
      </c>
    </row>
    <row r="10" spans="1:4" x14ac:dyDescent="0.35">
      <c r="A10" t="s">
        <v>20</v>
      </c>
      <c r="B10">
        <f>COUNTBLANK(Customer_level!J2:J1001)</f>
        <v>0</v>
      </c>
      <c r="C10">
        <f t="shared" si="0"/>
        <v>0</v>
      </c>
    </row>
    <row r="11" spans="1:4" x14ac:dyDescent="0.35">
      <c r="A11" t="s">
        <v>24</v>
      </c>
      <c r="B11">
        <f>COUNTBLANK(Customer_level!K2:K1001)</f>
        <v>0</v>
      </c>
      <c r="C11">
        <f t="shared" si="0"/>
        <v>0</v>
      </c>
    </row>
    <row r="12" spans="1:4" x14ac:dyDescent="0.35">
      <c r="A12" t="s">
        <v>21</v>
      </c>
      <c r="B12">
        <f>COUNTBLANK(Customer_level!L2:L1001)</f>
        <v>0</v>
      </c>
      <c r="C12">
        <f t="shared" si="0"/>
        <v>0</v>
      </c>
    </row>
    <row r="13" spans="1:4" x14ac:dyDescent="0.35">
      <c r="A13" t="s">
        <v>31</v>
      </c>
      <c r="B13">
        <f>COUNTBLANK(Customer_level!M2:M1001)</f>
        <v>0</v>
      </c>
      <c r="C13">
        <f t="shared" si="0"/>
        <v>0</v>
      </c>
    </row>
    <row r="14" spans="1:4" x14ac:dyDescent="0.35">
      <c r="A14" t="s">
        <v>22</v>
      </c>
      <c r="B14">
        <f>COUNTBLANK(Customer_level!N2:N1001)</f>
        <v>0</v>
      </c>
      <c r="C14">
        <f t="shared" si="0"/>
        <v>0</v>
      </c>
    </row>
    <row r="15" spans="1:4" x14ac:dyDescent="0.35">
      <c r="A15" t="s">
        <v>23</v>
      </c>
      <c r="B15">
        <f>COUNTBLANK(Customer_level!O2:O1001)</f>
        <v>0</v>
      </c>
      <c r="C15">
        <f t="shared" si="0"/>
        <v>0</v>
      </c>
    </row>
    <row r="16" spans="1:4" x14ac:dyDescent="0.35">
      <c r="A16" t="s">
        <v>26</v>
      </c>
      <c r="B16">
        <f>COUNTBLANK(Customer_level!P2:P1001)</f>
        <v>0</v>
      </c>
      <c r="C16">
        <f t="shared" si="0"/>
        <v>0</v>
      </c>
    </row>
    <row r="17" spans="1:9" x14ac:dyDescent="0.35">
      <c r="A17" t="s">
        <v>25</v>
      </c>
      <c r="B17">
        <f>COUNTBLANK(Customer_level!Q2:Q1001)</f>
        <v>0</v>
      </c>
      <c r="C17">
        <f t="shared" si="0"/>
        <v>0</v>
      </c>
    </row>
    <row r="18" spans="1:9" x14ac:dyDescent="0.35">
      <c r="A18" t="s">
        <v>32</v>
      </c>
      <c r="B18">
        <f>COUNTBLANK(Customer_level!R2:R1001)</f>
        <v>0</v>
      </c>
      <c r="C18">
        <f t="shared" si="0"/>
        <v>0</v>
      </c>
    </row>
    <row r="19" spans="1:9" x14ac:dyDescent="0.35">
      <c r="A19" t="s">
        <v>27</v>
      </c>
      <c r="B19">
        <f>COUNTBLANK(Customer_level!S2:S1001)</f>
        <v>0</v>
      </c>
      <c r="C19">
        <f t="shared" si="0"/>
        <v>0</v>
      </c>
    </row>
    <row r="20" spans="1:9" x14ac:dyDescent="0.35">
      <c r="A20" t="s">
        <v>28</v>
      </c>
      <c r="B20">
        <f>COUNTBLANK(Customer_level!T2:T1001)</f>
        <v>0</v>
      </c>
      <c r="C20">
        <f t="shared" si="0"/>
        <v>0</v>
      </c>
    </row>
    <row r="21" spans="1:9" x14ac:dyDescent="0.35">
      <c r="A21" t="s">
        <v>29</v>
      </c>
      <c r="B21">
        <f>COUNTBLANK(Customer_level!U2:U1001)</f>
        <v>0</v>
      </c>
      <c r="C21">
        <f t="shared" si="0"/>
        <v>0</v>
      </c>
    </row>
    <row r="22" spans="1:9" x14ac:dyDescent="0.35">
      <c r="A22" t="s">
        <v>30</v>
      </c>
      <c r="B22">
        <f>COUNTBLANK(Customer_level!V2:V1001)</f>
        <v>0</v>
      </c>
      <c r="C22">
        <f t="shared" si="0"/>
        <v>0</v>
      </c>
    </row>
    <row r="25" spans="1:9" x14ac:dyDescent="0.35">
      <c r="A25" t="s">
        <v>44</v>
      </c>
    </row>
    <row r="26" spans="1:9" x14ac:dyDescent="0.35">
      <c r="A26" t="s">
        <v>45</v>
      </c>
    </row>
    <row r="27" spans="1:9" x14ac:dyDescent="0.35">
      <c r="A27" t="s">
        <v>46</v>
      </c>
    </row>
    <row r="30" spans="1:9" ht="15" thickBot="1" x14ac:dyDescent="0.4">
      <c r="A30" s="4" t="s">
        <v>33</v>
      </c>
      <c r="B30" t="s">
        <v>37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51</v>
      </c>
      <c r="I30" t="s">
        <v>43</v>
      </c>
    </row>
    <row r="31" spans="1:9" ht="15" thickTop="1" x14ac:dyDescent="0.35">
      <c r="A31" s="3" t="s">
        <v>1</v>
      </c>
      <c r="B31" s="6">
        <f>QUARTILE(Customer_level!B2:B1001,1)</f>
        <v>30</v>
      </c>
      <c r="C31" s="6">
        <f>QUARTILE(Customer_level!B2:B1001,3)</f>
        <v>56</v>
      </c>
      <c r="D31" s="6">
        <f t="shared" ref="D31:D36" si="1">C31-B31</f>
        <v>26</v>
      </c>
      <c r="E31" s="6">
        <f t="shared" ref="E31:E36" si="2">B31-(1.5*D31)</f>
        <v>-9</v>
      </c>
      <c r="F31" s="6">
        <f t="shared" ref="F31:F36" si="3">C31+(1.5*D31)</f>
        <v>95</v>
      </c>
      <c r="G31" s="6">
        <f>COUNTIFS(Customer_level!B2:B1001,"&lt;"&amp;E31)+COUNTIFS(Customer_level!B2:B1001,"&gt;"&amp;F31)</f>
        <v>0</v>
      </c>
      <c r="H31" s="8">
        <f>Table2[[#This Row],[Count_Outlier]]/1000*100</f>
        <v>0</v>
      </c>
      <c r="I31" t="s">
        <v>47</v>
      </c>
    </row>
    <row r="32" spans="1:9" x14ac:dyDescent="0.35">
      <c r="A32" s="2" t="s">
        <v>14</v>
      </c>
      <c r="B32" s="6">
        <f>QUARTILE(Customer_level!H2:H1001,1)</f>
        <v>13.75</v>
      </c>
      <c r="C32" s="6">
        <f>QUARTILE(Customer_level!H2:H1001,3)</f>
        <v>38</v>
      </c>
      <c r="D32" s="6">
        <f t="shared" si="1"/>
        <v>24.25</v>
      </c>
      <c r="E32" s="6">
        <f t="shared" si="2"/>
        <v>-22.625</v>
      </c>
      <c r="F32" s="6">
        <f t="shared" si="3"/>
        <v>74.375</v>
      </c>
      <c r="G32" s="6">
        <f>COUNTIFS(Customer_level!H2:H1001,"&lt;"&amp;E32)+COUNTIFS(Customer_level!H2:H1001,"&gt;"&amp;F32)</f>
        <v>0</v>
      </c>
      <c r="H32" s="8">
        <f>Table2[[#This Row],[Count_Outlier]]/1000*100</f>
        <v>0</v>
      </c>
      <c r="I32" t="s">
        <v>47</v>
      </c>
    </row>
    <row r="33" spans="1:9" x14ac:dyDescent="0.35">
      <c r="A33" s="2" t="s">
        <v>20</v>
      </c>
      <c r="B33" s="7">
        <f>QUARTILE(Customer_level!J2:J1001,1)</f>
        <v>626.68499999999995</v>
      </c>
      <c r="C33" s="7">
        <f>QUARTILE(Customer_level!J2:J1001,3)</f>
        <v>1791.9024999999999</v>
      </c>
      <c r="D33" s="7">
        <f t="shared" si="1"/>
        <v>1165.2175</v>
      </c>
      <c r="E33" s="7">
        <f t="shared" si="2"/>
        <v>-1121.1412500000001</v>
      </c>
      <c r="F33" s="7">
        <f t="shared" si="3"/>
        <v>3539.7287500000002</v>
      </c>
      <c r="G33" s="7">
        <f>COUNTIFS(Customer_level!J2:J1001,"&lt;"&amp;E33)+COUNTIFS(Customer_level!J2:J1001,"&gt;"&amp;F33)</f>
        <v>0</v>
      </c>
      <c r="H33" s="9">
        <f>Table2[[#This Row],[Count_Outlier]]/1000*100</f>
        <v>0</v>
      </c>
      <c r="I33" t="s">
        <v>47</v>
      </c>
    </row>
    <row r="34" spans="1:9" x14ac:dyDescent="0.35">
      <c r="A34" s="3" t="s">
        <v>24</v>
      </c>
      <c r="B34" s="7">
        <f>QUARTILE(Customer_level!K2:K1001,1)</f>
        <v>203.73416666666668</v>
      </c>
      <c r="C34" s="7">
        <f>QUARTILE(Customer_level!K2:K1001,3)</f>
        <v>295.02385416666664</v>
      </c>
      <c r="D34" s="7">
        <f t="shared" si="1"/>
        <v>91.289687499999957</v>
      </c>
      <c r="E34" s="7">
        <f t="shared" si="2"/>
        <v>66.799635416666746</v>
      </c>
      <c r="F34" s="7">
        <f t="shared" si="3"/>
        <v>431.9583854166666</v>
      </c>
      <c r="G34" s="7">
        <f>COUNTIFS(Customer_level!K2:K1001,"&lt;"&amp;E34)+COUNTIFS(Customer_level!K2:K1001,"&gt;"&amp;F34)</f>
        <v>38</v>
      </c>
      <c r="H34" s="9">
        <f>Table2[[#This Row],[Count_Outlier]]/1000*100</f>
        <v>3.8</v>
      </c>
      <c r="I34" t="s">
        <v>50</v>
      </c>
    </row>
    <row r="35" spans="1:9" x14ac:dyDescent="0.35">
      <c r="A35" s="2" t="s">
        <v>21</v>
      </c>
      <c r="B35" s="6">
        <f>QUARTILE(Customer_level!L2:L1001,1)</f>
        <v>3</v>
      </c>
      <c r="C35" s="6">
        <f>QUARTILE(Customer_level!L2:L1001,3)</f>
        <v>7</v>
      </c>
      <c r="D35" s="6">
        <f t="shared" si="1"/>
        <v>4</v>
      </c>
      <c r="E35" s="6">
        <f t="shared" si="2"/>
        <v>-3</v>
      </c>
      <c r="F35" s="6">
        <f t="shared" si="3"/>
        <v>13</v>
      </c>
      <c r="G35" s="6">
        <f>COUNTIFS(Customer_level!L2:L1001,"&lt;"&amp;E35)+COUNTIFS(Customer_level!L2:L1001,"&gt;"&amp;F35)</f>
        <v>0</v>
      </c>
      <c r="H35" s="8">
        <f>Table2[[#This Row],[Count_Outlier]]/1000*100</f>
        <v>0</v>
      </c>
      <c r="I35" t="s">
        <v>48</v>
      </c>
    </row>
    <row r="36" spans="1:9" x14ac:dyDescent="0.35">
      <c r="A36" s="2" t="s">
        <v>32</v>
      </c>
      <c r="B36" s="6">
        <f>QUARTILE(Customer_level!R2:R1001,1)</f>
        <v>20</v>
      </c>
      <c r="C36" s="6">
        <f>QUARTILE(Customer_level!R2:R1001,3)</f>
        <v>106</v>
      </c>
      <c r="D36" s="6">
        <f t="shared" si="1"/>
        <v>86</v>
      </c>
      <c r="E36" s="6">
        <f t="shared" si="2"/>
        <v>-109</v>
      </c>
      <c r="F36" s="6">
        <f t="shared" si="3"/>
        <v>235</v>
      </c>
      <c r="G36" s="6">
        <f>COUNTIFS(Customer_level!R2:R1001,"&lt;"&amp;E36)+COUNTIFS(Customer_level!R2:R1001,"&gt;"&amp;F36)</f>
        <v>66</v>
      </c>
      <c r="H36" s="8">
        <f>Table2[[#This Row],[Count_Outlier]]/1000*100</f>
        <v>6.6000000000000005</v>
      </c>
      <c r="I36" t="s">
        <v>49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91BAB-8805-448D-861E-6DBB51619B00}">
  <dimension ref="A1:Z1005"/>
  <sheetViews>
    <sheetView topLeftCell="N1" zoomScaleNormal="100" workbookViewId="0">
      <selection activeCell="Q5" sqref="Q5"/>
    </sheetView>
  </sheetViews>
  <sheetFormatPr defaultRowHeight="14.5" x14ac:dyDescent="0.35"/>
  <cols>
    <col min="1" max="1" width="12.81640625" customWidth="1"/>
    <col min="2" max="2" width="8.7265625" style="10"/>
    <col min="3" max="3" width="9" customWidth="1"/>
    <col min="4" max="7" width="14.1796875" customWidth="1"/>
    <col min="8" max="9" width="13.1796875" customWidth="1"/>
    <col min="10" max="10" width="15.81640625" style="6" customWidth="1"/>
    <col min="11" max="13" width="13.6328125" customWidth="1"/>
    <col min="14" max="14" width="20.7265625" style="10" customWidth="1"/>
    <col min="15" max="15" width="19.453125" style="10" customWidth="1"/>
    <col min="16" max="16" width="17.6328125" style="10" customWidth="1"/>
    <col min="17" max="17" width="16.90625" customWidth="1"/>
    <col min="18" max="18" width="16.36328125" customWidth="1"/>
    <col min="19" max="19" width="18.453125" customWidth="1"/>
    <col min="22" max="22" width="8.7265625" style="10"/>
  </cols>
  <sheetData>
    <row r="1" spans="1:26" x14ac:dyDescent="0.35">
      <c r="A1" t="s">
        <v>0</v>
      </c>
      <c r="B1" s="10" t="s">
        <v>1</v>
      </c>
      <c r="C1" t="s">
        <v>59</v>
      </c>
      <c r="D1" t="s">
        <v>52</v>
      </c>
      <c r="E1" t="s">
        <v>53</v>
      </c>
      <c r="F1" t="s">
        <v>54</v>
      </c>
      <c r="G1" t="s">
        <v>55</v>
      </c>
      <c r="H1" t="s">
        <v>4</v>
      </c>
      <c r="I1" t="s">
        <v>19</v>
      </c>
      <c r="J1" s="6" t="s">
        <v>14</v>
      </c>
      <c r="K1" t="s">
        <v>56</v>
      </c>
      <c r="L1" t="s">
        <v>57</v>
      </c>
      <c r="M1" t="s">
        <v>58</v>
      </c>
      <c r="N1" s="10" t="s">
        <v>20</v>
      </c>
      <c r="O1" s="10" t="s">
        <v>24</v>
      </c>
      <c r="P1" s="10" t="s">
        <v>21</v>
      </c>
      <c r="Q1" t="s">
        <v>31</v>
      </c>
      <c r="R1" t="s">
        <v>22</v>
      </c>
      <c r="S1" t="s">
        <v>23</v>
      </c>
      <c r="T1" t="s">
        <v>26</v>
      </c>
      <c r="U1" t="s">
        <v>25</v>
      </c>
      <c r="V1" s="10" t="s">
        <v>32</v>
      </c>
      <c r="W1" t="s">
        <v>27</v>
      </c>
      <c r="X1" t="s">
        <v>28</v>
      </c>
      <c r="Y1" t="s">
        <v>29</v>
      </c>
      <c r="Z1" t="s">
        <v>30</v>
      </c>
    </row>
    <row r="2" spans="1:26" x14ac:dyDescent="0.35">
      <c r="A2">
        <v>1</v>
      </c>
      <c r="B2" s="10">
        <v>0.86274509803921573</v>
      </c>
      <c r="C2">
        <v>1</v>
      </c>
      <c r="D2">
        <v>1</v>
      </c>
      <c r="E2">
        <v>0</v>
      </c>
      <c r="F2">
        <v>0</v>
      </c>
      <c r="G2">
        <v>0</v>
      </c>
      <c r="H2">
        <v>1</v>
      </c>
      <c r="I2">
        <v>0</v>
      </c>
      <c r="J2" s="10">
        <v>0.6937473415567843</v>
      </c>
      <c r="K2">
        <v>1</v>
      </c>
      <c r="L2">
        <v>0</v>
      </c>
      <c r="M2">
        <v>0</v>
      </c>
      <c r="N2" s="10">
        <v>0.12045944601094707</v>
      </c>
      <c r="O2" s="10">
        <v>1.5090846898327935E-3</v>
      </c>
      <c r="P2" s="10">
        <v>0</v>
      </c>
      <c r="Q2">
        <v>1</v>
      </c>
      <c r="R2">
        <v>0</v>
      </c>
      <c r="S2">
        <v>0</v>
      </c>
      <c r="T2">
        <v>1</v>
      </c>
      <c r="U2">
        <v>0</v>
      </c>
      <c r="V2" s="10">
        <v>0.78591549295774643</v>
      </c>
      <c r="W2" s="5">
        <v>1</v>
      </c>
      <c r="X2" s="5">
        <v>1</v>
      </c>
      <c r="Y2" s="5">
        <v>1</v>
      </c>
      <c r="Z2" s="5">
        <v>3</v>
      </c>
    </row>
    <row r="3" spans="1:26" x14ac:dyDescent="0.35">
      <c r="A3">
        <v>2</v>
      </c>
      <c r="B3" s="10">
        <v>0.92156862745098034</v>
      </c>
      <c r="C3">
        <v>1</v>
      </c>
      <c r="D3">
        <v>0</v>
      </c>
      <c r="E3">
        <v>1</v>
      </c>
      <c r="F3">
        <v>0</v>
      </c>
      <c r="G3">
        <v>0</v>
      </c>
      <c r="H3">
        <v>1</v>
      </c>
      <c r="I3">
        <v>1</v>
      </c>
      <c r="J3" s="10">
        <v>0.10165886856656743</v>
      </c>
      <c r="K3">
        <v>0</v>
      </c>
      <c r="L3">
        <v>1</v>
      </c>
      <c r="M3">
        <v>0</v>
      </c>
      <c r="N3" s="10">
        <v>0.45542378503897823</v>
      </c>
      <c r="O3" s="10">
        <v>1.7605988048049255E-3</v>
      </c>
      <c r="P3" s="10">
        <v>0.75</v>
      </c>
      <c r="Q3">
        <v>1</v>
      </c>
      <c r="R3">
        <v>0</v>
      </c>
      <c r="S3">
        <v>0</v>
      </c>
      <c r="T3">
        <v>1</v>
      </c>
      <c r="U3">
        <v>0</v>
      </c>
      <c r="V3" s="10">
        <v>0.11830985915492957</v>
      </c>
      <c r="W3" s="5">
        <v>2</v>
      </c>
      <c r="X3" s="5">
        <v>2</v>
      </c>
      <c r="Y3" s="5">
        <v>2</v>
      </c>
      <c r="Z3" s="5">
        <v>6</v>
      </c>
    </row>
    <row r="4" spans="1:26" x14ac:dyDescent="0.35">
      <c r="A4">
        <v>3</v>
      </c>
      <c r="B4" s="10">
        <v>0</v>
      </c>
      <c r="C4">
        <v>1</v>
      </c>
      <c r="D4">
        <v>1</v>
      </c>
      <c r="E4">
        <v>0</v>
      </c>
      <c r="F4">
        <v>0</v>
      </c>
      <c r="G4">
        <v>0</v>
      </c>
      <c r="H4">
        <v>1</v>
      </c>
      <c r="I4">
        <v>0</v>
      </c>
      <c r="J4" s="10">
        <v>6.0825180774138662E-2</v>
      </c>
      <c r="K4">
        <v>0</v>
      </c>
      <c r="L4">
        <v>1</v>
      </c>
      <c r="M4">
        <v>0</v>
      </c>
      <c r="N4" s="10">
        <v>0.5014987086226097</v>
      </c>
      <c r="O4" s="10">
        <v>0</v>
      </c>
      <c r="P4" s="10">
        <v>0.625</v>
      </c>
      <c r="Q4">
        <v>1</v>
      </c>
      <c r="R4">
        <v>0</v>
      </c>
      <c r="S4">
        <v>0</v>
      </c>
      <c r="T4">
        <v>1</v>
      </c>
      <c r="U4">
        <v>0</v>
      </c>
      <c r="V4" s="10">
        <v>0.23661971830985915</v>
      </c>
      <c r="W4" s="5">
        <v>1</v>
      </c>
      <c r="X4" s="5">
        <v>2</v>
      </c>
      <c r="Y4" s="5">
        <v>3</v>
      </c>
      <c r="Z4" s="5">
        <v>6</v>
      </c>
    </row>
    <row r="5" spans="1:26" x14ac:dyDescent="0.35">
      <c r="A5">
        <v>4</v>
      </c>
      <c r="B5" s="10">
        <v>5.8823529411764705E-2</v>
      </c>
      <c r="C5">
        <v>1</v>
      </c>
      <c r="D5">
        <v>0</v>
      </c>
      <c r="E5">
        <v>0</v>
      </c>
      <c r="F5">
        <v>0</v>
      </c>
      <c r="G5">
        <v>1</v>
      </c>
      <c r="H5">
        <v>1</v>
      </c>
      <c r="I5">
        <v>0</v>
      </c>
      <c r="J5" s="10">
        <v>4.0408336877924292E-2</v>
      </c>
      <c r="K5">
        <v>0</v>
      </c>
      <c r="L5">
        <v>1</v>
      </c>
      <c r="M5">
        <v>0</v>
      </c>
      <c r="N5" s="10">
        <v>0.2687871715280904</v>
      </c>
      <c r="O5" s="10">
        <v>1.2575705748606612E-3</v>
      </c>
      <c r="P5" s="10">
        <v>0.5</v>
      </c>
      <c r="Q5">
        <v>2</v>
      </c>
      <c r="R5">
        <v>1</v>
      </c>
      <c r="S5">
        <v>0</v>
      </c>
      <c r="T5">
        <v>1</v>
      </c>
      <c r="U5">
        <v>0</v>
      </c>
      <c r="V5" s="10">
        <v>1.1267605633802818E-2</v>
      </c>
      <c r="W5" s="5">
        <v>3</v>
      </c>
      <c r="X5" s="5">
        <v>2</v>
      </c>
      <c r="Y5" s="5">
        <v>2</v>
      </c>
      <c r="Z5" s="5">
        <v>7</v>
      </c>
    </row>
    <row r="6" spans="1:26" x14ac:dyDescent="0.35">
      <c r="A6">
        <v>5</v>
      </c>
      <c r="B6" s="10">
        <v>5.8823529411764705E-2</v>
      </c>
      <c r="C6">
        <v>1</v>
      </c>
      <c r="D6">
        <v>0</v>
      </c>
      <c r="E6">
        <v>0</v>
      </c>
      <c r="F6">
        <v>1</v>
      </c>
      <c r="G6">
        <v>0</v>
      </c>
      <c r="H6">
        <v>2</v>
      </c>
      <c r="I6">
        <v>0</v>
      </c>
      <c r="J6" s="10">
        <v>0.83666524883028492</v>
      </c>
      <c r="K6">
        <v>0</v>
      </c>
      <c r="L6">
        <v>1</v>
      </c>
      <c r="M6">
        <v>0</v>
      </c>
      <c r="N6" s="10">
        <v>0.58991363173234124</v>
      </c>
      <c r="O6" s="10">
        <v>1.0060564598885289E-3</v>
      </c>
      <c r="P6" s="10">
        <v>0.875</v>
      </c>
      <c r="Q6">
        <v>0</v>
      </c>
      <c r="R6">
        <v>0</v>
      </c>
      <c r="S6">
        <v>0</v>
      </c>
      <c r="T6">
        <v>0</v>
      </c>
      <c r="U6">
        <v>0</v>
      </c>
      <c r="V6" s="10">
        <v>2.8169014084507043E-2</v>
      </c>
      <c r="W6" s="5">
        <v>3</v>
      </c>
      <c r="X6" s="5">
        <v>3</v>
      </c>
      <c r="Y6" s="5">
        <v>3</v>
      </c>
      <c r="Z6" s="5">
        <v>9</v>
      </c>
    </row>
    <row r="7" spans="1:26" x14ac:dyDescent="0.35">
      <c r="A7">
        <v>6</v>
      </c>
      <c r="B7" s="10">
        <v>0.76470588235294112</v>
      </c>
      <c r="C7">
        <v>0</v>
      </c>
      <c r="D7">
        <v>0</v>
      </c>
      <c r="E7">
        <v>0</v>
      </c>
      <c r="F7">
        <v>1</v>
      </c>
      <c r="G7">
        <v>0</v>
      </c>
      <c r="H7">
        <v>2</v>
      </c>
      <c r="I7">
        <v>0</v>
      </c>
      <c r="J7" s="10">
        <v>4.0408336877924292E-2</v>
      </c>
      <c r="K7">
        <v>0</v>
      </c>
      <c r="L7">
        <v>1</v>
      </c>
      <c r="M7">
        <v>0</v>
      </c>
      <c r="N7" s="10">
        <v>0.34194547780963441</v>
      </c>
      <c r="O7" s="10">
        <v>1.7605988048049255E-3</v>
      </c>
      <c r="P7" s="10">
        <v>0.5</v>
      </c>
      <c r="Q7">
        <v>1</v>
      </c>
      <c r="R7">
        <v>0</v>
      </c>
      <c r="S7">
        <v>0</v>
      </c>
      <c r="T7">
        <v>0</v>
      </c>
      <c r="U7">
        <v>1</v>
      </c>
      <c r="V7" s="10">
        <v>0.17746478873239438</v>
      </c>
      <c r="W7" s="5">
        <v>2</v>
      </c>
      <c r="X7" s="5">
        <v>2</v>
      </c>
      <c r="Y7" s="5">
        <v>2</v>
      </c>
      <c r="Z7" s="5">
        <v>6</v>
      </c>
    </row>
    <row r="8" spans="1:26" x14ac:dyDescent="0.35">
      <c r="A8">
        <v>7</v>
      </c>
      <c r="B8" s="10">
        <v>0.17647058823529413</v>
      </c>
      <c r="C8">
        <v>0</v>
      </c>
      <c r="D8">
        <v>0</v>
      </c>
      <c r="E8">
        <v>1</v>
      </c>
      <c r="F8">
        <v>0</v>
      </c>
      <c r="G8">
        <v>0</v>
      </c>
      <c r="H8">
        <v>3</v>
      </c>
      <c r="I8">
        <v>0</v>
      </c>
      <c r="J8" s="10">
        <v>0.65291365376435562</v>
      </c>
      <c r="K8">
        <v>1</v>
      </c>
      <c r="L8">
        <v>0</v>
      </c>
      <c r="M8">
        <v>0</v>
      </c>
      <c r="N8" s="10">
        <v>2.2785702438215292E-2</v>
      </c>
      <c r="O8" s="10">
        <v>1.0060564598885289E-3</v>
      </c>
      <c r="P8" s="10">
        <v>0</v>
      </c>
      <c r="Q8">
        <v>0</v>
      </c>
      <c r="R8">
        <v>0</v>
      </c>
      <c r="S8">
        <v>0</v>
      </c>
      <c r="T8">
        <v>0</v>
      </c>
      <c r="U8">
        <v>0</v>
      </c>
      <c r="V8" s="10">
        <v>0.19154929577464788</v>
      </c>
      <c r="W8" s="5">
        <v>2</v>
      </c>
      <c r="X8" s="5">
        <v>1</v>
      </c>
      <c r="Y8" s="5">
        <v>1</v>
      </c>
      <c r="Z8" s="5">
        <v>4</v>
      </c>
    </row>
    <row r="9" spans="1:26" x14ac:dyDescent="0.35">
      <c r="A9">
        <v>8</v>
      </c>
      <c r="B9" s="10">
        <v>0.37254901960784315</v>
      </c>
      <c r="C9">
        <v>1</v>
      </c>
      <c r="D9">
        <v>1</v>
      </c>
      <c r="E9">
        <v>0</v>
      </c>
      <c r="F9">
        <v>0</v>
      </c>
      <c r="G9">
        <v>0</v>
      </c>
      <c r="H9">
        <v>1</v>
      </c>
      <c r="I9">
        <v>1</v>
      </c>
      <c r="J9" s="10">
        <v>0.34666099532113998</v>
      </c>
      <c r="K9">
        <v>0</v>
      </c>
      <c r="L9">
        <v>0</v>
      </c>
      <c r="M9">
        <v>1</v>
      </c>
      <c r="N9" s="10">
        <v>0.60335758121460559</v>
      </c>
      <c r="O9" s="10">
        <v>1.5090846898327935E-3</v>
      </c>
      <c r="P9" s="10">
        <v>0.75</v>
      </c>
      <c r="Q9">
        <v>2</v>
      </c>
      <c r="R9">
        <v>1</v>
      </c>
      <c r="S9">
        <v>0</v>
      </c>
      <c r="T9">
        <v>1</v>
      </c>
      <c r="U9">
        <v>1</v>
      </c>
      <c r="V9" s="10">
        <v>0.14647887323943662</v>
      </c>
      <c r="W9" s="5">
        <v>2</v>
      </c>
      <c r="X9" s="5">
        <v>2</v>
      </c>
      <c r="Y9" s="5">
        <v>3</v>
      </c>
      <c r="Z9" s="5">
        <v>7</v>
      </c>
    </row>
    <row r="10" spans="1:26" x14ac:dyDescent="0.35">
      <c r="A10">
        <v>9</v>
      </c>
      <c r="B10" s="10">
        <v>0.41176470588235292</v>
      </c>
      <c r="C10">
        <v>1</v>
      </c>
      <c r="D10">
        <v>0</v>
      </c>
      <c r="E10">
        <v>0</v>
      </c>
      <c r="F10">
        <v>1</v>
      </c>
      <c r="G10">
        <v>0</v>
      </c>
      <c r="H10">
        <v>3</v>
      </c>
      <c r="I10">
        <v>0</v>
      </c>
      <c r="J10" s="10">
        <v>0.48957890259464065</v>
      </c>
      <c r="K10">
        <v>0</v>
      </c>
      <c r="L10">
        <v>1</v>
      </c>
      <c r="M10">
        <v>0</v>
      </c>
      <c r="N10" s="10">
        <v>0.38724735208397504</v>
      </c>
      <c r="O10" s="10">
        <v>1.5090846898327935E-3</v>
      </c>
      <c r="P10" s="10">
        <v>0.5</v>
      </c>
      <c r="Q10">
        <v>1</v>
      </c>
      <c r="R10">
        <v>0</v>
      </c>
      <c r="S10">
        <v>0</v>
      </c>
      <c r="T10">
        <v>1</v>
      </c>
      <c r="U10">
        <v>0</v>
      </c>
      <c r="V10" s="10">
        <v>0.20563380281690141</v>
      </c>
      <c r="W10" s="5">
        <v>2</v>
      </c>
      <c r="X10" s="5">
        <v>2</v>
      </c>
      <c r="Y10" s="5">
        <v>2</v>
      </c>
      <c r="Z10" s="5">
        <v>6</v>
      </c>
    </row>
    <row r="11" spans="1:26" x14ac:dyDescent="0.35">
      <c r="A11">
        <v>10</v>
      </c>
      <c r="B11" s="10">
        <v>0.98039215686274506</v>
      </c>
      <c r="C11">
        <v>1</v>
      </c>
      <c r="D11">
        <v>0</v>
      </c>
      <c r="E11">
        <v>1</v>
      </c>
      <c r="F11">
        <v>0</v>
      </c>
      <c r="G11">
        <v>0</v>
      </c>
      <c r="H11">
        <v>3</v>
      </c>
      <c r="I11">
        <v>1</v>
      </c>
      <c r="J11" s="10">
        <v>0.59166312207571248</v>
      </c>
      <c r="K11">
        <v>0</v>
      </c>
      <c r="L11">
        <v>0</v>
      </c>
      <c r="M11">
        <v>1</v>
      </c>
      <c r="N11" s="10">
        <v>0.41097789256687911</v>
      </c>
      <c r="O11" s="10">
        <v>2.0121129197770578E-3</v>
      </c>
      <c r="P11" s="10">
        <v>0.75</v>
      </c>
      <c r="Q11">
        <v>0</v>
      </c>
      <c r="R11">
        <v>0</v>
      </c>
      <c r="S11">
        <v>0</v>
      </c>
      <c r="T11">
        <v>0</v>
      </c>
      <c r="U11">
        <v>0</v>
      </c>
      <c r="V11" s="10">
        <v>0.17183098591549295</v>
      </c>
      <c r="W11" s="5">
        <v>2</v>
      </c>
      <c r="X11" s="5">
        <v>2</v>
      </c>
      <c r="Y11" s="5">
        <v>2</v>
      </c>
      <c r="Z11" s="5">
        <v>6</v>
      </c>
    </row>
    <row r="12" spans="1:26" x14ac:dyDescent="0.35">
      <c r="A12">
        <v>11</v>
      </c>
      <c r="B12" s="10">
        <v>0.70588235294117652</v>
      </c>
      <c r="C12">
        <v>1</v>
      </c>
      <c r="D12">
        <v>0</v>
      </c>
      <c r="E12">
        <v>0</v>
      </c>
      <c r="F12">
        <v>1</v>
      </c>
      <c r="G12">
        <v>0</v>
      </c>
      <c r="H12">
        <v>2</v>
      </c>
      <c r="I12">
        <v>0</v>
      </c>
      <c r="J12" s="10">
        <v>0.61207996597192693</v>
      </c>
      <c r="K12">
        <v>0</v>
      </c>
      <c r="L12">
        <v>0</v>
      </c>
      <c r="M12">
        <v>1</v>
      </c>
      <c r="N12" s="10">
        <v>0.51063609222093209</v>
      </c>
      <c r="O12" s="10">
        <v>1.5090846898327935E-3</v>
      </c>
      <c r="P12" s="10">
        <v>0.5</v>
      </c>
      <c r="Q12">
        <v>2</v>
      </c>
      <c r="R12">
        <v>1</v>
      </c>
      <c r="S12">
        <v>0</v>
      </c>
      <c r="T12">
        <v>0</v>
      </c>
      <c r="U12">
        <v>1</v>
      </c>
      <c r="V12" s="10">
        <v>4.788732394366197E-2</v>
      </c>
      <c r="W12" s="5">
        <v>3</v>
      </c>
      <c r="X12" s="5">
        <v>2</v>
      </c>
      <c r="Y12" s="5">
        <v>3</v>
      </c>
      <c r="Z12" s="5">
        <v>8</v>
      </c>
    </row>
    <row r="13" spans="1:26" x14ac:dyDescent="0.35">
      <c r="A13">
        <v>12</v>
      </c>
      <c r="B13" s="10">
        <v>0.45098039215686275</v>
      </c>
      <c r="C13">
        <v>0</v>
      </c>
      <c r="D13">
        <v>0</v>
      </c>
      <c r="E13">
        <v>1</v>
      </c>
      <c r="F13">
        <v>0</v>
      </c>
      <c r="G13">
        <v>0</v>
      </c>
      <c r="H13">
        <v>1</v>
      </c>
      <c r="I13">
        <v>0</v>
      </c>
      <c r="J13" s="10">
        <v>0.87749893662271372</v>
      </c>
      <c r="K13">
        <v>0</v>
      </c>
      <c r="L13">
        <v>1</v>
      </c>
      <c r="M13">
        <v>0</v>
      </c>
      <c r="N13" s="10">
        <v>2.2895291803900195E-2</v>
      </c>
      <c r="O13" s="10">
        <v>0</v>
      </c>
      <c r="P13" s="10">
        <v>0</v>
      </c>
      <c r="Q13">
        <v>2</v>
      </c>
      <c r="R13">
        <v>1</v>
      </c>
      <c r="S13">
        <v>0</v>
      </c>
      <c r="T13">
        <v>1</v>
      </c>
      <c r="U13">
        <v>1</v>
      </c>
      <c r="V13" s="10">
        <v>0.16619718309859155</v>
      </c>
      <c r="W13" s="5">
        <v>2</v>
      </c>
      <c r="X13" s="5">
        <v>1</v>
      </c>
      <c r="Y13" s="5">
        <v>1</v>
      </c>
      <c r="Z13" s="5">
        <v>4</v>
      </c>
    </row>
    <row r="14" spans="1:26" x14ac:dyDescent="0.35">
      <c r="A14">
        <v>13</v>
      </c>
      <c r="B14" s="10">
        <v>0.11764705882352941</v>
      </c>
      <c r="C14">
        <v>0</v>
      </c>
      <c r="D14">
        <v>0</v>
      </c>
      <c r="E14">
        <v>0</v>
      </c>
      <c r="F14">
        <v>1</v>
      </c>
      <c r="G14">
        <v>0</v>
      </c>
      <c r="H14">
        <v>1</v>
      </c>
      <c r="I14">
        <v>0</v>
      </c>
      <c r="J14" s="10">
        <v>0.2037430880476393</v>
      </c>
      <c r="K14">
        <v>1</v>
      </c>
      <c r="L14">
        <v>0</v>
      </c>
      <c r="M14">
        <v>0</v>
      </c>
      <c r="N14" s="10">
        <v>0.11320877662725397</v>
      </c>
      <c r="O14" s="10">
        <v>5.0302822994426446E-4</v>
      </c>
      <c r="P14" s="10">
        <v>0.25</v>
      </c>
      <c r="Q14">
        <v>1</v>
      </c>
      <c r="R14">
        <v>0</v>
      </c>
      <c r="S14">
        <v>1</v>
      </c>
      <c r="T14">
        <v>0</v>
      </c>
      <c r="U14">
        <v>0</v>
      </c>
      <c r="V14" s="10">
        <v>0.26760563380281688</v>
      </c>
      <c r="W14" s="5">
        <v>1</v>
      </c>
      <c r="X14" s="5">
        <v>2</v>
      </c>
      <c r="Y14" s="5">
        <v>1</v>
      </c>
      <c r="Z14" s="5">
        <v>4</v>
      </c>
    </row>
    <row r="15" spans="1:26" x14ac:dyDescent="0.35">
      <c r="A15">
        <v>14</v>
      </c>
      <c r="B15" s="10">
        <v>0.47058823529411764</v>
      </c>
      <c r="C15">
        <v>1</v>
      </c>
      <c r="D15">
        <v>0</v>
      </c>
      <c r="E15">
        <v>0</v>
      </c>
      <c r="F15">
        <v>0</v>
      </c>
      <c r="G15">
        <v>1</v>
      </c>
      <c r="H15">
        <v>2</v>
      </c>
      <c r="I15">
        <v>0</v>
      </c>
      <c r="J15" s="10">
        <v>0.53041259038706934</v>
      </c>
      <c r="K15">
        <v>0</v>
      </c>
      <c r="L15">
        <v>0</v>
      </c>
      <c r="M15">
        <v>1</v>
      </c>
      <c r="N15" s="10">
        <v>0.83933310428168595</v>
      </c>
      <c r="O15" s="10">
        <v>0</v>
      </c>
      <c r="P15" s="10">
        <v>1</v>
      </c>
      <c r="Q15">
        <v>2</v>
      </c>
      <c r="R15">
        <v>1</v>
      </c>
      <c r="S15">
        <v>1</v>
      </c>
      <c r="T15">
        <v>0</v>
      </c>
      <c r="U15">
        <v>1</v>
      </c>
      <c r="V15" s="10">
        <v>0.14929577464788732</v>
      </c>
      <c r="W15" s="5">
        <v>2</v>
      </c>
      <c r="X15" s="5">
        <v>3</v>
      </c>
      <c r="Y15" s="5">
        <v>3</v>
      </c>
      <c r="Z15" s="5">
        <v>8</v>
      </c>
    </row>
    <row r="16" spans="1:26" x14ac:dyDescent="0.35">
      <c r="A16">
        <v>15</v>
      </c>
      <c r="B16" s="10">
        <v>0.47058823529411764</v>
      </c>
      <c r="C16">
        <v>1</v>
      </c>
      <c r="D16">
        <v>0</v>
      </c>
      <c r="E16">
        <v>0</v>
      </c>
      <c r="F16">
        <v>1</v>
      </c>
      <c r="G16">
        <v>0</v>
      </c>
      <c r="H16">
        <v>2</v>
      </c>
      <c r="I16">
        <v>0</v>
      </c>
      <c r="J16" s="10">
        <v>0.89791578051892806</v>
      </c>
      <c r="K16">
        <v>0</v>
      </c>
      <c r="L16">
        <v>0</v>
      </c>
      <c r="M16">
        <v>1</v>
      </c>
      <c r="N16" s="10">
        <v>0.56400611330948036</v>
      </c>
      <c r="O16" s="10">
        <v>0</v>
      </c>
      <c r="P16" s="10">
        <v>0.875</v>
      </c>
      <c r="Q16">
        <v>2</v>
      </c>
      <c r="R16">
        <v>1</v>
      </c>
      <c r="S16">
        <v>1</v>
      </c>
      <c r="T16">
        <v>0</v>
      </c>
      <c r="U16">
        <v>1</v>
      </c>
      <c r="V16" s="10">
        <v>4.2253521126760563E-2</v>
      </c>
      <c r="W16" s="5">
        <v>3</v>
      </c>
      <c r="X16" s="5">
        <v>3</v>
      </c>
      <c r="Y16" s="5">
        <v>3</v>
      </c>
      <c r="Z16" s="5">
        <v>9</v>
      </c>
    </row>
    <row r="17" spans="1:26" x14ac:dyDescent="0.35">
      <c r="A17">
        <v>16</v>
      </c>
      <c r="B17" s="10">
        <v>0.23529411764705882</v>
      </c>
      <c r="C17">
        <v>0</v>
      </c>
      <c r="D17">
        <v>1</v>
      </c>
      <c r="E17">
        <v>0</v>
      </c>
      <c r="F17">
        <v>0</v>
      </c>
      <c r="G17">
        <v>0</v>
      </c>
      <c r="H17">
        <v>2</v>
      </c>
      <c r="I17">
        <v>1</v>
      </c>
      <c r="J17" s="10">
        <v>0.83666524883028492</v>
      </c>
      <c r="K17">
        <v>0</v>
      </c>
      <c r="L17">
        <v>0</v>
      </c>
      <c r="M17">
        <v>1</v>
      </c>
      <c r="N17" s="10">
        <v>0.59533386252162168</v>
      </c>
      <c r="O17" s="10">
        <v>2.0121129197770578E-3</v>
      </c>
      <c r="P17" s="10">
        <v>1</v>
      </c>
      <c r="Q17">
        <v>2</v>
      </c>
      <c r="R17">
        <v>0</v>
      </c>
      <c r="S17">
        <v>0</v>
      </c>
      <c r="T17">
        <v>1</v>
      </c>
      <c r="U17">
        <v>0</v>
      </c>
      <c r="V17" s="10">
        <v>4.788732394366197E-2</v>
      </c>
      <c r="W17" s="5">
        <v>3</v>
      </c>
      <c r="X17" s="5">
        <v>3</v>
      </c>
      <c r="Y17" s="5">
        <v>3</v>
      </c>
      <c r="Z17" s="5">
        <v>9</v>
      </c>
    </row>
    <row r="18" spans="1:26" x14ac:dyDescent="0.35">
      <c r="A18">
        <v>17</v>
      </c>
      <c r="B18" s="10">
        <v>1.9607843137254902E-2</v>
      </c>
      <c r="C18">
        <v>1</v>
      </c>
      <c r="D18">
        <v>0</v>
      </c>
      <c r="E18">
        <v>1</v>
      </c>
      <c r="F18">
        <v>0</v>
      </c>
      <c r="G18">
        <v>0</v>
      </c>
      <c r="H18">
        <v>1</v>
      </c>
      <c r="I18">
        <v>0</v>
      </c>
      <c r="J18" s="10">
        <v>0.16290940025521056</v>
      </c>
      <c r="K18">
        <v>0</v>
      </c>
      <c r="L18">
        <v>0</v>
      </c>
      <c r="M18">
        <v>1</v>
      </c>
      <c r="N18" s="10">
        <v>0.47848197995403169</v>
      </c>
      <c r="O18" s="10">
        <v>1.0060564598885289E-3</v>
      </c>
      <c r="P18" s="10">
        <v>0.75</v>
      </c>
      <c r="Q18">
        <v>2</v>
      </c>
      <c r="R18">
        <v>1</v>
      </c>
      <c r="S18">
        <v>0</v>
      </c>
      <c r="T18">
        <v>1</v>
      </c>
      <c r="U18">
        <v>0</v>
      </c>
      <c r="V18" s="10">
        <v>0.10422535211267606</v>
      </c>
      <c r="W18" s="5">
        <v>2</v>
      </c>
      <c r="X18" s="5">
        <v>2</v>
      </c>
      <c r="Y18" s="5">
        <v>3</v>
      </c>
      <c r="Z18" s="5">
        <v>7</v>
      </c>
    </row>
    <row r="19" spans="1:26" x14ac:dyDescent="0.35">
      <c r="A19">
        <v>18</v>
      </c>
      <c r="B19" s="10">
        <v>0.74509803921568629</v>
      </c>
      <c r="C19">
        <v>0</v>
      </c>
      <c r="D19">
        <v>0</v>
      </c>
      <c r="E19">
        <v>1</v>
      </c>
      <c r="F19">
        <v>0</v>
      </c>
      <c r="G19">
        <v>0</v>
      </c>
      <c r="H19">
        <v>3</v>
      </c>
      <c r="I19">
        <v>1</v>
      </c>
      <c r="J19" s="10">
        <v>0.75499787324542744</v>
      </c>
      <c r="K19">
        <v>0</v>
      </c>
      <c r="L19">
        <v>1</v>
      </c>
      <c r="M19">
        <v>0</v>
      </c>
      <c r="N19" s="10">
        <v>0.27888420254484281</v>
      </c>
      <c r="O19" s="10">
        <v>0</v>
      </c>
      <c r="P19" s="10">
        <v>0.5</v>
      </c>
      <c r="Q19">
        <v>1</v>
      </c>
      <c r="R19">
        <v>1</v>
      </c>
      <c r="S19">
        <v>0</v>
      </c>
      <c r="T19">
        <v>1</v>
      </c>
      <c r="U19">
        <v>0</v>
      </c>
      <c r="V19" s="10">
        <v>0.3464788732394366</v>
      </c>
      <c r="W19" s="5">
        <v>1</v>
      </c>
      <c r="X19" s="5">
        <v>2</v>
      </c>
      <c r="Y19" s="5">
        <v>2</v>
      </c>
      <c r="Z19" s="5">
        <v>5</v>
      </c>
    </row>
    <row r="20" spans="1:26" x14ac:dyDescent="0.35">
      <c r="A20">
        <v>19</v>
      </c>
      <c r="B20" s="10">
        <v>0.76470588235294112</v>
      </c>
      <c r="C20">
        <v>0</v>
      </c>
      <c r="D20">
        <v>0</v>
      </c>
      <c r="E20">
        <v>0</v>
      </c>
      <c r="F20">
        <v>1</v>
      </c>
      <c r="G20">
        <v>0</v>
      </c>
      <c r="H20">
        <v>3</v>
      </c>
      <c r="I20">
        <v>0</v>
      </c>
      <c r="J20" s="10">
        <v>0.79583156103785624</v>
      </c>
      <c r="K20">
        <v>0</v>
      </c>
      <c r="L20">
        <v>0</v>
      </c>
      <c r="M20">
        <v>1</v>
      </c>
      <c r="N20" s="10">
        <v>0.29839703338625218</v>
      </c>
      <c r="O20" s="10">
        <v>2.5151411497213223E-4</v>
      </c>
      <c r="P20" s="10">
        <v>0.5</v>
      </c>
      <c r="Q20">
        <v>2</v>
      </c>
      <c r="R20">
        <v>1</v>
      </c>
      <c r="S20">
        <v>1</v>
      </c>
      <c r="T20">
        <v>0</v>
      </c>
      <c r="U20">
        <v>0</v>
      </c>
      <c r="V20" s="10">
        <v>2.5352112676056339E-2</v>
      </c>
      <c r="W20" s="5">
        <v>3</v>
      </c>
      <c r="X20" s="5">
        <v>2</v>
      </c>
      <c r="Y20" s="5">
        <v>2</v>
      </c>
      <c r="Z20" s="5">
        <v>7</v>
      </c>
    </row>
    <row r="21" spans="1:26" x14ac:dyDescent="0.35">
      <c r="A21">
        <v>20</v>
      </c>
      <c r="B21" s="10">
        <v>0.45098039215686275</v>
      </c>
      <c r="C21">
        <v>1</v>
      </c>
      <c r="D21">
        <v>1</v>
      </c>
      <c r="E21">
        <v>0</v>
      </c>
      <c r="F21">
        <v>0</v>
      </c>
      <c r="G21">
        <v>0</v>
      </c>
      <c r="H21">
        <v>1</v>
      </c>
      <c r="I21">
        <v>0</v>
      </c>
      <c r="J21" s="10">
        <v>0.32624415142492558</v>
      </c>
      <c r="K21">
        <v>0</v>
      </c>
      <c r="L21">
        <v>1</v>
      </c>
      <c r="M21">
        <v>0</v>
      </c>
      <c r="N21" s="10">
        <v>0.81926936473710388</v>
      </c>
      <c r="O21" s="10">
        <v>0</v>
      </c>
      <c r="P21" s="10">
        <v>1</v>
      </c>
      <c r="Q21">
        <v>1</v>
      </c>
      <c r="R21">
        <v>0</v>
      </c>
      <c r="S21">
        <v>0</v>
      </c>
      <c r="T21">
        <v>0</v>
      </c>
      <c r="U21">
        <v>1</v>
      </c>
      <c r="V21" s="10">
        <v>3.9436619718309862E-2</v>
      </c>
      <c r="W21" s="5">
        <v>3</v>
      </c>
      <c r="X21" s="5">
        <v>3</v>
      </c>
      <c r="Y21" s="5">
        <v>3</v>
      </c>
      <c r="Z21" s="5">
        <v>9</v>
      </c>
    </row>
    <row r="22" spans="1:26" x14ac:dyDescent="0.35">
      <c r="A22">
        <v>21</v>
      </c>
      <c r="B22" s="10">
        <v>0.90196078431372551</v>
      </c>
      <c r="C22">
        <v>1</v>
      </c>
      <c r="D22">
        <v>0</v>
      </c>
      <c r="E22">
        <v>0</v>
      </c>
      <c r="F22">
        <v>1</v>
      </c>
      <c r="G22">
        <v>0</v>
      </c>
      <c r="H22">
        <v>3</v>
      </c>
      <c r="I22">
        <v>0</v>
      </c>
      <c r="J22" s="10">
        <v>0.36707783921735437</v>
      </c>
      <c r="K22">
        <v>0</v>
      </c>
      <c r="L22">
        <v>1</v>
      </c>
      <c r="M22">
        <v>0</v>
      </c>
      <c r="N22" s="10">
        <v>0.26752245101059169</v>
      </c>
      <c r="O22" s="10">
        <v>2.0121129197770578E-3</v>
      </c>
      <c r="P22" s="10">
        <v>0.5</v>
      </c>
      <c r="Q22">
        <v>0</v>
      </c>
      <c r="R22">
        <v>0</v>
      </c>
      <c r="S22">
        <v>0</v>
      </c>
      <c r="T22">
        <v>0</v>
      </c>
      <c r="U22">
        <v>0</v>
      </c>
      <c r="V22" s="10">
        <v>0.42535211267605633</v>
      </c>
      <c r="W22" s="5">
        <v>1</v>
      </c>
      <c r="X22" s="5">
        <v>2</v>
      </c>
      <c r="Y22" s="5">
        <v>2</v>
      </c>
      <c r="Z22" s="5">
        <v>5</v>
      </c>
    </row>
    <row r="23" spans="1:26" x14ac:dyDescent="0.35">
      <c r="A23">
        <v>22</v>
      </c>
      <c r="B23" s="10">
        <v>0.47058823529411764</v>
      </c>
      <c r="C23">
        <v>0</v>
      </c>
      <c r="D23">
        <v>0</v>
      </c>
      <c r="E23">
        <v>0</v>
      </c>
      <c r="F23">
        <v>1</v>
      </c>
      <c r="G23">
        <v>0</v>
      </c>
      <c r="H23">
        <v>1</v>
      </c>
      <c r="I23">
        <v>0</v>
      </c>
      <c r="J23" s="10">
        <v>0.85708209272649938</v>
      </c>
      <c r="K23">
        <v>1</v>
      </c>
      <c r="L23">
        <v>0</v>
      </c>
      <c r="M23">
        <v>0</v>
      </c>
      <c r="N23" s="10">
        <v>0.46588216477501598</v>
      </c>
      <c r="O23" s="10">
        <v>1.2575705748606612E-3</v>
      </c>
      <c r="P23" s="10">
        <v>0.625</v>
      </c>
      <c r="Q23">
        <v>2</v>
      </c>
      <c r="R23">
        <v>0</v>
      </c>
      <c r="S23">
        <v>0</v>
      </c>
      <c r="T23">
        <v>1</v>
      </c>
      <c r="U23">
        <v>0</v>
      </c>
      <c r="V23" s="10">
        <v>0.20563380281690141</v>
      </c>
      <c r="W23" s="5">
        <v>2</v>
      </c>
      <c r="X23" s="5">
        <v>2</v>
      </c>
      <c r="Y23" s="5">
        <v>3</v>
      </c>
      <c r="Z23" s="5">
        <v>7</v>
      </c>
    </row>
    <row r="24" spans="1:26" x14ac:dyDescent="0.35">
      <c r="A24">
        <v>23</v>
      </c>
      <c r="B24" s="10">
        <v>0.33333333333333331</v>
      </c>
      <c r="C24">
        <v>0</v>
      </c>
      <c r="D24">
        <v>0</v>
      </c>
      <c r="E24">
        <v>0</v>
      </c>
      <c r="F24">
        <v>1</v>
      </c>
      <c r="G24">
        <v>0</v>
      </c>
      <c r="H24">
        <v>1</v>
      </c>
      <c r="I24">
        <v>0</v>
      </c>
      <c r="J24" s="10">
        <v>0.38749468311356872</v>
      </c>
      <c r="K24">
        <v>1</v>
      </c>
      <c r="L24">
        <v>0</v>
      </c>
      <c r="M24">
        <v>0</v>
      </c>
      <c r="N24" s="10">
        <v>0.43863587896595019</v>
      </c>
      <c r="O24" s="11">
        <v>0.74988430350711266</v>
      </c>
      <c r="P24" s="10">
        <v>0.375</v>
      </c>
      <c r="Q24">
        <v>2</v>
      </c>
      <c r="R24">
        <v>1</v>
      </c>
      <c r="S24">
        <v>1</v>
      </c>
      <c r="T24">
        <v>0</v>
      </c>
      <c r="U24">
        <v>0</v>
      </c>
      <c r="V24" s="10">
        <v>0.15211267605633802</v>
      </c>
      <c r="W24" s="5">
        <v>2</v>
      </c>
      <c r="X24" s="5">
        <v>2</v>
      </c>
      <c r="Y24" s="5">
        <v>2</v>
      </c>
      <c r="Z24" s="5">
        <v>6</v>
      </c>
    </row>
    <row r="25" spans="1:26" x14ac:dyDescent="0.35">
      <c r="A25">
        <v>24</v>
      </c>
      <c r="B25" s="10">
        <v>0.72549019607843135</v>
      </c>
      <c r="C25">
        <v>1</v>
      </c>
      <c r="D25">
        <v>0</v>
      </c>
      <c r="E25">
        <v>0</v>
      </c>
      <c r="F25">
        <v>0</v>
      </c>
      <c r="G25">
        <v>1</v>
      </c>
      <c r="H25">
        <v>2</v>
      </c>
      <c r="I25">
        <v>0</v>
      </c>
      <c r="J25" s="10">
        <v>0.24457677584006807</v>
      </c>
      <c r="K25">
        <v>1</v>
      </c>
      <c r="L25">
        <v>0</v>
      </c>
      <c r="M25">
        <v>0</v>
      </c>
      <c r="N25" s="10">
        <v>0.33570480771509137</v>
      </c>
      <c r="O25" s="11">
        <v>0.46005754642950564</v>
      </c>
      <c r="P25" s="10">
        <v>0.5</v>
      </c>
      <c r="Q25">
        <v>1</v>
      </c>
      <c r="R25">
        <v>0</v>
      </c>
      <c r="S25">
        <v>1</v>
      </c>
      <c r="T25">
        <v>0</v>
      </c>
      <c r="U25">
        <v>0</v>
      </c>
      <c r="V25" s="10">
        <v>5.3521126760563378E-2</v>
      </c>
      <c r="W25" s="5">
        <v>3</v>
      </c>
      <c r="X25" s="5">
        <v>2</v>
      </c>
      <c r="Y25" s="5">
        <v>2</v>
      </c>
      <c r="Z25" s="5">
        <v>7</v>
      </c>
    </row>
    <row r="26" spans="1:26" x14ac:dyDescent="0.35">
      <c r="A26">
        <v>25</v>
      </c>
      <c r="B26" s="10">
        <v>0.49019607843137253</v>
      </c>
      <c r="C26">
        <v>0</v>
      </c>
      <c r="D26">
        <v>0</v>
      </c>
      <c r="E26">
        <v>1</v>
      </c>
      <c r="F26">
        <v>0</v>
      </c>
      <c r="G26">
        <v>0</v>
      </c>
      <c r="H26">
        <v>1</v>
      </c>
      <c r="I26">
        <v>0</v>
      </c>
      <c r="J26" s="10">
        <v>0.55082943428328379</v>
      </c>
      <c r="K26">
        <v>1</v>
      </c>
      <c r="L26">
        <v>0</v>
      </c>
      <c r="M26">
        <v>0</v>
      </c>
      <c r="N26" s="10">
        <v>0.22361265786792409</v>
      </c>
      <c r="O26" s="11">
        <v>0.51293453255263344</v>
      </c>
      <c r="P26" s="10">
        <v>0.25</v>
      </c>
      <c r="Q26">
        <v>1</v>
      </c>
      <c r="R26">
        <v>0</v>
      </c>
      <c r="S26">
        <v>0</v>
      </c>
      <c r="T26">
        <v>0</v>
      </c>
      <c r="U26">
        <v>1</v>
      </c>
      <c r="V26" s="10">
        <v>0.23943661971830985</v>
      </c>
      <c r="W26" s="5">
        <v>1</v>
      </c>
      <c r="X26" s="5">
        <v>2</v>
      </c>
      <c r="Y26" s="5">
        <v>1</v>
      </c>
      <c r="Z26" s="5">
        <v>4</v>
      </c>
    </row>
    <row r="27" spans="1:26" x14ac:dyDescent="0.35">
      <c r="A27">
        <v>26</v>
      </c>
      <c r="B27" s="10">
        <v>0.25490196078431371</v>
      </c>
      <c r="C27">
        <v>1</v>
      </c>
      <c r="D27">
        <v>1</v>
      </c>
      <c r="E27">
        <v>0</v>
      </c>
      <c r="F27">
        <v>0</v>
      </c>
      <c r="G27">
        <v>0</v>
      </c>
      <c r="H27">
        <v>2</v>
      </c>
      <c r="I27">
        <v>1</v>
      </c>
      <c r="J27" s="10">
        <v>0.91833262441514252</v>
      </c>
      <c r="K27">
        <v>1</v>
      </c>
      <c r="L27">
        <v>0</v>
      </c>
      <c r="M27">
        <v>0</v>
      </c>
      <c r="N27" s="10">
        <v>0.16644551335213137</v>
      </c>
      <c r="O27" s="11">
        <v>0.38348189433724356</v>
      </c>
      <c r="P27" s="10">
        <v>0.25</v>
      </c>
      <c r="Q27">
        <v>1</v>
      </c>
      <c r="R27">
        <v>0</v>
      </c>
      <c r="S27">
        <v>1</v>
      </c>
      <c r="T27">
        <v>0</v>
      </c>
      <c r="U27">
        <v>0</v>
      </c>
      <c r="V27" s="10">
        <v>8.4507042253521118E-3</v>
      </c>
      <c r="W27" s="5">
        <v>3</v>
      </c>
      <c r="X27" s="5">
        <v>2</v>
      </c>
      <c r="Y27" s="5">
        <v>1</v>
      </c>
      <c r="Z27" s="5">
        <v>6</v>
      </c>
    </row>
    <row r="28" spans="1:26" x14ac:dyDescent="0.35">
      <c r="A28">
        <v>27</v>
      </c>
      <c r="B28" s="10">
        <v>0.15686274509803921</v>
      </c>
      <c r="C28">
        <v>1</v>
      </c>
      <c r="D28">
        <v>0</v>
      </c>
      <c r="E28">
        <v>0</v>
      </c>
      <c r="F28">
        <v>0</v>
      </c>
      <c r="G28">
        <v>1</v>
      </c>
      <c r="H28">
        <v>2</v>
      </c>
      <c r="I28">
        <v>0</v>
      </c>
      <c r="J28" s="10">
        <v>0.44874521480221186</v>
      </c>
      <c r="K28">
        <v>1</v>
      </c>
      <c r="L28">
        <v>0</v>
      </c>
      <c r="M28">
        <v>0</v>
      </c>
      <c r="N28" s="10">
        <v>0.65184939459280133</v>
      </c>
      <c r="O28" s="11">
        <v>0.55599710255739554</v>
      </c>
      <c r="P28" s="10">
        <v>0.875</v>
      </c>
      <c r="Q28">
        <v>1</v>
      </c>
      <c r="R28">
        <v>1</v>
      </c>
      <c r="S28">
        <v>0</v>
      </c>
      <c r="T28">
        <v>0</v>
      </c>
      <c r="U28">
        <v>1</v>
      </c>
      <c r="V28" s="10">
        <v>0.14366197183098592</v>
      </c>
      <c r="W28" s="5">
        <v>2</v>
      </c>
      <c r="X28" s="5">
        <v>3</v>
      </c>
      <c r="Y28" s="5">
        <v>3</v>
      </c>
      <c r="Z28" s="5">
        <v>8</v>
      </c>
    </row>
    <row r="29" spans="1:26" x14ac:dyDescent="0.35">
      <c r="A29">
        <v>28</v>
      </c>
      <c r="B29" s="10">
        <v>0.17647058823529413</v>
      </c>
      <c r="C29">
        <v>0</v>
      </c>
      <c r="D29">
        <v>0</v>
      </c>
      <c r="E29">
        <v>0</v>
      </c>
      <c r="F29">
        <v>0</v>
      </c>
      <c r="G29">
        <v>1</v>
      </c>
      <c r="H29">
        <v>3</v>
      </c>
      <c r="I29">
        <v>0</v>
      </c>
      <c r="J29" s="10">
        <v>0.85708209272649938</v>
      </c>
      <c r="K29">
        <v>0</v>
      </c>
      <c r="L29">
        <v>0</v>
      </c>
      <c r="M29">
        <v>1</v>
      </c>
      <c r="N29" s="10">
        <v>0.50128545364073651</v>
      </c>
      <c r="O29" s="11">
        <v>0.57085655646994915</v>
      </c>
      <c r="P29" s="10">
        <v>0.625</v>
      </c>
      <c r="Q29">
        <v>2</v>
      </c>
      <c r="R29">
        <v>1</v>
      </c>
      <c r="S29">
        <v>1</v>
      </c>
      <c r="T29">
        <v>1</v>
      </c>
      <c r="U29">
        <v>0</v>
      </c>
      <c r="V29" s="10">
        <v>3.6619718309859155E-2</v>
      </c>
      <c r="W29" s="5">
        <v>3</v>
      </c>
      <c r="X29" s="5">
        <v>2</v>
      </c>
      <c r="Y29" s="5">
        <v>3</v>
      </c>
      <c r="Z29" s="5">
        <v>8</v>
      </c>
    </row>
    <row r="30" spans="1:26" x14ac:dyDescent="0.35">
      <c r="A30">
        <v>29</v>
      </c>
      <c r="B30" s="10">
        <v>0.39215686274509803</v>
      </c>
      <c r="C30">
        <v>0</v>
      </c>
      <c r="D30">
        <v>0</v>
      </c>
      <c r="E30">
        <v>0</v>
      </c>
      <c r="F30">
        <v>1</v>
      </c>
      <c r="G30">
        <v>0</v>
      </c>
      <c r="H30">
        <v>2</v>
      </c>
      <c r="I30">
        <v>0</v>
      </c>
      <c r="J30" s="10">
        <v>0.6937473415567843</v>
      </c>
      <c r="K30">
        <v>0</v>
      </c>
      <c r="L30">
        <v>1</v>
      </c>
      <c r="M30">
        <v>0</v>
      </c>
      <c r="N30" s="10">
        <v>0.24976601189488898</v>
      </c>
      <c r="O30" s="11">
        <v>0.5721577228247382</v>
      </c>
      <c r="P30" s="10">
        <v>0.25</v>
      </c>
      <c r="Q30">
        <v>2</v>
      </c>
      <c r="R30">
        <v>1</v>
      </c>
      <c r="S30">
        <v>0</v>
      </c>
      <c r="T30">
        <v>1</v>
      </c>
      <c r="U30">
        <v>1</v>
      </c>
      <c r="V30" s="10">
        <v>0.27605633802816903</v>
      </c>
      <c r="W30" s="5">
        <v>1</v>
      </c>
      <c r="X30" s="5">
        <v>2</v>
      </c>
      <c r="Y30" s="5">
        <v>2</v>
      </c>
      <c r="Z30" s="5">
        <v>5</v>
      </c>
    </row>
    <row r="31" spans="1:26" x14ac:dyDescent="0.35">
      <c r="A31">
        <v>30</v>
      </c>
      <c r="B31" s="10">
        <v>1</v>
      </c>
      <c r="C31">
        <v>1</v>
      </c>
      <c r="D31">
        <v>0</v>
      </c>
      <c r="E31">
        <v>0</v>
      </c>
      <c r="F31">
        <v>1</v>
      </c>
      <c r="G31">
        <v>0</v>
      </c>
      <c r="H31">
        <v>3</v>
      </c>
      <c r="I31">
        <v>0</v>
      </c>
      <c r="J31" s="10">
        <v>0.7754147171416419</v>
      </c>
      <c r="K31">
        <v>0</v>
      </c>
      <c r="L31">
        <v>1</v>
      </c>
      <c r="M31">
        <v>0</v>
      </c>
      <c r="N31" s="10">
        <v>0.20640120370589768</v>
      </c>
      <c r="O31" s="11">
        <v>0.71093985794482784</v>
      </c>
      <c r="P31" s="10">
        <v>0.125</v>
      </c>
      <c r="Q31">
        <v>2</v>
      </c>
      <c r="R31">
        <v>1</v>
      </c>
      <c r="S31">
        <v>1</v>
      </c>
      <c r="T31">
        <v>0</v>
      </c>
      <c r="U31">
        <v>0</v>
      </c>
      <c r="V31" s="10">
        <v>0.29577464788732394</v>
      </c>
      <c r="W31" s="5">
        <v>1</v>
      </c>
      <c r="X31" s="5">
        <v>1</v>
      </c>
      <c r="Y31" s="5">
        <v>1</v>
      </c>
      <c r="Z31" s="5">
        <v>3</v>
      </c>
    </row>
    <row r="32" spans="1:26" x14ac:dyDescent="0.35">
      <c r="A32">
        <v>31</v>
      </c>
      <c r="B32" s="10">
        <v>0.31372549019607843</v>
      </c>
      <c r="C32">
        <v>1</v>
      </c>
      <c r="D32">
        <v>0</v>
      </c>
      <c r="E32">
        <v>0</v>
      </c>
      <c r="F32">
        <v>1</v>
      </c>
      <c r="G32">
        <v>0</v>
      </c>
      <c r="H32">
        <v>1</v>
      </c>
      <c r="I32">
        <v>0</v>
      </c>
      <c r="J32" s="10">
        <v>0.46916205869842625</v>
      </c>
      <c r="K32">
        <v>0</v>
      </c>
      <c r="L32">
        <v>0</v>
      </c>
      <c r="M32">
        <v>1</v>
      </c>
      <c r="N32" s="10">
        <v>0.32543894983768923</v>
      </c>
      <c r="O32" s="11">
        <v>0.44610957966961101</v>
      </c>
      <c r="P32" s="10">
        <v>0.5</v>
      </c>
      <c r="Q32">
        <v>2</v>
      </c>
      <c r="R32">
        <v>0</v>
      </c>
      <c r="S32">
        <v>1</v>
      </c>
      <c r="T32">
        <v>1</v>
      </c>
      <c r="U32">
        <v>0</v>
      </c>
      <c r="V32" s="10">
        <v>6.1971830985915494E-2</v>
      </c>
      <c r="W32" s="5">
        <v>3</v>
      </c>
      <c r="X32" s="5">
        <v>2</v>
      </c>
      <c r="Y32" s="5">
        <v>2</v>
      </c>
      <c r="Z32" s="5">
        <v>7</v>
      </c>
    </row>
    <row r="33" spans="1:26" x14ac:dyDescent="0.35">
      <c r="A33">
        <v>32</v>
      </c>
      <c r="B33" s="10">
        <v>1</v>
      </c>
      <c r="C33">
        <v>0</v>
      </c>
      <c r="D33">
        <v>0</v>
      </c>
      <c r="E33">
        <v>1</v>
      </c>
      <c r="F33">
        <v>0</v>
      </c>
      <c r="G33">
        <v>0</v>
      </c>
      <c r="H33">
        <v>3</v>
      </c>
      <c r="I33">
        <v>0</v>
      </c>
      <c r="J33" s="10">
        <v>0.97958315610378566</v>
      </c>
      <c r="K33">
        <v>1</v>
      </c>
      <c r="L33">
        <v>0</v>
      </c>
      <c r="M33">
        <v>0</v>
      </c>
      <c r="N33" s="10">
        <v>0.36008103689311183</v>
      </c>
      <c r="O33" s="11">
        <v>0.49317692508903593</v>
      </c>
      <c r="P33" s="10">
        <v>0.5</v>
      </c>
      <c r="Q33">
        <v>0</v>
      </c>
      <c r="R33">
        <v>0</v>
      </c>
      <c r="S33">
        <v>0</v>
      </c>
      <c r="T33">
        <v>0</v>
      </c>
      <c r="U33">
        <v>0</v>
      </c>
      <c r="V33" s="10">
        <v>0.24788732394366197</v>
      </c>
      <c r="W33" s="5">
        <v>1</v>
      </c>
      <c r="X33" s="5">
        <v>2</v>
      </c>
      <c r="Y33" s="5">
        <v>2</v>
      </c>
      <c r="Z33" s="5">
        <v>5</v>
      </c>
    </row>
    <row r="34" spans="1:26" x14ac:dyDescent="0.35">
      <c r="A34">
        <v>33</v>
      </c>
      <c r="B34" s="10">
        <v>9.8039215686274508E-2</v>
      </c>
      <c r="C34">
        <v>1</v>
      </c>
      <c r="D34">
        <v>0</v>
      </c>
      <c r="E34">
        <v>0</v>
      </c>
      <c r="F34">
        <v>1</v>
      </c>
      <c r="G34">
        <v>0</v>
      </c>
      <c r="H34">
        <v>3</v>
      </c>
      <c r="I34">
        <v>1</v>
      </c>
      <c r="J34" s="10">
        <v>0.48957890259464065</v>
      </c>
      <c r="K34">
        <v>1</v>
      </c>
      <c r="L34">
        <v>0</v>
      </c>
      <c r="M34">
        <v>0</v>
      </c>
      <c r="N34" s="10">
        <v>0.20117053290050471</v>
      </c>
      <c r="O34" s="11">
        <v>0.69317290086319638</v>
      </c>
      <c r="P34" s="10">
        <v>0.125</v>
      </c>
      <c r="Q34">
        <v>1</v>
      </c>
      <c r="R34">
        <v>0</v>
      </c>
      <c r="S34">
        <v>0</v>
      </c>
      <c r="T34">
        <v>0</v>
      </c>
      <c r="U34">
        <v>1</v>
      </c>
      <c r="V34" s="10">
        <v>0.15211267605633802</v>
      </c>
      <c r="W34" s="5">
        <v>2</v>
      </c>
      <c r="X34" s="5">
        <v>1</v>
      </c>
      <c r="Y34" s="5">
        <v>1</v>
      </c>
      <c r="Z34" s="5">
        <v>4</v>
      </c>
    </row>
    <row r="35" spans="1:26" x14ac:dyDescent="0.35">
      <c r="A35">
        <v>34</v>
      </c>
      <c r="B35" s="10">
        <v>0.29411764705882354</v>
      </c>
      <c r="C35">
        <v>1</v>
      </c>
      <c r="D35">
        <v>0</v>
      </c>
      <c r="E35">
        <v>0</v>
      </c>
      <c r="F35">
        <v>0</v>
      </c>
      <c r="G35">
        <v>1</v>
      </c>
      <c r="H35">
        <v>3</v>
      </c>
      <c r="I35">
        <v>0</v>
      </c>
      <c r="J35" s="10">
        <v>0.89791578051892806</v>
      </c>
      <c r="K35">
        <v>0</v>
      </c>
      <c r="L35">
        <v>0</v>
      </c>
      <c r="M35">
        <v>1</v>
      </c>
      <c r="N35" s="10">
        <v>0.55582541525483964</v>
      </c>
      <c r="O35" s="11">
        <v>0.42173886798527133</v>
      </c>
      <c r="P35" s="10">
        <v>1</v>
      </c>
      <c r="Q35">
        <v>2</v>
      </c>
      <c r="R35">
        <v>1</v>
      </c>
      <c r="S35">
        <v>0</v>
      </c>
      <c r="T35">
        <v>0</v>
      </c>
      <c r="U35">
        <v>1</v>
      </c>
      <c r="V35" s="10">
        <v>2.5352112676056339E-2</v>
      </c>
      <c r="W35" s="5">
        <v>3</v>
      </c>
      <c r="X35" s="5">
        <v>3</v>
      </c>
      <c r="Y35" s="5">
        <v>3</v>
      </c>
      <c r="Z35" s="5">
        <v>9</v>
      </c>
    </row>
    <row r="36" spans="1:26" x14ac:dyDescent="0.35">
      <c r="A36">
        <v>35</v>
      </c>
      <c r="B36" s="10">
        <v>0.92156862745098034</v>
      </c>
      <c r="C36">
        <v>1</v>
      </c>
      <c r="D36">
        <v>0</v>
      </c>
      <c r="E36">
        <v>1</v>
      </c>
      <c r="F36">
        <v>0</v>
      </c>
      <c r="G36">
        <v>0</v>
      </c>
      <c r="H36">
        <v>1</v>
      </c>
      <c r="I36">
        <v>0</v>
      </c>
      <c r="J36" s="10">
        <v>0.38749468311356872</v>
      </c>
      <c r="K36">
        <v>1</v>
      </c>
      <c r="L36">
        <v>0</v>
      </c>
      <c r="M36">
        <v>0</v>
      </c>
      <c r="N36" s="10">
        <v>0.22807620311352275</v>
      </c>
      <c r="O36" s="11">
        <v>0.52304204645298025</v>
      </c>
      <c r="P36" s="10">
        <v>0.25</v>
      </c>
      <c r="Q36">
        <v>1</v>
      </c>
      <c r="R36">
        <v>1</v>
      </c>
      <c r="S36">
        <v>1</v>
      </c>
      <c r="T36">
        <v>0</v>
      </c>
      <c r="U36">
        <v>0</v>
      </c>
      <c r="V36" s="10">
        <v>0.3211267605633803</v>
      </c>
      <c r="W36" s="5">
        <v>1</v>
      </c>
      <c r="X36" s="5">
        <v>2</v>
      </c>
      <c r="Y36" s="5">
        <v>1</v>
      </c>
      <c r="Z36" s="5">
        <v>4</v>
      </c>
    </row>
    <row r="37" spans="1:26" x14ac:dyDescent="0.35">
      <c r="A37">
        <v>36</v>
      </c>
      <c r="B37" s="10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1</v>
      </c>
      <c r="I37">
        <v>0</v>
      </c>
      <c r="J37" s="10">
        <v>0.1220757124627818</v>
      </c>
      <c r="K37">
        <v>0</v>
      </c>
      <c r="L37">
        <v>0</v>
      </c>
      <c r="M37">
        <v>1</v>
      </c>
      <c r="N37" s="10">
        <v>0.38852392010046682</v>
      </c>
      <c r="O37" s="11">
        <v>0.44318463818856185</v>
      </c>
      <c r="P37" s="10">
        <v>0.625</v>
      </c>
      <c r="Q37">
        <v>1</v>
      </c>
      <c r="R37">
        <v>0</v>
      </c>
      <c r="S37">
        <v>0</v>
      </c>
      <c r="T37">
        <v>0</v>
      </c>
      <c r="U37">
        <v>1</v>
      </c>
      <c r="V37" s="10">
        <v>0.18309859154929578</v>
      </c>
      <c r="W37" s="5">
        <v>2</v>
      </c>
      <c r="X37" s="5">
        <v>2</v>
      </c>
      <c r="Y37" s="5">
        <v>2</v>
      </c>
      <c r="Z37" s="5">
        <v>6</v>
      </c>
    </row>
    <row r="38" spans="1:26" x14ac:dyDescent="0.35">
      <c r="A38">
        <v>37</v>
      </c>
      <c r="B38" s="10">
        <v>0.35294117647058826</v>
      </c>
      <c r="C38">
        <v>0</v>
      </c>
      <c r="D38">
        <v>0</v>
      </c>
      <c r="E38">
        <v>1</v>
      </c>
      <c r="F38">
        <v>0</v>
      </c>
      <c r="G38">
        <v>0</v>
      </c>
      <c r="H38">
        <v>2</v>
      </c>
      <c r="I38">
        <v>0</v>
      </c>
      <c r="J38" s="10">
        <v>6.0825180774138662E-2</v>
      </c>
      <c r="K38">
        <v>0</v>
      </c>
      <c r="L38">
        <v>0</v>
      </c>
      <c r="M38">
        <v>1</v>
      </c>
      <c r="N38" s="10">
        <v>0.93508755301755786</v>
      </c>
      <c r="O38" s="11">
        <v>0.70801335148706335</v>
      </c>
      <c r="P38" s="10">
        <v>1</v>
      </c>
      <c r="Q38">
        <v>1</v>
      </c>
      <c r="R38">
        <v>0</v>
      </c>
      <c r="S38">
        <v>1</v>
      </c>
      <c r="T38">
        <v>0</v>
      </c>
      <c r="U38">
        <v>0</v>
      </c>
      <c r="V38" s="10">
        <v>6.7605633802816895E-2</v>
      </c>
      <c r="W38" s="5">
        <v>3</v>
      </c>
      <c r="X38" s="5">
        <v>3</v>
      </c>
      <c r="Y38" s="5">
        <v>3</v>
      </c>
      <c r="Z38" s="5">
        <v>9</v>
      </c>
    </row>
    <row r="39" spans="1:26" x14ac:dyDescent="0.35">
      <c r="A39">
        <v>38</v>
      </c>
      <c r="B39" s="10">
        <v>0.68627450980392157</v>
      </c>
      <c r="C39">
        <v>0</v>
      </c>
      <c r="D39">
        <v>0</v>
      </c>
      <c r="E39">
        <v>1</v>
      </c>
      <c r="F39">
        <v>0</v>
      </c>
      <c r="G39">
        <v>0</v>
      </c>
      <c r="H39">
        <v>1</v>
      </c>
      <c r="I39">
        <v>0</v>
      </c>
      <c r="J39" s="10">
        <v>0.9591663122075712</v>
      </c>
      <c r="K39">
        <v>0</v>
      </c>
      <c r="L39">
        <v>0</v>
      </c>
      <c r="M39">
        <v>1</v>
      </c>
      <c r="N39" s="10">
        <v>0.25621993697130535</v>
      </c>
      <c r="O39" s="11">
        <v>0.5867723696653856</v>
      </c>
      <c r="P39" s="10">
        <v>0.25</v>
      </c>
      <c r="Q39">
        <v>1</v>
      </c>
      <c r="R39">
        <v>0</v>
      </c>
      <c r="S39">
        <v>0</v>
      </c>
      <c r="T39">
        <v>1</v>
      </c>
      <c r="U39">
        <v>0</v>
      </c>
      <c r="V39" s="10">
        <v>7.3239436619718309E-2</v>
      </c>
      <c r="W39" s="5">
        <v>3</v>
      </c>
      <c r="X39" s="5">
        <v>2</v>
      </c>
      <c r="Y39" s="5">
        <v>2</v>
      </c>
      <c r="Z39" s="5">
        <v>7</v>
      </c>
    </row>
    <row r="40" spans="1:26" x14ac:dyDescent="0.35">
      <c r="A40">
        <v>39</v>
      </c>
      <c r="B40" s="10">
        <v>0.47058823529411764</v>
      </c>
      <c r="C40">
        <v>1</v>
      </c>
      <c r="D40">
        <v>0</v>
      </c>
      <c r="E40">
        <v>1</v>
      </c>
      <c r="F40">
        <v>0</v>
      </c>
      <c r="G40">
        <v>0</v>
      </c>
      <c r="H40">
        <v>2</v>
      </c>
      <c r="I40">
        <v>0</v>
      </c>
      <c r="J40" s="10">
        <v>0.53041259038706934</v>
      </c>
      <c r="K40">
        <v>0</v>
      </c>
      <c r="L40">
        <v>0</v>
      </c>
      <c r="M40">
        <v>1</v>
      </c>
      <c r="N40" s="10">
        <v>0.35013506148851981</v>
      </c>
      <c r="O40" s="11">
        <v>0.4796635747198133</v>
      </c>
      <c r="P40" s="10">
        <v>0.5</v>
      </c>
      <c r="Q40">
        <v>0</v>
      </c>
      <c r="R40">
        <v>0</v>
      </c>
      <c r="S40">
        <v>0</v>
      </c>
      <c r="T40">
        <v>0</v>
      </c>
      <c r="U40">
        <v>0</v>
      </c>
      <c r="V40" s="10">
        <v>5.6338028169014086E-2</v>
      </c>
      <c r="W40" s="5">
        <v>3</v>
      </c>
      <c r="X40" s="5">
        <v>2</v>
      </c>
      <c r="Y40" s="5">
        <v>2</v>
      </c>
      <c r="Z40" s="5">
        <v>7</v>
      </c>
    </row>
    <row r="41" spans="1:26" x14ac:dyDescent="0.35">
      <c r="A41">
        <v>40</v>
      </c>
      <c r="B41" s="10">
        <v>0.96078431372549022</v>
      </c>
      <c r="C41">
        <v>0</v>
      </c>
      <c r="D41">
        <v>0</v>
      </c>
      <c r="E41">
        <v>0</v>
      </c>
      <c r="F41">
        <v>0</v>
      </c>
      <c r="G41">
        <v>1</v>
      </c>
      <c r="H41">
        <v>1</v>
      </c>
      <c r="I41">
        <v>0</v>
      </c>
      <c r="J41" s="10">
        <v>0.40791152700978311</v>
      </c>
      <c r="K41">
        <v>0</v>
      </c>
      <c r="L41">
        <v>1</v>
      </c>
      <c r="M41">
        <v>0</v>
      </c>
      <c r="N41" s="10">
        <v>0.46458486363528662</v>
      </c>
      <c r="O41" s="11">
        <v>0.4536883467043028</v>
      </c>
      <c r="P41" s="10">
        <v>0.75</v>
      </c>
      <c r="Q41">
        <v>1</v>
      </c>
      <c r="R41">
        <v>0</v>
      </c>
      <c r="S41">
        <v>1</v>
      </c>
      <c r="T41">
        <v>0</v>
      </c>
      <c r="U41">
        <v>0</v>
      </c>
      <c r="V41" s="10">
        <v>0.42535211267605633</v>
      </c>
      <c r="W41" s="5">
        <v>1</v>
      </c>
      <c r="X41" s="5">
        <v>2</v>
      </c>
      <c r="Y41" s="5">
        <v>3</v>
      </c>
      <c r="Z41" s="5">
        <v>6</v>
      </c>
    </row>
    <row r="42" spans="1:26" x14ac:dyDescent="0.35">
      <c r="A42">
        <v>41</v>
      </c>
      <c r="B42" s="10">
        <v>1</v>
      </c>
      <c r="C42">
        <v>0</v>
      </c>
      <c r="D42">
        <v>0</v>
      </c>
      <c r="E42">
        <v>1</v>
      </c>
      <c r="F42">
        <v>0</v>
      </c>
      <c r="G42">
        <v>0</v>
      </c>
      <c r="H42">
        <v>3</v>
      </c>
      <c r="I42">
        <v>1</v>
      </c>
      <c r="J42" s="10">
        <v>0.7754147171416419</v>
      </c>
      <c r="K42">
        <v>1</v>
      </c>
      <c r="L42">
        <v>0</v>
      </c>
      <c r="M42">
        <v>0</v>
      </c>
      <c r="N42" s="10">
        <v>0.10467857735232092</v>
      </c>
      <c r="O42" s="11">
        <v>0.36541982736071149</v>
      </c>
      <c r="P42" s="10">
        <v>0.125</v>
      </c>
      <c r="Q42">
        <v>1</v>
      </c>
      <c r="R42">
        <v>1</v>
      </c>
      <c r="S42">
        <v>0</v>
      </c>
      <c r="T42">
        <v>1</v>
      </c>
      <c r="U42">
        <v>0</v>
      </c>
      <c r="V42" s="10">
        <v>0.89859154929577467</v>
      </c>
      <c r="W42" s="5">
        <v>1</v>
      </c>
      <c r="X42" s="5">
        <v>1</v>
      </c>
      <c r="Y42" s="5">
        <v>1</v>
      </c>
      <c r="Z42" s="5">
        <v>3</v>
      </c>
    </row>
    <row r="43" spans="1:26" x14ac:dyDescent="0.35">
      <c r="A43">
        <v>42</v>
      </c>
      <c r="B43" s="10">
        <v>0.56862745098039214</v>
      </c>
      <c r="C43">
        <v>1</v>
      </c>
      <c r="D43">
        <v>0</v>
      </c>
      <c r="E43">
        <v>0</v>
      </c>
      <c r="F43">
        <v>0</v>
      </c>
      <c r="G43">
        <v>1</v>
      </c>
      <c r="H43">
        <v>2</v>
      </c>
      <c r="I43">
        <v>0</v>
      </c>
      <c r="J43" s="10">
        <v>0.2037430880476393</v>
      </c>
      <c r="K43">
        <v>1</v>
      </c>
      <c r="L43">
        <v>0</v>
      </c>
      <c r="M43">
        <v>0</v>
      </c>
      <c r="N43" s="10">
        <v>0.15425739876312111</v>
      </c>
      <c r="O43" s="11">
        <v>0.35588241212096822</v>
      </c>
      <c r="P43" s="10">
        <v>0.25</v>
      </c>
      <c r="Q43">
        <v>0</v>
      </c>
      <c r="R43">
        <v>0</v>
      </c>
      <c r="S43">
        <v>0</v>
      </c>
      <c r="T43">
        <v>0</v>
      </c>
      <c r="U43">
        <v>0</v>
      </c>
      <c r="V43" s="10">
        <v>0.2</v>
      </c>
      <c r="W43" s="5">
        <v>2</v>
      </c>
      <c r="X43" s="5">
        <v>2</v>
      </c>
      <c r="Y43" s="5">
        <v>1</v>
      </c>
      <c r="Z43" s="5">
        <v>5</v>
      </c>
    </row>
    <row r="44" spans="1:26" x14ac:dyDescent="0.35">
      <c r="A44">
        <v>43</v>
      </c>
      <c r="B44" s="10">
        <v>0.37254901960784315</v>
      </c>
      <c r="C44">
        <v>1</v>
      </c>
      <c r="D44">
        <v>1</v>
      </c>
      <c r="E44">
        <v>0</v>
      </c>
      <c r="F44">
        <v>0</v>
      </c>
      <c r="G44">
        <v>0</v>
      </c>
      <c r="H44">
        <v>1</v>
      </c>
      <c r="I44">
        <v>0</v>
      </c>
      <c r="J44" s="10">
        <v>0.509995746490855</v>
      </c>
      <c r="K44">
        <v>1</v>
      </c>
      <c r="L44">
        <v>0</v>
      </c>
      <c r="M44">
        <v>0</v>
      </c>
      <c r="N44" s="10">
        <v>0.65274684264151828</v>
      </c>
      <c r="O44" s="11">
        <v>0.63629621751515553</v>
      </c>
      <c r="P44" s="10">
        <v>0.75</v>
      </c>
      <c r="Q44">
        <v>2</v>
      </c>
      <c r="R44">
        <v>1</v>
      </c>
      <c r="S44">
        <v>0</v>
      </c>
      <c r="T44">
        <v>1</v>
      </c>
      <c r="U44">
        <v>0</v>
      </c>
      <c r="V44" s="10">
        <v>0.16619718309859155</v>
      </c>
      <c r="W44" s="5">
        <v>2</v>
      </c>
      <c r="X44" s="5">
        <v>2</v>
      </c>
      <c r="Y44" s="5">
        <v>3</v>
      </c>
      <c r="Z44" s="5">
        <v>7</v>
      </c>
    </row>
    <row r="45" spans="1:26" x14ac:dyDescent="0.35">
      <c r="A45">
        <v>44</v>
      </c>
      <c r="B45" s="10">
        <v>0.37254901960784315</v>
      </c>
      <c r="C45">
        <v>0</v>
      </c>
      <c r="D45">
        <v>0</v>
      </c>
      <c r="E45">
        <v>0</v>
      </c>
      <c r="F45">
        <v>0</v>
      </c>
      <c r="G45">
        <v>1</v>
      </c>
      <c r="H45">
        <v>1</v>
      </c>
      <c r="I45">
        <v>0</v>
      </c>
      <c r="J45" s="10">
        <v>0.71416418545299876</v>
      </c>
      <c r="K45">
        <v>1</v>
      </c>
      <c r="L45">
        <v>0</v>
      </c>
      <c r="M45">
        <v>0</v>
      </c>
      <c r="N45" s="10">
        <v>0.20082103168021229</v>
      </c>
      <c r="O45" s="11">
        <v>0.46132383616035194</v>
      </c>
      <c r="P45" s="10">
        <v>0.25</v>
      </c>
      <c r="Q45">
        <v>1</v>
      </c>
      <c r="R45">
        <v>1</v>
      </c>
      <c r="S45">
        <v>0</v>
      </c>
      <c r="T45">
        <v>0</v>
      </c>
      <c r="U45">
        <v>1</v>
      </c>
      <c r="V45" s="10">
        <v>0.10704225352112676</v>
      </c>
      <c r="W45" s="5">
        <v>2</v>
      </c>
      <c r="X45" s="5">
        <v>2</v>
      </c>
      <c r="Y45" s="5">
        <v>1</v>
      </c>
      <c r="Z45" s="5">
        <v>5</v>
      </c>
    </row>
    <row r="46" spans="1:26" x14ac:dyDescent="0.35">
      <c r="A46">
        <v>45</v>
      </c>
      <c r="B46" s="10">
        <v>0.27450980392156865</v>
      </c>
      <c r="C46">
        <v>0</v>
      </c>
      <c r="D46">
        <v>0</v>
      </c>
      <c r="E46">
        <v>0</v>
      </c>
      <c r="F46">
        <v>0</v>
      </c>
      <c r="G46">
        <v>1</v>
      </c>
      <c r="H46">
        <v>1</v>
      </c>
      <c r="I46">
        <v>0</v>
      </c>
      <c r="J46" s="10">
        <v>1</v>
      </c>
      <c r="K46">
        <v>0</v>
      </c>
      <c r="L46">
        <v>0</v>
      </c>
      <c r="M46">
        <v>1</v>
      </c>
      <c r="N46" s="10">
        <v>8.6078003933369659E-2</v>
      </c>
      <c r="O46" s="11">
        <v>0.60447896335942375</v>
      </c>
      <c r="P46" s="10">
        <v>0</v>
      </c>
      <c r="Q46">
        <v>1</v>
      </c>
      <c r="R46">
        <v>1</v>
      </c>
      <c r="S46">
        <v>1</v>
      </c>
      <c r="T46">
        <v>0</v>
      </c>
      <c r="U46">
        <v>0</v>
      </c>
      <c r="V46" s="10">
        <v>2.2535211267605635E-2</v>
      </c>
      <c r="W46" s="5">
        <v>3</v>
      </c>
      <c r="X46" s="5">
        <v>1</v>
      </c>
      <c r="Y46" s="5">
        <v>1</v>
      </c>
      <c r="Z46" s="5">
        <v>5</v>
      </c>
    </row>
    <row r="47" spans="1:26" x14ac:dyDescent="0.35">
      <c r="A47">
        <v>46</v>
      </c>
      <c r="B47" s="10">
        <v>0.76470588235294112</v>
      </c>
      <c r="C47">
        <v>0</v>
      </c>
      <c r="D47">
        <v>0</v>
      </c>
      <c r="E47">
        <v>1</v>
      </c>
      <c r="F47">
        <v>0</v>
      </c>
      <c r="G47">
        <v>0</v>
      </c>
      <c r="H47">
        <v>3</v>
      </c>
      <c r="I47">
        <v>1</v>
      </c>
      <c r="J47" s="10">
        <v>0.48957890259464065</v>
      </c>
      <c r="K47">
        <v>0</v>
      </c>
      <c r="L47">
        <v>0</v>
      </c>
      <c r="M47">
        <v>1</v>
      </c>
      <c r="N47" s="10">
        <v>3.6984929981280945E-2</v>
      </c>
      <c r="O47" s="11">
        <v>0.27097124690637636</v>
      </c>
      <c r="P47" s="10">
        <v>0</v>
      </c>
      <c r="Q47">
        <v>0</v>
      </c>
      <c r="R47">
        <v>0</v>
      </c>
      <c r="S47">
        <v>0</v>
      </c>
      <c r="T47">
        <v>0</v>
      </c>
      <c r="U47">
        <v>0</v>
      </c>
      <c r="V47" s="10">
        <v>0.37464788732394366</v>
      </c>
      <c r="W47" s="5">
        <v>1</v>
      </c>
      <c r="X47" s="5">
        <v>1</v>
      </c>
      <c r="Y47" s="5">
        <v>1</v>
      </c>
      <c r="Z47" s="5">
        <v>3</v>
      </c>
    </row>
    <row r="48" spans="1:26" x14ac:dyDescent="0.35">
      <c r="A48">
        <v>47</v>
      </c>
      <c r="B48" s="10">
        <v>0.62745098039215685</v>
      </c>
      <c r="C48">
        <v>0</v>
      </c>
      <c r="D48">
        <v>0</v>
      </c>
      <c r="E48">
        <v>1</v>
      </c>
      <c r="F48">
        <v>0</v>
      </c>
      <c r="G48">
        <v>0</v>
      </c>
      <c r="H48">
        <v>2</v>
      </c>
      <c r="I48">
        <v>0</v>
      </c>
      <c r="J48" s="10">
        <v>0.42832837090599751</v>
      </c>
      <c r="K48">
        <v>0</v>
      </c>
      <c r="L48">
        <v>1</v>
      </c>
      <c r="M48">
        <v>0</v>
      </c>
      <c r="N48" s="10">
        <v>0.43141779020448784</v>
      </c>
      <c r="O48" s="11">
        <v>0.42150028888192637</v>
      </c>
      <c r="P48" s="10">
        <v>0.75</v>
      </c>
      <c r="Q48">
        <v>0</v>
      </c>
      <c r="R48">
        <v>0</v>
      </c>
      <c r="S48">
        <v>0</v>
      </c>
      <c r="T48">
        <v>0</v>
      </c>
      <c r="U48">
        <v>0</v>
      </c>
      <c r="V48" s="10">
        <v>0.11830985915492957</v>
      </c>
      <c r="W48" s="5">
        <v>2</v>
      </c>
      <c r="X48" s="5">
        <v>2</v>
      </c>
      <c r="Y48" s="5">
        <v>2</v>
      </c>
      <c r="Z48" s="5">
        <v>6</v>
      </c>
    </row>
    <row r="49" spans="1:26" x14ac:dyDescent="0.35">
      <c r="A49">
        <v>48</v>
      </c>
      <c r="B49" s="10">
        <v>1.9607843137254902E-2</v>
      </c>
      <c r="C49">
        <v>1</v>
      </c>
      <c r="D49">
        <v>0</v>
      </c>
      <c r="E49">
        <v>0</v>
      </c>
      <c r="F49">
        <v>1</v>
      </c>
      <c r="G49">
        <v>0</v>
      </c>
      <c r="H49">
        <v>2</v>
      </c>
      <c r="I49">
        <v>0</v>
      </c>
      <c r="J49" s="10">
        <v>0.6937473415567843</v>
      </c>
      <c r="K49">
        <v>0</v>
      </c>
      <c r="L49">
        <v>1</v>
      </c>
      <c r="M49">
        <v>0</v>
      </c>
      <c r="N49" s="10">
        <v>0.47019465440845426</v>
      </c>
      <c r="O49" s="11">
        <v>0.45913254937581371</v>
      </c>
      <c r="P49" s="10">
        <v>0.75</v>
      </c>
      <c r="Q49">
        <v>0</v>
      </c>
      <c r="R49">
        <v>0</v>
      </c>
      <c r="S49">
        <v>0</v>
      </c>
      <c r="T49">
        <v>0</v>
      </c>
      <c r="U49">
        <v>0</v>
      </c>
      <c r="V49" s="10">
        <v>6.1971830985915494E-2</v>
      </c>
      <c r="W49" s="5">
        <v>3</v>
      </c>
      <c r="X49" s="5">
        <v>2</v>
      </c>
      <c r="Y49" s="5">
        <v>3</v>
      </c>
      <c r="Z49" s="5">
        <v>8</v>
      </c>
    </row>
    <row r="50" spans="1:26" x14ac:dyDescent="0.35">
      <c r="A50">
        <v>49</v>
      </c>
      <c r="B50" s="10">
        <v>0.17647058823529413</v>
      </c>
      <c r="C50">
        <v>0</v>
      </c>
      <c r="D50">
        <v>1</v>
      </c>
      <c r="E50">
        <v>0</v>
      </c>
      <c r="F50">
        <v>0</v>
      </c>
      <c r="G50">
        <v>0</v>
      </c>
      <c r="H50">
        <v>2</v>
      </c>
      <c r="I50">
        <v>0</v>
      </c>
      <c r="J50" s="10">
        <v>0.36707783921735437</v>
      </c>
      <c r="K50">
        <v>0</v>
      </c>
      <c r="L50">
        <v>0</v>
      </c>
      <c r="M50">
        <v>1</v>
      </c>
      <c r="N50" s="10">
        <v>0.18709570409686516</v>
      </c>
      <c r="O50" s="11">
        <v>0.43024339859286237</v>
      </c>
      <c r="P50" s="10">
        <v>0.25</v>
      </c>
      <c r="Q50">
        <v>0</v>
      </c>
      <c r="R50">
        <v>0</v>
      </c>
      <c r="S50">
        <v>0</v>
      </c>
      <c r="T50">
        <v>0</v>
      </c>
      <c r="U50">
        <v>0</v>
      </c>
      <c r="V50" s="10">
        <v>0.58309859154929577</v>
      </c>
      <c r="W50" s="5">
        <v>1</v>
      </c>
      <c r="X50" s="5">
        <v>2</v>
      </c>
      <c r="Y50" s="5">
        <v>1</v>
      </c>
      <c r="Z50" s="5">
        <v>4</v>
      </c>
    </row>
    <row r="51" spans="1:26" x14ac:dyDescent="0.35">
      <c r="A51">
        <v>50</v>
      </c>
      <c r="B51" s="10">
        <v>0.62745098039215685</v>
      </c>
      <c r="C51">
        <v>0</v>
      </c>
      <c r="D51">
        <v>1</v>
      </c>
      <c r="E51">
        <v>0</v>
      </c>
      <c r="F51">
        <v>0</v>
      </c>
      <c r="G51">
        <v>0</v>
      </c>
      <c r="H51">
        <v>1</v>
      </c>
      <c r="I51">
        <v>0</v>
      </c>
      <c r="J51" s="10">
        <v>0.38749468311356872</v>
      </c>
      <c r="K51">
        <v>0</v>
      </c>
      <c r="L51">
        <v>0</v>
      </c>
      <c r="M51">
        <v>1</v>
      </c>
      <c r="N51" s="10">
        <v>0.44570883586474896</v>
      </c>
      <c r="O51" s="11">
        <v>0.76189661763818195</v>
      </c>
      <c r="P51" s="10">
        <v>0.375</v>
      </c>
      <c r="Q51">
        <v>2</v>
      </c>
      <c r="R51">
        <v>1</v>
      </c>
      <c r="S51">
        <v>1</v>
      </c>
      <c r="T51">
        <v>0</v>
      </c>
      <c r="U51">
        <v>1</v>
      </c>
      <c r="V51" s="10">
        <v>6.1971830985915494E-2</v>
      </c>
      <c r="W51" s="5">
        <v>3</v>
      </c>
      <c r="X51" s="5">
        <v>2</v>
      </c>
      <c r="Y51" s="5">
        <v>2</v>
      </c>
      <c r="Z51" s="5">
        <v>7</v>
      </c>
    </row>
    <row r="52" spans="1:26" x14ac:dyDescent="0.35">
      <c r="A52">
        <v>51</v>
      </c>
      <c r="B52" s="10">
        <v>0.60784313725490191</v>
      </c>
      <c r="C52">
        <v>1</v>
      </c>
      <c r="D52">
        <v>0</v>
      </c>
      <c r="E52">
        <v>0</v>
      </c>
      <c r="F52">
        <v>1</v>
      </c>
      <c r="G52">
        <v>0</v>
      </c>
      <c r="H52">
        <v>2</v>
      </c>
      <c r="I52">
        <v>1</v>
      </c>
      <c r="J52" s="10">
        <v>6.0825180774138662E-2</v>
      </c>
      <c r="K52">
        <v>1</v>
      </c>
      <c r="L52">
        <v>0</v>
      </c>
      <c r="M52">
        <v>0</v>
      </c>
      <c r="N52" s="10">
        <v>0.15995900765348436</v>
      </c>
      <c r="O52" s="11">
        <v>0.36879347002287099</v>
      </c>
      <c r="P52" s="10">
        <v>0.25</v>
      </c>
      <c r="Q52">
        <v>0</v>
      </c>
      <c r="R52">
        <v>0</v>
      </c>
      <c r="S52">
        <v>0</v>
      </c>
      <c r="T52">
        <v>0</v>
      </c>
      <c r="U52">
        <v>0</v>
      </c>
      <c r="V52" s="10">
        <v>0.46197183098591549</v>
      </c>
      <c r="W52" s="5">
        <v>1</v>
      </c>
      <c r="X52" s="5">
        <v>2</v>
      </c>
      <c r="Y52" s="5">
        <v>1</v>
      </c>
      <c r="Z52" s="5">
        <v>4</v>
      </c>
    </row>
    <row r="53" spans="1:26" x14ac:dyDescent="0.35">
      <c r="A53">
        <v>52</v>
      </c>
      <c r="B53" s="10">
        <v>0.19607843137254902</v>
      </c>
      <c r="C53">
        <v>1</v>
      </c>
      <c r="D53">
        <v>0</v>
      </c>
      <c r="E53">
        <v>0</v>
      </c>
      <c r="F53">
        <v>0</v>
      </c>
      <c r="G53">
        <v>1</v>
      </c>
      <c r="H53">
        <v>2</v>
      </c>
      <c r="I53">
        <v>0</v>
      </c>
      <c r="J53" s="10">
        <v>0.1220757124627818</v>
      </c>
      <c r="K53">
        <v>1</v>
      </c>
      <c r="L53">
        <v>0</v>
      </c>
      <c r="M53">
        <v>0</v>
      </c>
      <c r="N53" s="10">
        <v>0.1159425870198801</v>
      </c>
      <c r="O53" s="11">
        <v>0.80736030906054446</v>
      </c>
      <c r="P53" s="10">
        <v>0</v>
      </c>
      <c r="Q53">
        <v>0</v>
      </c>
      <c r="R53">
        <v>0</v>
      </c>
      <c r="S53">
        <v>0</v>
      </c>
      <c r="T53">
        <v>0</v>
      </c>
      <c r="U53">
        <v>0</v>
      </c>
      <c r="V53" s="10">
        <v>0.89295774647887327</v>
      </c>
      <c r="W53" s="5">
        <v>1</v>
      </c>
      <c r="X53" s="5">
        <v>1</v>
      </c>
      <c r="Y53" s="5">
        <v>1</v>
      </c>
      <c r="Z53" s="5">
        <v>3</v>
      </c>
    </row>
    <row r="54" spans="1:26" x14ac:dyDescent="0.35">
      <c r="A54">
        <v>53</v>
      </c>
      <c r="B54" s="10">
        <v>0.45098039215686275</v>
      </c>
      <c r="C54">
        <v>0</v>
      </c>
      <c r="D54">
        <v>0</v>
      </c>
      <c r="E54">
        <v>0</v>
      </c>
      <c r="F54">
        <v>0</v>
      </c>
      <c r="G54">
        <v>1</v>
      </c>
      <c r="H54">
        <v>1</v>
      </c>
      <c r="I54">
        <v>0</v>
      </c>
      <c r="J54" s="10">
        <v>0.40791152700978311</v>
      </c>
      <c r="K54">
        <v>1</v>
      </c>
      <c r="L54">
        <v>0</v>
      </c>
      <c r="M54">
        <v>0</v>
      </c>
      <c r="N54" s="10">
        <v>0.36891334739236548</v>
      </c>
      <c r="O54" s="11">
        <v>0.36084083324470456</v>
      </c>
      <c r="P54" s="10">
        <v>0.75</v>
      </c>
      <c r="Q54">
        <v>0</v>
      </c>
      <c r="R54">
        <v>0</v>
      </c>
      <c r="S54">
        <v>0</v>
      </c>
      <c r="T54">
        <v>0</v>
      </c>
      <c r="U54">
        <v>0</v>
      </c>
      <c r="V54" s="10">
        <v>8.4507042253521118E-3</v>
      </c>
      <c r="W54" s="5">
        <v>3</v>
      </c>
      <c r="X54" s="5">
        <v>2</v>
      </c>
      <c r="Y54" s="5">
        <v>2</v>
      </c>
      <c r="Z54" s="5">
        <v>7</v>
      </c>
    </row>
    <row r="55" spans="1:26" x14ac:dyDescent="0.35">
      <c r="A55">
        <v>54</v>
      </c>
      <c r="B55" s="10">
        <v>0.68627450980392157</v>
      </c>
      <c r="C55">
        <v>0</v>
      </c>
      <c r="D55">
        <v>0</v>
      </c>
      <c r="E55">
        <v>1</v>
      </c>
      <c r="F55">
        <v>0</v>
      </c>
      <c r="G55">
        <v>0</v>
      </c>
      <c r="H55">
        <v>1</v>
      </c>
      <c r="I55">
        <v>0</v>
      </c>
      <c r="J55" s="10">
        <v>0.44874521480221186</v>
      </c>
      <c r="K55">
        <v>0</v>
      </c>
      <c r="L55">
        <v>0</v>
      </c>
      <c r="M55">
        <v>1</v>
      </c>
      <c r="N55" s="10">
        <v>0.13370198801033101</v>
      </c>
      <c r="O55" s="11">
        <v>0.46400329986518846</v>
      </c>
      <c r="P55" s="10">
        <v>0.125</v>
      </c>
      <c r="Q55">
        <v>2</v>
      </c>
      <c r="R55">
        <v>0</v>
      </c>
      <c r="S55">
        <v>1</v>
      </c>
      <c r="T55">
        <v>0</v>
      </c>
      <c r="U55">
        <v>1</v>
      </c>
      <c r="V55" s="10">
        <v>0.50704225352112675</v>
      </c>
      <c r="W55" s="5">
        <v>1</v>
      </c>
      <c r="X55" s="5">
        <v>1</v>
      </c>
      <c r="Y55" s="5">
        <v>1</v>
      </c>
      <c r="Z55" s="5">
        <v>3</v>
      </c>
    </row>
    <row r="56" spans="1:26" x14ac:dyDescent="0.35">
      <c r="A56">
        <v>55</v>
      </c>
      <c r="B56" s="10">
        <v>0.21568627450980393</v>
      </c>
      <c r="C56">
        <v>0</v>
      </c>
      <c r="D56">
        <v>1</v>
      </c>
      <c r="E56">
        <v>0</v>
      </c>
      <c r="F56">
        <v>0</v>
      </c>
      <c r="G56">
        <v>0</v>
      </c>
      <c r="H56">
        <v>1</v>
      </c>
      <c r="I56">
        <v>0</v>
      </c>
      <c r="J56" s="10">
        <v>0.67333049766056996</v>
      </c>
      <c r="K56">
        <v>0</v>
      </c>
      <c r="L56">
        <v>1</v>
      </c>
      <c r="M56">
        <v>0</v>
      </c>
      <c r="N56" s="10">
        <v>0.33159668743928161</v>
      </c>
      <c r="O56" s="11">
        <v>0.45447594519004414</v>
      </c>
      <c r="P56" s="10">
        <v>0.5</v>
      </c>
      <c r="Q56">
        <v>0</v>
      </c>
      <c r="R56">
        <v>0</v>
      </c>
      <c r="S56">
        <v>0</v>
      </c>
      <c r="T56">
        <v>0</v>
      </c>
      <c r="U56">
        <v>0</v>
      </c>
      <c r="V56" s="10">
        <v>0.3267605633802817</v>
      </c>
      <c r="W56" s="5">
        <v>1</v>
      </c>
      <c r="X56" s="5">
        <v>2</v>
      </c>
      <c r="Y56" s="5">
        <v>2</v>
      </c>
      <c r="Z56" s="5">
        <v>5</v>
      </c>
    </row>
    <row r="57" spans="1:26" x14ac:dyDescent="0.35">
      <c r="A57">
        <v>56</v>
      </c>
      <c r="B57" s="10">
        <v>0.98039215686274506</v>
      </c>
      <c r="C57">
        <v>0</v>
      </c>
      <c r="D57">
        <v>0</v>
      </c>
      <c r="E57">
        <v>1</v>
      </c>
      <c r="F57">
        <v>0</v>
      </c>
      <c r="G57">
        <v>0</v>
      </c>
      <c r="H57">
        <v>1</v>
      </c>
      <c r="I57">
        <v>0</v>
      </c>
      <c r="J57" s="10">
        <v>0.28541046363249684</v>
      </c>
      <c r="K57">
        <v>1</v>
      </c>
      <c r="L57">
        <v>0</v>
      </c>
      <c r="M57">
        <v>0</v>
      </c>
      <c r="N57" s="10">
        <v>0.42463213515626852</v>
      </c>
      <c r="O57" s="11">
        <v>0.58088090303627837</v>
      </c>
      <c r="P57" s="10">
        <v>0.5</v>
      </c>
      <c r="Q57">
        <v>0</v>
      </c>
      <c r="R57">
        <v>0</v>
      </c>
      <c r="S57">
        <v>0</v>
      </c>
      <c r="T57">
        <v>0</v>
      </c>
      <c r="U57">
        <v>0</v>
      </c>
      <c r="V57" s="10">
        <v>4.507042253521127E-2</v>
      </c>
      <c r="W57" s="5">
        <v>3</v>
      </c>
      <c r="X57" s="5">
        <v>2</v>
      </c>
      <c r="Y57" s="5">
        <v>2</v>
      </c>
      <c r="Z57" s="5">
        <v>7</v>
      </c>
    </row>
    <row r="58" spans="1:26" x14ac:dyDescent="0.35">
      <c r="A58">
        <v>57</v>
      </c>
      <c r="B58" s="10">
        <v>0.5490196078431373</v>
      </c>
      <c r="C58">
        <v>0</v>
      </c>
      <c r="D58">
        <v>0</v>
      </c>
      <c r="E58">
        <v>0</v>
      </c>
      <c r="F58">
        <v>1</v>
      </c>
      <c r="G58">
        <v>0</v>
      </c>
      <c r="H58">
        <v>3</v>
      </c>
      <c r="I58">
        <v>0</v>
      </c>
      <c r="J58" s="10">
        <v>0.89791578051892806</v>
      </c>
      <c r="K58">
        <v>0</v>
      </c>
      <c r="L58">
        <v>0</v>
      </c>
      <c r="M58">
        <v>1</v>
      </c>
      <c r="N58" s="10">
        <v>0.17414342582280881</v>
      </c>
      <c r="O58" s="11">
        <v>0.40091349926557879</v>
      </c>
      <c r="P58" s="10">
        <v>0.25</v>
      </c>
      <c r="Q58">
        <v>1</v>
      </c>
      <c r="R58">
        <v>1</v>
      </c>
      <c r="S58">
        <v>1</v>
      </c>
      <c r="T58">
        <v>0</v>
      </c>
      <c r="U58">
        <v>0</v>
      </c>
      <c r="V58" s="10">
        <v>9.295774647887324E-2</v>
      </c>
      <c r="W58" s="5">
        <v>2</v>
      </c>
      <c r="X58" s="5">
        <v>2</v>
      </c>
      <c r="Y58" s="5">
        <v>1</v>
      </c>
      <c r="Z58" s="5">
        <v>5</v>
      </c>
    </row>
    <row r="59" spans="1:26" x14ac:dyDescent="0.35">
      <c r="A59">
        <v>58</v>
      </c>
      <c r="B59" s="10">
        <v>0.66666666666666663</v>
      </c>
      <c r="C59">
        <v>1</v>
      </c>
      <c r="D59">
        <v>1</v>
      </c>
      <c r="E59">
        <v>0</v>
      </c>
      <c r="F59">
        <v>0</v>
      </c>
      <c r="G59">
        <v>0</v>
      </c>
      <c r="H59">
        <v>3</v>
      </c>
      <c r="I59">
        <v>0</v>
      </c>
      <c r="J59" s="10">
        <v>0.18332624415142493</v>
      </c>
      <c r="K59">
        <v>0</v>
      </c>
      <c r="L59">
        <v>0</v>
      </c>
      <c r="M59">
        <v>1</v>
      </c>
      <c r="N59" s="10">
        <v>0.65339549321138302</v>
      </c>
      <c r="O59" s="11">
        <v>0.74308000831673338</v>
      </c>
      <c r="P59" s="10">
        <v>0.625</v>
      </c>
      <c r="Q59">
        <v>2</v>
      </c>
      <c r="R59">
        <v>1</v>
      </c>
      <c r="S59">
        <v>1</v>
      </c>
      <c r="T59">
        <v>1</v>
      </c>
      <c r="U59">
        <v>0</v>
      </c>
      <c r="V59" s="10">
        <v>0.12112676056338029</v>
      </c>
      <c r="W59" s="5">
        <v>2</v>
      </c>
      <c r="X59" s="5">
        <v>2</v>
      </c>
      <c r="Y59" s="5">
        <v>3</v>
      </c>
      <c r="Z59" s="5">
        <v>7</v>
      </c>
    </row>
    <row r="60" spans="1:26" x14ac:dyDescent="0.35">
      <c r="A60">
        <v>59</v>
      </c>
      <c r="B60" s="10">
        <v>0</v>
      </c>
      <c r="C60">
        <v>1</v>
      </c>
      <c r="D60">
        <v>0</v>
      </c>
      <c r="E60">
        <v>1</v>
      </c>
      <c r="F60">
        <v>0</v>
      </c>
      <c r="G60">
        <v>0</v>
      </c>
      <c r="H60">
        <v>2</v>
      </c>
      <c r="I60">
        <v>0</v>
      </c>
      <c r="J60" s="10">
        <v>0.91833262441514252</v>
      </c>
      <c r="K60">
        <v>0</v>
      </c>
      <c r="L60">
        <v>0</v>
      </c>
      <c r="M60">
        <v>1</v>
      </c>
      <c r="N60" s="10">
        <v>8.37351610075113E-2</v>
      </c>
      <c r="O60" s="11">
        <v>0.19618771672132906</v>
      </c>
      <c r="P60" s="10">
        <v>0.25</v>
      </c>
      <c r="Q60">
        <v>0</v>
      </c>
      <c r="R60">
        <v>0</v>
      </c>
      <c r="S60">
        <v>0</v>
      </c>
      <c r="T60">
        <v>0</v>
      </c>
      <c r="U60">
        <v>0</v>
      </c>
      <c r="V60" s="10">
        <v>8.4507042253521125E-2</v>
      </c>
      <c r="W60" s="5">
        <v>2</v>
      </c>
      <c r="X60" s="5">
        <v>2</v>
      </c>
      <c r="Y60" s="5">
        <v>1</v>
      </c>
      <c r="Z60" s="5">
        <v>5</v>
      </c>
    </row>
    <row r="61" spans="1:26" x14ac:dyDescent="0.35">
      <c r="A61">
        <v>60</v>
      </c>
      <c r="B61" s="10">
        <v>0</v>
      </c>
      <c r="C61">
        <v>0</v>
      </c>
      <c r="D61">
        <v>1</v>
      </c>
      <c r="E61">
        <v>0</v>
      </c>
      <c r="F61">
        <v>0</v>
      </c>
      <c r="G61">
        <v>0</v>
      </c>
      <c r="H61">
        <v>3</v>
      </c>
      <c r="I61">
        <v>0</v>
      </c>
      <c r="J61" s="10">
        <v>0.509995746490855</v>
      </c>
      <c r="K61">
        <v>1</v>
      </c>
      <c r="L61">
        <v>0</v>
      </c>
      <c r="M61">
        <v>0</v>
      </c>
      <c r="N61" s="10">
        <v>0.22844643745705281</v>
      </c>
      <c r="O61" s="11">
        <v>0.39291032012716554</v>
      </c>
      <c r="P61" s="10">
        <v>0.375</v>
      </c>
      <c r="Q61">
        <v>2</v>
      </c>
      <c r="R61">
        <v>1</v>
      </c>
      <c r="S61">
        <v>0</v>
      </c>
      <c r="T61">
        <v>0</v>
      </c>
      <c r="U61">
        <v>1</v>
      </c>
      <c r="V61" s="10">
        <v>3.0985915492957747E-2</v>
      </c>
      <c r="W61" s="5">
        <v>3</v>
      </c>
      <c r="X61" s="5">
        <v>2</v>
      </c>
      <c r="Y61" s="5">
        <v>1</v>
      </c>
      <c r="Z61" s="5">
        <v>6</v>
      </c>
    </row>
    <row r="62" spans="1:26" x14ac:dyDescent="0.35">
      <c r="A62">
        <v>61</v>
      </c>
      <c r="B62" s="10">
        <v>0.70588235294117652</v>
      </c>
      <c r="C62">
        <v>1</v>
      </c>
      <c r="D62">
        <v>1</v>
      </c>
      <c r="E62">
        <v>0</v>
      </c>
      <c r="F62">
        <v>0</v>
      </c>
      <c r="G62">
        <v>0</v>
      </c>
      <c r="H62">
        <v>1</v>
      </c>
      <c r="I62">
        <v>1</v>
      </c>
      <c r="J62" s="10">
        <v>0.9591663122075712</v>
      </c>
      <c r="K62">
        <v>0</v>
      </c>
      <c r="L62">
        <v>1</v>
      </c>
      <c r="M62">
        <v>0</v>
      </c>
      <c r="N62" s="10">
        <v>0.19819977252801935</v>
      </c>
      <c r="O62" s="11">
        <v>0.45538810304700972</v>
      </c>
      <c r="P62" s="10">
        <v>0.25</v>
      </c>
      <c r="Q62">
        <v>1</v>
      </c>
      <c r="R62">
        <v>0</v>
      </c>
      <c r="S62">
        <v>1</v>
      </c>
      <c r="T62">
        <v>0</v>
      </c>
      <c r="U62">
        <v>0</v>
      </c>
      <c r="V62" s="10">
        <v>0.22816901408450704</v>
      </c>
      <c r="W62" s="5">
        <v>2</v>
      </c>
      <c r="X62" s="5">
        <v>2</v>
      </c>
      <c r="Y62" s="5">
        <v>1</v>
      </c>
      <c r="Z62" s="5">
        <v>5</v>
      </c>
    </row>
    <row r="63" spans="1:26" x14ac:dyDescent="0.35">
      <c r="A63">
        <v>62</v>
      </c>
      <c r="B63" s="10">
        <v>9.8039215686274508E-2</v>
      </c>
      <c r="C63">
        <v>0</v>
      </c>
      <c r="D63">
        <v>0</v>
      </c>
      <c r="E63">
        <v>1</v>
      </c>
      <c r="F63">
        <v>0</v>
      </c>
      <c r="G63">
        <v>0</v>
      </c>
      <c r="H63">
        <v>3</v>
      </c>
      <c r="I63">
        <v>0</v>
      </c>
      <c r="J63" s="10">
        <v>0.32624415142492558</v>
      </c>
      <c r="K63">
        <v>1</v>
      </c>
      <c r="L63">
        <v>0</v>
      </c>
      <c r="M63">
        <v>0</v>
      </c>
      <c r="N63" s="10">
        <v>0.24589484159893846</v>
      </c>
      <c r="O63" s="11">
        <v>0.42254371315318218</v>
      </c>
      <c r="P63" s="10">
        <v>0.375</v>
      </c>
      <c r="Q63">
        <v>2</v>
      </c>
      <c r="R63">
        <v>0</v>
      </c>
      <c r="S63">
        <v>1</v>
      </c>
      <c r="T63">
        <v>1</v>
      </c>
      <c r="U63">
        <v>0</v>
      </c>
      <c r="V63" s="10">
        <v>9.8591549295774641E-2</v>
      </c>
      <c r="W63" s="5">
        <v>2</v>
      </c>
      <c r="X63" s="5">
        <v>2</v>
      </c>
      <c r="Y63" s="5">
        <v>2</v>
      </c>
      <c r="Z63" s="5">
        <v>6</v>
      </c>
    </row>
    <row r="64" spans="1:26" x14ac:dyDescent="0.35">
      <c r="A64">
        <v>63</v>
      </c>
      <c r="B64" s="10">
        <v>0.74509803921568629</v>
      </c>
      <c r="C64">
        <v>1</v>
      </c>
      <c r="D64">
        <v>0</v>
      </c>
      <c r="E64">
        <v>1</v>
      </c>
      <c r="F64">
        <v>0</v>
      </c>
      <c r="G64">
        <v>0</v>
      </c>
      <c r="H64">
        <v>1</v>
      </c>
      <c r="I64">
        <v>0</v>
      </c>
      <c r="J64" s="10">
        <v>0.14249255635899619</v>
      </c>
      <c r="K64">
        <v>1</v>
      </c>
      <c r="L64">
        <v>0</v>
      </c>
      <c r="M64">
        <v>0</v>
      </c>
      <c r="N64" s="10">
        <v>0.65022332535601723</v>
      </c>
      <c r="O64" s="11">
        <v>0.49299225783662093</v>
      </c>
      <c r="P64" s="10">
        <v>1</v>
      </c>
      <c r="Q64">
        <v>0</v>
      </c>
      <c r="R64">
        <v>0</v>
      </c>
      <c r="S64">
        <v>0</v>
      </c>
      <c r="T64">
        <v>0</v>
      </c>
      <c r="U64">
        <v>0</v>
      </c>
      <c r="V64" s="10">
        <v>5.0704225352112678E-2</v>
      </c>
      <c r="W64" s="5">
        <v>3</v>
      </c>
      <c r="X64" s="5">
        <v>3</v>
      </c>
      <c r="Y64" s="5">
        <v>3</v>
      </c>
      <c r="Z64" s="5">
        <v>9</v>
      </c>
    </row>
    <row r="65" spans="1:26" x14ac:dyDescent="0.35">
      <c r="A65">
        <v>64</v>
      </c>
      <c r="B65" s="10">
        <v>0.78431372549019607</v>
      </c>
      <c r="C65">
        <v>0</v>
      </c>
      <c r="D65">
        <v>1</v>
      </c>
      <c r="E65">
        <v>0</v>
      </c>
      <c r="F65">
        <v>0</v>
      </c>
      <c r="G65">
        <v>0</v>
      </c>
      <c r="H65">
        <v>3</v>
      </c>
      <c r="I65">
        <v>0</v>
      </c>
      <c r="J65" s="10">
        <v>0.22415993194385367</v>
      </c>
      <c r="K65">
        <v>0</v>
      </c>
      <c r="L65">
        <v>0</v>
      </c>
      <c r="M65">
        <v>1</v>
      </c>
      <c r="N65" s="10">
        <v>0.2829804753216596</v>
      </c>
      <c r="O65" s="11">
        <v>0.64737050376600469</v>
      </c>
      <c r="P65" s="10">
        <v>0.25</v>
      </c>
      <c r="Q65">
        <v>0</v>
      </c>
      <c r="R65">
        <v>0</v>
      </c>
      <c r="S65">
        <v>0</v>
      </c>
      <c r="T65">
        <v>0</v>
      </c>
      <c r="U65">
        <v>0</v>
      </c>
      <c r="V65" s="10">
        <v>3.6619718309859155E-2</v>
      </c>
      <c r="W65" s="5">
        <v>3</v>
      </c>
      <c r="X65" s="5">
        <v>2</v>
      </c>
      <c r="Y65" s="5">
        <v>2</v>
      </c>
      <c r="Z65" s="5">
        <v>7</v>
      </c>
    </row>
    <row r="66" spans="1:26" x14ac:dyDescent="0.35">
      <c r="A66">
        <v>65</v>
      </c>
      <c r="B66" s="10">
        <v>0.33333333333333331</v>
      </c>
      <c r="C66">
        <v>0</v>
      </c>
      <c r="D66">
        <v>0</v>
      </c>
      <c r="E66">
        <v>0</v>
      </c>
      <c r="F66">
        <v>1</v>
      </c>
      <c r="G66">
        <v>0</v>
      </c>
      <c r="H66">
        <v>1</v>
      </c>
      <c r="I66">
        <v>0</v>
      </c>
      <c r="J66" s="10">
        <v>0.55082943428328379</v>
      </c>
      <c r="K66">
        <v>1</v>
      </c>
      <c r="L66">
        <v>0</v>
      </c>
      <c r="M66">
        <v>0</v>
      </c>
      <c r="N66" s="10">
        <v>0.3998797478852214</v>
      </c>
      <c r="O66" s="11">
        <v>0.54725044769512454</v>
      </c>
      <c r="P66" s="10">
        <v>0.5</v>
      </c>
      <c r="Q66">
        <v>0</v>
      </c>
      <c r="R66">
        <v>0</v>
      </c>
      <c r="S66">
        <v>0</v>
      </c>
      <c r="T66">
        <v>0</v>
      </c>
      <c r="U66">
        <v>0</v>
      </c>
      <c r="V66" s="10">
        <v>0.12394366197183099</v>
      </c>
      <c r="W66" s="5">
        <v>2</v>
      </c>
      <c r="X66" s="5">
        <v>2</v>
      </c>
      <c r="Y66" s="5">
        <v>2</v>
      </c>
      <c r="Z66" s="5">
        <v>6</v>
      </c>
    </row>
    <row r="67" spans="1:26" x14ac:dyDescent="0.35">
      <c r="A67">
        <v>66</v>
      </c>
      <c r="B67" s="10">
        <v>0.29411764705882354</v>
      </c>
      <c r="C67">
        <v>1</v>
      </c>
      <c r="D67">
        <v>0</v>
      </c>
      <c r="E67">
        <v>0</v>
      </c>
      <c r="F67">
        <v>0</v>
      </c>
      <c r="G67">
        <v>1</v>
      </c>
      <c r="H67">
        <v>2</v>
      </c>
      <c r="I67">
        <v>0</v>
      </c>
      <c r="J67" s="10">
        <v>0.81624840493407058</v>
      </c>
      <c r="K67">
        <v>0</v>
      </c>
      <c r="L67">
        <v>0</v>
      </c>
      <c r="M67">
        <v>1</v>
      </c>
      <c r="N67" s="10">
        <v>0.41445809539606182</v>
      </c>
      <c r="O67" s="11">
        <v>0.35441105454838123</v>
      </c>
      <c r="P67" s="10">
        <v>0.875</v>
      </c>
      <c r="Q67">
        <v>0</v>
      </c>
      <c r="R67">
        <v>0</v>
      </c>
      <c r="S67">
        <v>0</v>
      </c>
      <c r="T67">
        <v>0</v>
      </c>
      <c r="U67">
        <v>0</v>
      </c>
      <c r="V67" s="10">
        <v>2.8169014084507043E-2</v>
      </c>
      <c r="W67" s="5">
        <v>3</v>
      </c>
      <c r="X67" s="5">
        <v>3</v>
      </c>
      <c r="Y67" s="5">
        <v>2</v>
      </c>
      <c r="Z67" s="5">
        <v>8</v>
      </c>
    </row>
    <row r="68" spans="1:26" x14ac:dyDescent="0.35">
      <c r="A68">
        <v>67</v>
      </c>
      <c r="B68" s="10">
        <v>7.8431372549019607E-2</v>
      </c>
      <c r="C68">
        <v>0</v>
      </c>
      <c r="D68">
        <v>1</v>
      </c>
      <c r="E68">
        <v>0</v>
      </c>
      <c r="F68">
        <v>0</v>
      </c>
      <c r="G68">
        <v>0</v>
      </c>
      <c r="H68">
        <v>2</v>
      </c>
      <c r="I68">
        <v>0</v>
      </c>
      <c r="J68" s="10">
        <v>0.34666099532113998</v>
      </c>
      <c r="K68">
        <v>0</v>
      </c>
      <c r="L68">
        <v>0</v>
      </c>
      <c r="M68">
        <v>1</v>
      </c>
      <c r="N68" s="10">
        <v>0.20494988507925976</v>
      </c>
      <c r="O68" s="11">
        <v>0.35300509064568703</v>
      </c>
      <c r="P68" s="10">
        <v>0.375</v>
      </c>
      <c r="Q68">
        <v>2</v>
      </c>
      <c r="R68">
        <v>0</v>
      </c>
      <c r="S68">
        <v>0</v>
      </c>
      <c r="T68">
        <v>1</v>
      </c>
      <c r="U68">
        <v>0</v>
      </c>
      <c r="V68" s="10">
        <v>0.14647887323943662</v>
      </c>
      <c r="W68" s="5">
        <v>2</v>
      </c>
      <c r="X68" s="5">
        <v>2</v>
      </c>
      <c r="Y68" s="5">
        <v>1</v>
      </c>
      <c r="Z68" s="5">
        <v>5</v>
      </c>
    </row>
    <row r="69" spans="1:26" x14ac:dyDescent="0.35">
      <c r="A69">
        <v>68</v>
      </c>
      <c r="B69" s="10">
        <v>0.80392156862745101</v>
      </c>
      <c r="C69">
        <v>0</v>
      </c>
      <c r="D69">
        <v>0</v>
      </c>
      <c r="E69">
        <v>0</v>
      </c>
      <c r="F69">
        <v>1</v>
      </c>
      <c r="G69">
        <v>0</v>
      </c>
      <c r="H69">
        <v>3</v>
      </c>
      <c r="I69">
        <v>1</v>
      </c>
      <c r="J69" s="10">
        <v>0.10165886856656743</v>
      </c>
      <c r="K69">
        <v>0</v>
      </c>
      <c r="L69">
        <v>1</v>
      </c>
      <c r="M69">
        <v>0</v>
      </c>
      <c r="N69" s="10">
        <v>0.25966163542876097</v>
      </c>
      <c r="O69" s="11">
        <v>0.4459244652809915</v>
      </c>
      <c r="P69" s="10">
        <v>0.375</v>
      </c>
      <c r="Q69">
        <v>2</v>
      </c>
      <c r="R69">
        <v>1</v>
      </c>
      <c r="S69">
        <v>1</v>
      </c>
      <c r="T69">
        <v>1</v>
      </c>
      <c r="U69">
        <v>0</v>
      </c>
      <c r="V69" s="10">
        <v>0.15492957746478872</v>
      </c>
      <c r="W69" s="5">
        <v>2</v>
      </c>
      <c r="X69" s="5">
        <v>2</v>
      </c>
      <c r="Y69" s="5">
        <v>2</v>
      </c>
      <c r="Z69" s="5">
        <v>6</v>
      </c>
    </row>
    <row r="70" spans="1:26" x14ac:dyDescent="0.35">
      <c r="A70">
        <v>69</v>
      </c>
      <c r="B70" s="10">
        <v>0.82352941176470584</v>
      </c>
      <c r="C70">
        <v>0</v>
      </c>
      <c r="D70">
        <v>1</v>
      </c>
      <c r="E70">
        <v>0</v>
      </c>
      <c r="F70">
        <v>0</v>
      </c>
      <c r="G70">
        <v>0</v>
      </c>
      <c r="H70">
        <v>1</v>
      </c>
      <c r="I70">
        <v>0</v>
      </c>
      <c r="J70" s="10">
        <v>0.59166312207571248</v>
      </c>
      <c r="K70">
        <v>1</v>
      </c>
      <c r="L70">
        <v>0</v>
      </c>
      <c r="M70">
        <v>0</v>
      </c>
      <c r="N70" s="10">
        <v>0.30469694097576006</v>
      </c>
      <c r="O70" s="11">
        <v>0.52240990764401707</v>
      </c>
      <c r="P70" s="10">
        <v>0.375</v>
      </c>
      <c r="Q70">
        <v>1</v>
      </c>
      <c r="R70">
        <v>0</v>
      </c>
      <c r="S70">
        <v>0</v>
      </c>
      <c r="T70">
        <v>0</v>
      </c>
      <c r="U70">
        <v>1</v>
      </c>
      <c r="V70" s="10">
        <v>7.605633802816901E-2</v>
      </c>
      <c r="W70" s="5">
        <v>3</v>
      </c>
      <c r="X70" s="5">
        <v>2</v>
      </c>
      <c r="Y70" s="5">
        <v>2</v>
      </c>
      <c r="Z70" s="5">
        <v>7</v>
      </c>
    </row>
    <row r="71" spans="1:26" x14ac:dyDescent="0.35">
      <c r="A71">
        <v>70</v>
      </c>
      <c r="B71" s="10">
        <v>0.60784313725490191</v>
      </c>
      <c r="C71">
        <v>0</v>
      </c>
      <c r="D71">
        <v>0</v>
      </c>
      <c r="E71">
        <v>1</v>
      </c>
      <c r="F71">
        <v>0</v>
      </c>
      <c r="G71">
        <v>0</v>
      </c>
      <c r="H71">
        <v>2</v>
      </c>
      <c r="I71">
        <v>0</v>
      </c>
      <c r="J71" s="10">
        <v>0.2037430880476393</v>
      </c>
      <c r="K71">
        <v>1</v>
      </c>
      <c r="L71">
        <v>0</v>
      </c>
      <c r="M71">
        <v>0</v>
      </c>
      <c r="N71" s="10">
        <v>0.7239355022154822</v>
      </c>
      <c r="O71" s="11">
        <v>0.70538355183921497</v>
      </c>
      <c r="P71" s="10">
        <v>0.75</v>
      </c>
      <c r="Q71">
        <v>0</v>
      </c>
      <c r="R71">
        <v>0</v>
      </c>
      <c r="S71">
        <v>0</v>
      </c>
      <c r="T71">
        <v>0</v>
      </c>
      <c r="U71">
        <v>0</v>
      </c>
      <c r="V71" s="10">
        <v>5.0704225352112678E-2</v>
      </c>
      <c r="W71" s="5">
        <v>3</v>
      </c>
      <c r="X71" s="5">
        <v>2</v>
      </c>
      <c r="Y71" s="5">
        <v>3</v>
      </c>
      <c r="Z71" s="5">
        <v>8</v>
      </c>
    </row>
    <row r="72" spans="1:26" x14ac:dyDescent="0.35">
      <c r="A72">
        <v>71</v>
      </c>
      <c r="B72" s="10">
        <v>1.9607843137254902E-2</v>
      </c>
      <c r="C72">
        <v>0</v>
      </c>
      <c r="D72">
        <v>0</v>
      </c>
      <c r="E72">
        <v>0</v>
      </c>
      <c r="F72">
        <v>1</v>
      </c>
      <c r="G72">
        <v>0</v>
      </c>
      <c r="H72">
        <v>1</v>
      </c>
      <c r="I72">
        <v>1</v>
      </c>
      <c r="J72" s="10">
        <v>0.9591663122075712</v>
      </c>
      <c r="K72">
        <v>0</v>
      </c>
      <c r="L72">
        <v>0</v>
      </c>
      <c r="M72">
        <v>1</v>
      </c>
      <c r="N72" s="10">
        <v>0.137664976423477</v>
      </c>
      <c r="O72" s="11">
        <v>0.31830955686566464</v>
      </c>
      <c r="P72" s="10">
        <v>0.25</v>
      </c>
      <c r="Q72">
        <v>2</v>
      </c>
      <c r="R72">
        <v>1</v>
      </c>
      <c r="S72">
        <v>0</v>
      </c>
      <c r="T72">
        <v>1</v>
      </c>
      <c r="U72">
        <v>1</v>
      </c>
      <c r="V72" s="10">
        <v>0.16338028169014085</v>
      </c>
      <c r="W72" s="5">
        <v>2</v>
      </c>
      <c r="X72" s="5">
        <v>2</v>
      </c>
      <c r="Y72" s="5">
        <v>1</v>
      </c>
      <c r="Z72" s="5">
        <v>5</v>
      </c>
    </row>
    <row r="73" spans="1:26" x14ac:dyDescent="0.35">
      <c r="A73">
        <v>72</v>
      </c>
      <c r="B73" s="10">
        <v>1.9607843137254902E-2</v>
      </c>
      <c r="C73">
        <v>0</v>
      </c>
      <c r="D73">
        <v>0</v>
      </c>
      <c r="E73">
        <v>0</v>
      </c>
      <c r="F73">
        <v>1</v>
      </c>
      <c r="G73">
        <v>0</v>
      </c>
      <c r="H73">
        <v>3</v>
      </c>
      <c r="I73">
        <v>1</v>
      </c>
      <c r="J73" s="10">
        <v>0.509995746490855</v>
      </c>
      <c r="K73">
        <v>0</v>
      </c>
      <c r="L73">
        <v>0</v>
      </c>
      <c r="M73">
        <v>1</v>
      </c>
      <c r="N73" s="10">
        <v>0.31709831054664361</v>
      </c>
      <c r="O73" s="11">
        <v>0.36231446642118892</v>
      </c>
      <c r="P73" s="10">
        <v>0.625</v>
      </c>
      <c r="Q73">
        <v>2</v>
      </c>
      <c r="R73">
        <v>1</v>
      </c>
      <c r="S73">
        <v>1</v>
      </c>
      <c r="T73">
        <v>0</v>
      </c>
      <c r="U73">
        <v>0</v>
      </c>
      <c r="V73" s="10">
        <v>0.10985915492957747</v>
      </c>
      <c r="W73" s="5">
        <v>2</v>
      </c>
      <c r="X73" s="5">
        <v>2</v>
      </c>
      <c r="Y73" s="5">
        <v>2</v>
      </c>
      <c r="Z73" s="5">
        <v>6</v>
      </c>
    </row>
    <row r="74" spans="1:26" x14ac:dyDescent="0.35">
      <c r="A74">
        <v>73</v>
      </c>
      <c r="B74" s="10">
        <v>0.76470588235294112</v>
      </c>
      <c r="C74">
        <v>1</v>
      </c>
      <c r="D74">
        <v>1</v>
      </c>
      <c r="E74">
        <v>0</v>
      </c>
      <c r="F74">
        <v>0</v>
      </c>
      <c r="G74">
        <v>0</v>
      </c>
      <c r="H74">
        <v>1</v>
      </c>
      <c r="I74">
        <v>1</v>
      </c>
      <c r="J74" s="10">
        <v>0.48957890259464065</v>
      </c>
      <c r="K74">
        <v>0</v>
      </c>
      <c r="L74">
        <v>0</v>
      </c>
      <c r="M74">
        <v>1</v>
      </c>
      <c r="N74" s="10">
        <v>0.6647690922446271</v>
      </c>
      <c r="O74" s="11">
        <v>0.50397168733553777</v>
      </c>
      <c r="P74" s="10">
        <v>1</v>
      </c>
      <c r="Q74">
        <v>1</v>
      </c>
      <c r="R74">
        <v>0</v>
      </c>
      <c r="S74">
        <v>0</v>
      </c>
      <c r="T74">
        <v>1</v>
      </c>
      <c r="U74">
        <v>0</v>
      </c>
      <c r="V74" s="10">
        <v>0.12676056338028169</v>
      </c>
      <c r="W74" s="5">
        <v>2</v>
      </c>
      <c r="X74" s="5">
        <v>3</v>
      </c>
      <c r="Y74" s="5">
        <v>3</v>
      </c>
      <c r="Z74" s="5">
        <v>8</v>
      </c>
    </row>
    <row r="75" spans="1:26" x14ac:dyDescent="0.35">
      <c r="A75">
        <v>74</v>
      </c>
      <c r="B75" s="10">
        <v>0.80392156862745101</v>
      </c>
      <c r="C75">
        <v>1</v>
      </c>
      <c r="D75">
        <v>0</v>
      </c>
      <c r="E75">
        <v>0</v>
      </c>
      <c r="F75">
        <v>0</v>
      </c>
      <c r="G75">
        <v>1</v>
      </c>
      <c r="H75">
        <v>1</v>
      </c>
      <c r="I75">
        <v>0</v>
      </c>
      <c r="J75" s="10">
        <v>0.89791578051892806</v>
      </c>
      <c r="K75">
        <v>1</v>
      </c>
      <c r="L75">
        <v>0</v>
      </c>
      <c r="M75">
        <v>0</v>
      </c>
      <c r="N75" s="10">
        <v>0.61428986091036175</v>
      </c>
      <c r="O75" s="11">
        <v>0.52410259763777944</v>
      </c>
      <c r="P75" s="10">
        <v>0.875</v>
      </c>
      <c r="Q75">
        <v>1</v>
      </c>
      <c r="R75">
        <v>0</v>
      </c>
      <c r="S75">
        <v>1</v>
      </c>
      <c r="T75">
        <v>0</v>
      </c>
      <c r="U75">
        <v>0</v>
      </c>
      <c r="V75" s="10">
        <v>0.35492957746478876</v>
      </c>
      <c r="W75" s="5">
        <v>1</v>
      </c>
      <c r="X75" s="5">
        <v>3</v>
      </c>
      <c r="Y75" s="5">
        <v>3</v>
      </c>
      <c r="Z75" s="5">
        <v>7</v>
      </c>
    </row>
    <row r="76" spans="1:26" x14ac:dyDescent="0.35">
      <c r="A76">
        <v>75</v>
      </c>
      <c r="B76" s="10">
        <v>0.68627450980392157</v>
      </c>
      <c r="C76">
        <v>0</v>
      </c>
      <c r="D76">
        <v>1</v>
      </c>
      <c r="E76">
        <v>0</v>
      </c>
      <c r="F76">
        <v>0</v>
      </c>
      <c r="G76">
        <v>0</v>
      </c>
      <c r="H76">
        <v>3</v>
      </c>
      <c r="I76">
        <v>1</v>
      </c>
      <c r="J76" s="10">
        <v>0.24457677584006807</v>
      </c>
      <c r="K76">
        <v>1</v>
      </c>
      <c r="L76">
        <v>0</v>
      </c>
      <c r="M76">
        <v>0</v>
      </c>
      <c r="N76" s="10">
        <v>0.22515283273700923</v>
      </c>
      <c r="O76" s="11">
        <v>0.3873166462101853</v>
      </c>
      <c r="P76" s="10">
        <v>0.375</v>
      </c>
      <c r="Q76">
        <v>1</v>
      </c>
      <c r="R76">
        <v>0</v>
      </c>
      <c r="S76">
        <v>0</v>
      </c>
      <c r="T76">
        <v>1</v>
      </c>
      <c r="U76">
        <v>0</v>
      </c>
      <c r="V76" s="10">
        <v>0</v>
      </c>
      <c r="W76" s="5">
        <v>3</v>
      </c>
      <c r="X76" s="5">
        <v>2</v>
      </c>
      <c r="Y76" s="5">
        <v>1</v>
      </c>
      <c r="Z76" s="5">
        <v>6</v>
      </c>
    </row>
    <row r="77" spans="1:26" x14ac:dyDescent="0.35">
      <c r="A77">
        <v>76</v>
      </c>
      <c r="B77" s="10">
        <v>0.74509803921568629</v>
      </c>
      <c r="C77">
        <v>0</v>
      </c>
      <c r="D77">
        <v>0</v>
      </c>
      <c r="E77">
        <v>0</v>
      </c>
      <c r="F77">
        <v>0</v>
      </c>
      <c r="G77">
        <v>1</v>
      </c>
      <c r="H77">
        <v>2</v>
      </c>
      <c r="I77">
        <v>1</v>
      </c>
      <c r="J77" s="10">
        <v>0.10165886856656743</v>
      </c>
      <c r="K77">
        <v>0</v>
      </c>
      <c r="L77">
        <v>1</v>
      </c>
      <c r="M77">
        <v>0</v>
      </c>
      <c r="N77" s="10">
        <v>0.25890339549321134</v>
      </c>
      <c r="O77" s="11">
        <v>0.44463671301233421</v>
      </c>
      <c r="P77" s="10">
        <v>0.375</v>
      </c>
      <c r="Q77">
        <v>2</v>
      </c>
      <c r="R77">
        <v>1</v>
      </c>
      <c r="S77">
        <v>1</v>
      </c>
      <c r="T77">
        <v>1</v>
      </c>
      <c r="U77">
        <v>0</v>
      </c>
      <c r="V77" s="10">
        <v>6.7605633802816895E-2</v>
      </c>
      <c r="W77" s="5">
        <v>3</v>
      </c>
      <c r="X77" s="5">
        <v>2</v>
      </c>
      <c r="Y77" s="5">
        <v>2</v>
      </c>
      <c r="Z77" s="5">
        <v>7</v>
      </c>
    </row>
    <row r="78" spans="1:26" x14ac:dyDescent="0.35">
      <c r="A78">
        <v>77</v>
      </c>
      <c r="B78" s="10">
        <v>0.21568627450980393</v>
      </c>
      <c r="C78">
        <v>1</v>
      </c>
      <c r="D78">
        <v>0</v>
      </c>
      <c r="E78">
        <v>0</v>
      </c>
      <c r="F78">
        <v>1</v>
      </c>
      <c r="G78">
        <v>0</v>
      </c>
      <c r="H78">
        <v>3</v>
      </c>
      <c r="I78">
        <v>0</v>
      </c>
      <c r="J78" s="10">
        <v>0.59166312207571248</v>
      </c>
      <c r="K78">
        <v>0</v>
      </c>
      <c r="L78">
        <v>0</v>
      </c>
      <c r="M78">
        <v>1</v>
      </c>
      <c r="N78" s="10">
        <v>0.52936402625405776</v>
      </c>
      <c r="O78" s="11">
        <v>0.45198595545181991</v>
      </c>
      <c r="P78" s="10">
        <v>0.875</v>
      </c>
      <c r="Q78">
        <v>0</v>
      </c>
      <c r="R78">
        <v>0</v>
      </c>
      <c r="S78">
        <v>0</v>
      </c>
      <c r="T78">
        <v>0</v>
      </c>
      <c r="U78">
        <v>0</v>
      </c>
      <c r="V78" s="10">
        <v>7.605633802816901E-2</v>
      </c>
      <c r="W78" s="5">
        <v>3</v>
      </c>
      <c r="X78" s="5">
        <v>3</v>
      </c>
      <c r="Y78" s="5">
        <v>3</v>
      </c>
      <c r="Z78" s="5">
        <v>9</v>
      </c>
    </row>
    <row r="79" spans="1:26" x14ac:dyDescent="0.35">
      <c r="A79">
        <v>78</v>
      </c>
      <c r="B79" s="10">
        <v>0.90196078431372551</v>
      </c>
      <c r="C79">
        <v>1</v>
      </c>
      <c r="D79">
        <v>0</v>
      </c>
      <c r="E79">
        <v>0</v>
      </c>
      <c r="F79">
        <v>0</v>
      </c>
      <c r="G79">
        <v>1</v>
      </c>
      <c r="H79">
        <v>1</v>
      </c>
      <c r="I79">
        <v>0</v>
      </c>
      <c r="J79" s="10">
        <v>0.71416418545299876</v>
      </c>
      <c r="K79">
        <v>1</v>
      </c>
      <c r="L79">
        <v>0</v>
      </c>
      <c r="M79">
        <v>0</v>
      </c>
      <c r="N79" s="10">
        <v>0.23904994905575433</v>
      </c>
      <c r="O79" s="11">
        <v>0.54789164101222698</v>
      </c>
      <c r="P79" s="10">
        <v>0.25</v>
      </c>
      <c r="Q79">
        <v>1</v>
      </c>
      <c r="R79">
        <v>1</v>
      </c>
      <c r="S79">
        <v>0</v>
      </c>
      <c r="T79">
        <v>1</v>
      </c>
      <c r="U79">
        <v>0</v>
      </c>
      <c r="V79" s="10">
        <v>0.72957746478873242</v>
      </c>
      <c r="W79" s="5">
        <v>1</v>
      </c>
      <c r="X79" s="5">
        <v>2</v>
      </c>
      <c r="Y79" s="5">
        <v>1</v>
      </c>
      <c r="Z79" s="5">
        <v>4</v>
      </c>
    </row>
    <row r="80" spans="1:26" x14ac:dyDescent="0.35">
      <c r="A80">
        <v>79</v>
      </c>
      <c r="B80" s="10">
        <v>0.35294117647058826</v>
      </c>
      <c r="C80">
        <v>1</v>
      </c>
      <c r="D80">
        <v>0</v>
      </c>
      <c r="E80">
        <v>1</v>
      </c>
      <c r="F80">
        <v>0</v>
      </c>
      <c r="G80">
        <v>0</v>
      </c>
      <c r="H80">
        <v>3</v>
      </c>
      <c r="I80">
        <v>1</v>
      </c>
      <c r="J80" s="10">
        <v>0.46916205869842625</v>
      </c>
      <c r="K80">
        <v>0</v>
      </c>
      <c r="L80">
        <v>0</v>
      </c>
      <c r="M80">
        <v>1</v>
      </c>
      <c r="N80" s="10">
        <v>0.27294268179987202</v>
      </c>
      <c r="O80" s="11">
        <v>0.62464033481558978</v>
      </c>
      <c r="P80" s="10">
        <v>0.25</v>
      </c>
      <c r="Q80">
        <v>1</v>
      </c>
      <c r="R80">
        <v>0</v>
      </c>
      <c r="S80">
        <v>1</v>
      </c>
      <c r="T80">
        <v>0</v>
      </c>
      <c r="U80">
        <v>0</v>
      </c>
      <c r="V80" s="10">
        <v>4.788732394366197E-2</v>
      </c>
      <c r="W80" s="5">
        <v>3</v>
      </c>
      <c r="X80" s="5">
        <v>2</v>
      </c>
      <c r="Y80" s="5">
        <v>2</v>
      </c>
      <c r="Z80" s="5">
        <v>7</v>
      </c>
    </row>
    <row r="81" spans="1:26" x14ac:dyDescent="0.35">
      <c r="A81">
        <v>80</v>
      </c>
      <c r="B81" s="10">
        <v>0.52941176470588236</v>
      </c>
      <c r="C81">
        <v>1</v>
      </c>
      <c r="D81">
        <v>0</v>
      </c>
      <c r="E81">
        <v>0</v>
      </c>
      <c r="F81">
        <v>0</v>
      </c>
      <c r="G81">
        <v>1</v>
      </c>
      <c r="H81">
        <v>3</v>
      </c>
      <c r="I81">
        <v>0</v>
      </c>
      <c r="J81" s="10">
        <v>0.65291365376435562</v>
      </c>
      <c r="K81">
        <v>1</v>
      </c>
      <c r="L81">
        <v>0</v>
      </c>
      <c r="M81">
        <v>0</v>
      </c>
      <c r="N81" s="10">
        <v>2.9920858706727008E-2</v>
      </c>
      <c r="O81" s="11">
        <v>0.22298235376969353</v>
      </c>
      <c r="P81" s="10">
        <v>0</v>
      </c>
      <c r="Q81">
        <v>0</v>
      </c>
      <c r="R81">
        <v>0</v>
      </c>
      <c r="S81">
        <v>0</v>
      </c>
      <c r="T81">
        <v>0</v>
      </c>
      <c r="U81">
        <v>0</v>
      </c>
      <c r="V81" s="10">
        <v>0.76056338028169013</v>
      </c>
      <c r="W81" s="5">
        <v>1</v>
      </c>
      <c r="X81" s="5">
        <v>1</v>
      </c>
      <c r="Y81" s="5">
        <v>1</v>
      </c>
      <c r="Z81" s="5">
        <v>3</v>
      </c>
    </row>
    <row r="82" spans="1:26" x14ac:dyDescent="0.35">
      <c r="A82">
        <v>81</v>
      </c>
      <c r="B82" s="10">
        <v>0</v>
      </c>
      <c r="C82">
        <v>0</v>
      </c>
      <c r="D82">
        <v>0</v>
      </c>
      <c r="E82">
        <v>0</v>
      </c>
      <c r="F82">
        <v>0</v>
      </c>
      <c r="G82">
        <v>1</v>
      </c>
      <c r="H82">
        <v>1</v>
      </c>
      <c r="I82">
        <v>1</v>
      </c>
      <c r="J82" s="10">
        <v>0.81624840493407058</v>
      </c>
      <c r="K82">
        <v>0</v>
      </c>
      <c r="L82">
        <v>1</v>
      </c>
      <c r="M82">
        <v>0</v>
      </c>
      <c r="N82" s="10">
        <v>0.64331030969362357</v>
      </c>
      <c r="O82" s="11">
        <v>0.54874595062274889</v>
      </c>
      <c r="P82" s="10">
        <v>0.875</v>
      </c>
      <c r="Q82">
        <v>0</v>
      </c>
      <c r="R82">
        <v>0</v>
      </c>
      <c r="S82">
        <v>0</v>
      </c>
      <c r="T82">
        <v>0</v>
      </c>
      <c r="U82">
        <v>0</v>
      </c>
      <c r="V82" s="10">
        <v>0.3436619718309859</v>
      </c>
      <c r="W82" s="5">
        <v>1</v>
      </c>
      <c r="X82" s="5">
        <v>3</v>
      </c>
      <c r="Y82" s="5">
        <v>3</v>
      </c>
      <c r="Z82" s="5">
        <v>7</v>
      </c>
    </row>
    <row r="83" spans="1:26" x14ac:dyDescent="0.35">
      <c r="A83">
        <v>82</v>
      </c>
      <c r="B83" s="10">
        <v>0.27450980392156865</v>
      </c>
      <c r="C83">
        <v>0</v>
      </c>
      <c r="D83">
        <v>0</v>
      </c>
      <c r="E83">
        <v>0</v>
      </c>
      <c r="F83">
        <v>1</v>
      </c>
      <c r="G83">
        <v>0</v>
      </c>
      <c r="H83">
        <v>3</v>
      </c>
      <c r="I83">
        <v>0</v>
      </c>
      <c r="J83" s="10">
        <v>0.38749468311356872</v>
      </c>
      <c r="K83">
        <v>1</v>
      </c>
      <c r="L83">
        <v>0</v>
      </c>
      <c r="M83">
        <v>0</v>
      </c>
      <c r="N83" s="10">
        <v>6.5925408146340292E-2</v>
      </c>
      <c r="O83" s="11">
        <v>0.46757480029779269</v>
      </c>
      <c r="P83" s="10">
        <v>0</v>
      </c>
      <c r="Q83">
        <v>0</v>
      </c>
      <c r="R83">
        <v>0</v>
      </c>
      <c r="S83">
        <v>0</v>
      </c>
      <c r="T83">
        <v>0</v>
      </c>
      <c r="U83">
        <v>0</v>
      </c>
      <c r="V83" s="10">
        <v>0.93802816901408448</v>
      </c>
      <c r="W83" s="5">
        <v>1</v>
      </c>
      <c r="X83" s="5">
        <v>1</v>
      </c>
      <c r="Y83" s="5">
        <v>1</v>
      </c>
      <c r="Z83" s="5">
        <v>3</v>
      </c>
    </row>
    <row r="84" spans="1:26" x14ac:dyDescent="0.35">
      <c r="A84">
        <v>83</v>
      </c>
      <c r="B84" s="10">
        <v>0.68627450980392157</v>
      </c>
      <c r="C84">
        <v>1</v>
      </c>
      <c r="D84">
        <v>0</v>
      </c>
      <c r="E84">
        <v>0</v>
      </c>
      <c r="F84">
        <v>0</v>
      </c>
      <c r="G84">
        <v>1</v>
      </c>
      <c r="H84">
        <v>2</v>
      </c>
      <c r="I84">
        <v>0</v>
      </c>
      <c r="J84" s="10">
        <v>0.509995746490855</v>
      </c>
      <c r="K84">
        <v>1</v>
      </c>
      <c r="L84">
        <v>0</v>
      </c>
      <c r="M84">
        <v>0</v>
      </c>
      <c r="N84" s="10">
        <v>0.41765988199891002</v>
      </c>
      <c r="O84" s="11">
        <v>0.47617322950830665</v>
      </c>
      <c r="P84" s="10">
        <v>0.625</v>
      </c>
      <c r="Q84">
        <v>2</v>
      </c>
      <c r="R84">
        <v>1</v>
      </c>
      <c r="S84">
        <v>0</v>
      </c>
      <c r="T84">
        <v>0</v>
      </c>
      <c r="U84">
        <v>1</v>
      </c>
      <c r="V84" s="10">
        <v>0.21690140845070421</v>
      </c>
      <c r="W84" s="5">
        <v>2</v>
      </c>
      <c r="X84" s="5">
        <v>2</v>
      </c>
      <c r="Y84" s="5">
        <v>2</v>
      </c>
      <c r="Z84" s="5">
        <v>6</v>
      </c>
    </row>
    <row r="85" spans="1:26" x14ac:dyDescent="0.35">
      <c r="A85">
        <v>84</v>
      </c>
      <c r="B85" s="10">
        <v>0.23529411764705882</v>
      </c>
      <c r="C85">
        <v>1</v>
      </c>
      <c r="D85">
        <v>0</v>
      </c>
      <c r="E85">
        <v>0</v>
      </c>
      <c r="F85">
        <v>1</v>
      </c>
      <c r="G85">
        <v>0</v>
      </c>
      <c r="H85">
        <v>2</v>
      </c>
      <c r="I85">
        <v>0</v>
      </c>
      <c r="J85" s="10">
        <v>0.91833262441514252</v>
      </c>
      <c r="K85">
        <v>0</v>
      </c>
      <c r="L85">
        <v>0</v>
      </c>
      <c r="M85">
        <v>1</v>
      </c>
      <c r="N85" s="10">
        <v>0.45497654195199388</v>
      </c>
      <c r="O85" s="11">
        <v>0.62210909676251025</v>
      </c>
      <c r="P85" s="10">
        <v>0.5</v>
      </c>
      <c r="Q85">
        <v>0</v>
      </c>
      <c r="R85">
        <v>0</v>
      </c>
      <c r="S85">
        <v>0</v>
      </c>
      <c r="T85">
        <v>0</v>
      </c>
      <c r="U85">
        <v>0</v>
      </c>
      <c r="V85" s="10">
        <v>4.507042253521127E-2</v>
      </c>
      <c r="W85" s="5">
        <v>3</v>
      </c>
      <c r="X85" s="5">
        <v>2</v>
      </c>
      <c r="Y85" s="5">
        <v>2</v>
      </c>
      <c r="Z85" s="5">
        <v>7</v>
      </c>
    </row>
    <row r="86" spans="1:26" x14ac:dyDescent="0.35">
      <c r="A86">
        <v>85</v>
      </c>
      <c r="B86" s="10">
        <v>0.82352941176470584</v>
      </c>
      <c r="C86">
        <v>1</v>
      </c>
      <c r="D86">
        <v>0</v>
      </c>
      <c r="E86">
        <v>1</v>
      </c>
      <c r="F86">
        <v>0</v>
      </c>
      <c r="G86">
        <v>0</v>
      </c>
      <c r="H86">
        <v>3</v>
      </c>
      <c r="I86">
        <v>0</v>
      </c>
      <c r="J86" s="10">
        <v>0.75499787324542744</v>
      </c>
      <c r="K86">
        <v>1</v>
      </c>
      <c r="L86">
        <v>0</v>
      </c>
      <c r="M86">
        <v>0</v>
      </c>
      <c r="N86" s="10">
        <v>0.49767789019737929</v>
      </c>
      <c r="O86" s="11">
        <v>0.37784797816186777</v>
      </c>
      <c r="P86" s="10">
        <v>1</v>
      </c>
      <c r="Q86">
        <v>0</v>
      </c>
      <c r="R86">
        <v>0</v>
      </c>
      <c r="S86">
        <v>0</v>
      </c>
      <c r="T86">
        <v>0</v>
      </c>
      <c r="U86">
        <v>0</v>
      </c>
      <c r="V86" s="10">
        <v>7.0422535211267609E-2</v>
      </c>
      <c r="W86" s="5">
        <v>3</v>
      </c>
      <c r="X86" s="5">
        <v>3</v>
      </c>
      <c r="Y86" s="5">
        <v>3</v>
      </c>
      <c r="Z86" s="5">
        <v>9</v>
      </c>
    </row>
    <row r="87" spans="1:26" x14ac:dyDescent="0.35">
      <c r="A87">
        <v>86</v>
      </c>
      <c r="B87" s="10">
        <v>0.39215686274509803</v>
      </c>
      <c r="C87">
        <v>1</v>
      </c>
      <c r="D87">
        <v>0</v>
      </c>
      <c r="E87">
        <v>1</v>
      </c>
      <c r="F87">
        <v>0</v>
      </c>
      <c r="G87">
        <v>0</v>
      </c>
      <c r="H87">
        <v>1</v>
      </c>
      <c r="I87">
        <v>0</v>
      </c>
      <c r="J87" s="10">
        <v>1.9991492981709911E-2</v>
      </c>
      <c r="K87">
        <v>0</v>
      </c>
      <c r="L87">
        <v>1</v>
      </c>
      <c r="M87">
        <v>0</v>
      </c>
      <c r="N87" s="10">
        <v>0.49311067933559222</v>
      </c>
      <c r="O87" s="11">
        <v>0.48137214603340678</v>
      </c>
      <c r="P87" s="10">
        <v>0.75</v>
      </c>
      <c r="Q87">
        <v>0</v>
      </c>
      <c r="R87">
        <v>0</v>
      </c>
      <c r="S87">
        <v>0</v>
      </c>
      <c r="T87">
        <v>0</v>
      </c>
      <c r="U87">
        <v>0</v>
      </c>
      <c r="V87" s="10">
        <v>8.1690140845070425E-2</v>
      </c>
      <c r="W87" s="5">
        <v>2</v>
      </c>
      <c r="X87" s="5">
        <v>2</v>
      </c>
      <c r="Y87" s="5">
        <v>3</v>
      </c>
      <c r="Z87" s="5">
        <v>7</v>
      </c>
    </row>
    <row r="88" spans="1:26" x14ac:dyDescent="0.35">
      <c r="A88">
        <v>87</v>
      </c>
      <c r="B88" s="10">
        <v>0.21568627450980393</v>
      </c>
      <c r="C88">
        <v>0</v>
      </c>
      <c r="D88">
        <v>1</v>
      </c>
      <c r="E88">
        <v>0</v>
      </c>
      <c r="F88">
        <v>0</v>
      </c>
      <c r="G88">
        <v>0</v>
      </c>
      <c r="H88">
        <v>3</v>
      </c>
      <c r="I88">
        <v>0</v>
      </c>
      <c r="J88" s="10">
        <v>0.87749893662271372</v>
      </c>
      <c r="K88">
        <v>0</v>
      </c>
      <c r="L88">
        <v>1</v>
      </c>
      <c r="M88">
        <v>0</v>
      </c>
      <c r="N88" s="10">
        <v>0.41526668720233151</v>
      </c>
      <c r="O88" s="11">
        <v>0.56815630093160818</v>
      </c>
      <c r="P88" s="10">
        <v>0.5</v>
      </c>
      <c r="Q88">
        <v>2</v>
      </c>
      <c r="R88">
        <v>1</v>
      </c>
      <c r="S88">
        <v>1</v>
      </c>
      <c r="T88">
        <v>1</v>
      </c>
      <c r="U88">
        <v>0</v>
      </c>
      <c r="V88" s="10">
        <v>1.4084507042253521E-2</v>
      </c>
      <c r="W88" s="5">
        <v>3</v>
      </c>
      <c r="X88" s="5">
        <v>2</v>
      </c>
      <c r="Y88" s="5">
        <v>2</v>
      </c>
      <c r="Z88" s="5">
        <v>7</v>
      </c>
    </row>
    <row r="89" spans="1:26" x14ac:dyDescent="0.35">
      <c r="A89">
        <v>88</v>
      </c>
      <c r="B89" s="10">
        <v>7.8431372549019607E-2</v>
      </c>
      <c r="C89">
        <v>1</v>
      </c>
      <c r="D89">
        <v>1</v>
      </c>
      <c r="E89">
        <v>0</v>
      </c>
      <c r="F89">
        <v>0</v>
      </c>
      <c r="G89">
        <v>0</v>
      </c>
      <c r="H89">
        <v>3</v>
      </c>
      <c r="I89">
        <v>0</v>
      </c>
      <c r="J89" s="10">
        <v>0.26499361973628244</v>
      </c>
      <c r="K89">
        <v>0</v>
      </c>
      <c r="L89">
        <v>0</v>
      </c>
      <c r="M89">
        <v>1</v>
      </c>
      <c r="N89" s="10">
        <v>0.12959386773452125</v>
      </c>
      <c r="O89" s="11">
        <v>0.45004929676653455</v>
      </c>
      <c r="P89" s="10">
        <v>0.125</v>
      </c>
      <c r="Q89">
        <v>0</v>
      </c>
      <c r="R89">
        <v>0</v>
      </c>
      <c r="S89">
        <v>0</v>
      </c>
      <c r="T89">
        <v>0</v>
      </c>
      <c r="U89">
        <v>0</v>
      </c>
      <c r="V89" s="10">
        <v>0.39436619718309857</v>
      </c>
      <c r="W89" s="5">
        <v>1</v>
      </c>
      <c r="X89" s="5">
        <v>1</v>
      </c>
      <c r="Y89" s="5">
        <v>1</v>
      </c>
      <c r="Z89" s="5">
        <v>3</v>
      </c>
    </row>
    <row r="90" spans="1:26" x14ac:dyDescent="0.35">
      <c r="A90">
        <v>89</v>
      </c>
      <c r="B90" s="10">
        <v>0.11764705882352941</v>
      </c>
      <c r="C90">
        <v>1</v>
      </c>
      <c r="D90">
        <v>1</v>
      </c>
      <c r="E90">
        <v>0</v>
      </c>
      <c r="F90">
        <v>0</v>
      </c>
      <c r="G90">
        <v>0</v>
      </c>
      <c r="H90">
        <v>2</v>
      </c>
      <c r="I90">
        <v>0</v>
      </c>
      <c r="J90" s="10">
        <v>0.24457677584006807</v>
      </c>
      <c r="K90">
        <v>1</v>
      </c>
      <c r="L90">
        <v>0</v>
      </c>
      <c r="M90">
        <v>0</v>
      </c>
      <c r="N90" s="10">
        <v>0.57525235172855005</v>
      </c>
      <c r="O90" s="11">
        <v>0.56108918546794562</v>
      </c>
      <c r="P90" s="10">
        <v>0.75</v>
      </c>
      <c r="Q90">
        <v>0</v>
      </c>
      <c r="R90">
        <v>0</v>
      </c>
      <c r="S90">
        <v>0</v>
      </c>
      <c r="T90">
        <v>0</v>
      </c>
      <c r="U90">
        <v>0</v>
      </c>
      <c r="V90" s="10">
        <v>0.22535211267605634</v>
      </c>
      <c r="W90" s="5">
        <v>2</v>
      </c>
      <c r="X90" s="5">
        <v>2</v>
      </c>
      <c r="Y90" s="5">
        <v>3</v>
      </c>
      <c r="Z90" s="5">
        <v>7</v>
      </c>
    </row>
    <row r="91" spans="1:26" x14ac:dyDescent="0.35">
      <c r="A91">
        <v>90</v>
      </c>
      <c r="B91" s="10">
        <v>7.8431372549019607E-2</v>
      </c>
      <c r="C91">
        <v>1</v>
      </c>
      <c r="D91">
        <v>0</v>
      </c>
      <c r="E91">
        <v>1</v>
      </c>
      <c r="F91">
        <v>0</v>
      </c>
      <c r="G91">
        <v>0</v>
      </c>
      <c r="H91">
        <v>2</v>
      </c>
      <c r="I91">
        <v>0</v>
      </c>
      <c r="J91" s="10">
        <v>0.9591663122075712</v>
      </c>
      <c r="K91">
        <v>0</v>
      </c>
      <c r="L91">
        <v>0</v>
      </c>
      <c r="M91">
        <v>1</v>
      </c>
      <c r="N91" s="10">
        <v>0.3613961092813307</v>
      </c>
      <c r="O91" s="11">
        <v>0.41246973446816504</v>
      </c>
      <c r="P91" s="10">
        <v>0.625</v>
      </c>
      <c r="Q91">
        <v>1</v>
      </c>
      <c r="R91">
        <v>0</v>
      </c>
      <c r="S91">
        <v>0</v>
      </c>
      <c r="T91">
        <v>1</v>
      </c>
      <c r="U91">
        <v>0</v>
      </c>
      <c r="V91" s="10">
        <v>2.8169014084507044E-3</v>
      </c>
      <c r="W91" s="5">
        <v>3</v>
      </c>
      <c r="X91" s="5">
        <v>2</v>
      </c>
      <c r="Y91" s="5">
        <v>2</v>
      </c>
      <c r="Z91" s="5">
        <v>7</v>
      </c>
    </row>
    <row r="92" spans="1:26" x14ac:dyDescent="0.35">
      <c r="A92">
        <v>91</v>
      </c>
      <c r="B92" s="10">
        <v>0.92156862745098034</v>
      </c>
      <c r="C92">
        <v>0</v>
      </c>
      <c r="D92">
        <v>0</v>
      </c>
      <c r="E92">
        <v>0</v>
      </c>
      <c r="F92">
        <v>0</v>
      </c>
      <c r="G92">
        <v>1</v>
      </c>
      <c r="H92">
        <v>1</v>
      </c>
      <c r="I92">
        <v>0</v>
      </c>
      <c r="J92" s="10">
        <v>0.87749893662271372</v>
      </c>
      <c r="K92">
        <v>1</v>
      </c>
      <c r="L92">
        <v>0</v>
      </c>
      <c r="M92">
        <v>0</v>
      </c>
      <c r="N92" s="10">
        <v>0.5316387460607066</v>
      </c>
      <c r="O92" s="11">
        <v>0.40348229675982755</v>
      </c>
      <c r="P92" s="10">
        <v>1</v>
      </c>
      <c r="Q92">
        <v>2</v>
      </c>
      <c r="R92">
        <v>1</v>
      </c>
      <c r="S92">
        <v>0</v>
      </c>
      <c r="T92">
        <v>1</v>
      </c>
      <c r="U92">
        <v>1</v>
      </c>
      <c r="V92" s="10">
        <v>0.18028169014084508</v>
      </c>
      <c r="W92" s="5">
        <v>2</v>
      </c>
      <c r="X92" s="5">
        <v>3</v>
      </c>
      <c r="Y92" s="5">
        <v>3</v>
      </c>
      <c r="Z92" s="5">
        <v>8</v>
      </c>
    </row>
    <row r="93" spans="1:26" x14ac:dyDescent="0.35">
      <c r="A93">
        <v>92</v>
      </c>
      <c r="B93" s="10">
        <v>5.8823529411764705E-2</v>
      </c>
      <c r="C93">
        <v>0</v>
      </c>
      <c r="D93">
        <v>0</v>
      </c>
      <c r="E93">
        <v>0</v>
      </c>
      <c r="F93">
        <v>1</v>
      </c>
      <c r="G93">
        <v>0</v>
      </c>
      <c r="H93">
        <v>1</v>
      </c>
      <c r="I93">
        <v>0</v>
      </c>
      <c r="J93" s="10">
        <v>0.75499787324542744</v>
      </c>
      <c r="K93">
        <v>1</v>
      </c>
      <c r="L93">
        <v>0</v>
      </c>
      <c r="M93">
        <v>0</v>
      </c>
      <c r="N93" s="10">
        <v>0.66804492571618124</v>
      </c>
      <c r="O93" s="11">
        <v>0.56974989436407175</v>
      </c>
      <c r="P93" s="10">
        <v>0.875</v>
      </c>
      <c r="Q93">
        <v>2</v>
      </c>
      <c r="R93">
        <v>1</v>
      </c>
      <c r="S93">
        <v>0</v>
      </c>
      <c r="T93">
        <v>1</v>
      </c>
      <c r="U93">
        <v>1</v>
      </c>
      <c r="V93" s="10">
        <v>6.1971830985915494E-2</v>
      </c>
      <c r="W93" s="5">
        <v>3</v>
      </c>
      <c r="X93" s="5">
        <v>3</v>
      </c>
      <c r="Y93" s="5">
        <v>3</v>
      </c>
      <c r="Z93" s="5">
        <v>9</v>
      </c>
    </row>
    <row r="94" spans="1:26" x14ac:dyDescent="0.35">
      <c r="A94">
        <v>93</v>
      </c>
      <c r="B94" s="10">
        <v>0.23529411764705882</v>
      </c>
      <c r="C94">
        <v>0</v>
      </c>
      <c r="D94">
        <v>0</v>
      </c>
      <c r="E94">
        <v>1</v>
      </c>
      <c r="F94">
        <v>0</v>
      </c>
      <c r="G94">
        <v>0</v>
      </c>
      <c r="H94">
        <v>1</v>
      </c>
      <c r="I94">
        <v>0</v>
      </c>
      <c r="J94" s="10">
        <v>0.85708209272649938</v>
      </c>
      <c r="K94">
        <v>1</v>
      </c>
      <c r="L94">
        <v>0</v>
      </c>
      <c r="M94">
        <v>0</v>
      </c>
      <c r="N94" s="10">
        <v>0.24828507452076867</v>
      </c>
      <c r="O94" s="11">
        <v>0.34128252077506588</v>
      </c>
      <c r="P94" s="10">
        <v>0.5</v>
      </c>
      <c r="Q94">
        <v>2</v>
      </c>
      <c r="R94">
        <v>0</v>
      </c>
      <c r="S94">
        <v>1</v>
      </c>
      <c r="T94">
        <v>0</v>
      </c>
      <c r="U94">
        <v>0</v>
      </c>
      <c r="V94" s="10">
        <v>5.9154929577464786E-2</v>
      </c>
      <c r="W94" s="5">
        <v>3</v>
      </c>
      <c r="X94" s="5">
        <v>2</v>
      </c>
      <c r="Y94" s="5">
        <v>2</v>
      </c>
      <c r="Z94" s="5">
        <v>7</v>
      </c>
    </row>
    <row r="95" spans="1:26" x14ac:dyDescent="0.35">
      <c r="A95">
        <v>94</v>
      </c>
      <c r="B95" s="10">
        <v>0.70588235294117652</v>
      </c>
      <c r="C95">
        <v>1</v>
      </c>
      <c r="D95">
        <v>0</v>
      </c>
      <c r="E95">
        <v>0</v>
      </c>
      <c r="F95">
        <v>0</v>
      </c>
      <c r="G95">
        <v>1</v>
      </c>
      <c r="H95">
        <v>3</v>
      </c>
      <c r="I95">
        <v>0</v>
      </c>
      <c r="J95" s="10">
        <v>0.83666524883028492</v>
      </c>
      <c r="K95">
        <v>0</v>
      </c>
      <c r="L95">
        <v>1</v>
      </c>
      <c r="M95">
        <v>0</v>
      </c>
      <c r="N95" s="10">
        <v>0.3269346965855508</v>
      </c>
      <c r="O95" s="11">
        <v>0.74690302286430987</v>
      </c>
      <c r="P95" s="10">
        <v>0.25</v>
      </c>
      <c r="Q95">
        <v>0</v>
      </c>
      <c r="R95">
        <v>0</v>
      </c>
      <c r="S95">
        <v>0</v>
      </c>
      <c r="T95">
        <v>0</v>
      </c>
      <c r="U95">
        <v>0</v>
      </c>
      <c r="V95" s="10">
        <v>5.6338028169014088E-3</v>
      </c>
      <c r="W95" s="5">
        <v>3</v>
      </c>
      <c r="X95" s="5">
        <v>2</v>
      </c>
      <c r="Y95" s="5">
        <v>2</v>
      </c>
      <c r="Z95" s="5">
        <v>7</v>
      </c>
    </row>
    <row r="96" spans="1:26" x14ac:dyDescent="0.35">
      <c r="A96">
        <v>95</v>
      </c>
      <c r="B96" s="10">
        <v>0.78431372549019607</v>
      </c>
      <c r="C96">
        <v>0</v>
      </c>
      <c r="D96">
        <v>1</v>
      </c>
      <c r="E96">
        <v>0</v>
      </c>
      <c r="F96">
        <v>0</v>
      </c>
      <c r="G96">
        <v>0</v>
      </c>
      <c r="H96">
        <v>3</v>
      </c>
      <c r="I96">
        <v>0</v>
      </c>
      <c r="J96" s="10">
        <v>0.24457677584006807</v>
      </c>
      <c r="K96">
        <v>0</v>
      </c>
      <c r="L96">
        <v>0</v>
      </c>
      <c r="M96">
        <v>1</v>
      </c>
      <c r="N96" s="10">
        <v>0.19769625382081843</v>
      </c>
      <c r="O96" s="11">
        <v>0.45424790572580265</v>
      </c>
      <c r="P96" s="10">
        <v>0.25</v>
      </c>
      <c r="Q96">
        <v>1</v>
      </c>
      <c r="R96">
        <v>0</v>
      </c>
      <c r="S96">
        <v>1</v>
      </c>
      <c r="T96">
        <v>0</v>
      </c>
      <c r="U96">
        <v>0</v>
      </c>
      <c r="V96" s="10">
        <v>0.15211267605633802</v>
      </c>
      <c r="W96" s="5">
        <v>2</v>
      </c>
      <c r="X96" s="5">
        <v>2</v>
      </c>
      <c r="Y96" s="5">
        <v>1</v>
      </c>
      <c r="Z96" s="5">
        <v>5</v>
      </c>
    </row>
    <row r="97" spans="1:26" x14ac:dyDescent="0.35">
      <c r="A97">
        <v>96</v>
      </c>
      <c r="B97" s="10">
        <v>0.27450980392156865</v>
      </c>
      <c r="C97">
        <v>0</v>
      </c>
      <c r="D97">
        <v>0</v>
      </c>
      <c r="E97">
        <v>0</v>
      </c>
      <c r="F97">
        <v>1</v>
      </c>
      <c r="G97">
        <v>0</v>
      </c>
      <c r="H97">
        <v>3</v>
      </c>
      <c r="I97">
        <v>0</v>
      </c>
      <c r="J97" s="10">
        <v>0.7345810293492131</v>
      </c>
      <c r="K97">
        <v>1</v>
      </c>
      <c r="L97">
        <v>0</v>
      </c>
      <c r="M97">
        <v>0</v>
      </c>
      <c r="N97" s="10">
        <v>4.5032343672250785E-2</v>
      </c>
      <c r="O97" s="11">
        <v>0.32564035493671906</v>
      </c>
      <c r="P97" s="10">
        <v>0</v>
      </c>
      <c r="Q97">
        <v>2</v>
      </c>
      <c r="R97">
        <v>1</v>
      </c>
      <c r="S97">
        <v>1</v>
      </c>
      <c r="T97">
        <v>0</v>
      </c>
      <c r="U97">
        <v>0</v>
      </c>
      <c r="V97" s="10">
        <v>0.36338028169014086</v>
      </c>
      <c r="W97" s="5">
        <v>1</v>
      </c>
      <c r="X97" s="5">
        <v>1</v>
      </c>
      <c r="Y97" s="5">
        <v>1</v>
      </c>
      <c r="Z97" s="5">
        <v>3</v>
      </c>
    </row>
    <row r="98" spans="1:26" x14ac:dyDescent="0.35">
      <c r="A98">
        <v>97</v>
      </c>
      <c r="B98" s="10">
        <v>0.29411764705882354</v>
      </c>
      <c r="C98">
        <v>1</v>
      </c>
      <c r="D98">
        <v>1</v>
      </c>
      <c r="E98">
        <v>0</v>
      </c>
      <c r="F98">
        <v>0</v>
      </c>
      <c r="G98">
        <v>0</v>
      </c>
      <c r="H98">
        <v>3</v>
      </c>
      <c r="I98">
        <v>0</v>
      </c>
      <c r="J98" s="10">
        <v>0.7754147171416419</v>
      </c>
      <c r="K98">
        <v>0</v>
      </c>
      <c r="L98">
        <v>1</v>
      </c>
      <c r="M98">
        <v>0</v>
      </c>
      <c r="N98" s="10">
        <v>0.16108155818306755</v>
      </c>
      <c r="O98" s="11">
        <v>0.55700315901728403</v>
      </c>
      <c r="P98" s="10">
        <v>0.125</v>
      </c>
      <c r="Q98">
        <v>2</v>
      </c>
      <c r="R98">
        <v>0</v>
      </c>
      <c r="S98">
        <v>1</v>
      </c>
      <c r="T98">
        <v>1</v>
      </c>
      <c r="U98">
        <v>0</v>
      </c>
      <c r="V98" s="10">
        <v>0.3126760563380282</v>
      </c>
      <c r="W98" s="5">
        <v>1</v>
      </c>
      <c r="X98" s="5">
        <v>1</v>
      </c>
      <c r="Y98" s="5">
        <v>1</v>
      </c>
      <c r="Z98" s="5">
        <v>3</v>
      </c>
    </row>
    <row r="99" spans="1:26" x14ac:dyDescent="0.35">
      <c r="A99">
        <v>98</v>
      </c>
      <c r="B99" s="10">
        <v>0.39215686274509803</v>
      </c>
      <c r="C99">
        <v>0</v>
      </c>
      <c r="D99">
        <v>0</v>
      </c>
      <c r="E99">
        <v>0</v>
      </c>
      <c r="F99">
        <v>1</v>
      </c>
      <c r="G99">
        <v>0</v>
      </c>
      <c r="H99">
        <v>1</v>
      </c>
      <c r="I99">
        <v>0</v>
      </c>
      <c r="J99" s="10">
        <v>0.18332624415142493</v>
      </c>
      <c r="K99">
        <v>1</v>
      </c>
      <c r="L99">
        <v>0</v>
      </c>
      <c r="M99">
        <v>0</v>
      </c>
      <c r="N99" s="10">
        <v>0.26181788024548019</v>
      </c>
      <c r="O99" s="11">
        <v>0.35966920863598867</v>
      </c>
      <c r="P99" s="10">
        <v>0.5</v>
      </c>
      <c r="Q99">
        <v>1</v>
      </c>
      <c r="R99">
        <v>0</v>
      </c>
      <c r="S99">
        <v>0</v>
      </c>
      <c r="T99">
        <v>0</v>
      </c>
      <c r="U99">
        <v>1</v>
      </c>
      <c r="V99" s="10">
        <v>0.14084507042253522</v>
      </c>
      <c r="W99" s="5">
        <v>2</v>
      </c>
      <c r="X99" s="5">
        <v>2</v>
      </c>
      <c r="Y99" s="5">
        <v>2</v>
      </c>
      <c r="Z99" s="5">
        <v>6</v>
      </c>
    </row>
    <row r="100" spans="1:26" x14ac:dyDescent="0.35">
      <c r="A100">
        <v>99</v>
      </c>
      <c r="B100" s="10">
        <v>0.68627450980392157</v>
      </c>
      <c r="C100">
        <v>1</v>
      </c>
      <c r="D100">
        <v>0</v>
      </c>
      <c r="E100">
        <v>0</v>
      </c>
      <c r="F100">
        <v>0</v>
      </c>
      <c r="G100">
        <v>1</v>
      </c>
      <c r="H100">
        <v>1</v>
      </c>
      <c r="I100">
        <v>0</v>
      </c>
      <c r="J100" s="10">
        <v>0.28541046363249684</v>
      </c>
      <c r="K100">
        <v>0</v>
      </c>
      <c r="L100">
        <v>0</v>
      </c>
      <c r="M100">
        <v>1</v>
      </c>
      <c r="N100" s="10">
        <v>0.26063016847143566</v>
      </c>
      <c r="O100" s="11">
        <v>0.35805549407432741</v>
      </c>
      <c r="P100" s="10">
        <v>0.5</v>
      </c>
      <c r="Q100">
        <v>0</v>
      </c>
      <c r="R100">
        <v>0</v>
      </c>
      <c r="S100">
        <v>0</v>
      </c>
      <c r="T100">
        <v>0</v>
      </c>
      <c r="U100">
        <v>0</v>
      </c>
      <c r="V100" s="10">
        <v>0.14647887323943662</v>
      </c>
      <c r="W100" s="5">
        <v>2</v>
      </c>
      <c r="X100" s="5">
        <v>2</v>
      </c>
      <c r="Y100" s="5">
        <v>2</v>
      </c>
      <c r="Z100" s="5">
        <v>6</v>
      </c>
    </row>
    <row r="101" spans="1:26" x14ac:dyDescent="0.35">
      <c r="A101">
        <v>100</v>
      </c>
      <c r="B101" s="10">
        <v>0.45098039215686275</v>
      </c>
      <c r="C101">
        <v>0</v>
      </c>
      <c r="D101">
        <v>0</v>
      </c>
      <c r="E101">
        <v>1</v>
      </c>
      <c r="F101">
        <v>0</v>
      </c>
      <c r="G101">
        <v>0</v>
      </c>
      <c r="H101">
        <v>1</v>
      </c>
      <c r="I101">
        <v>1</v>
      </c>
      <c r="J101" s="10">
        <v>0.91833262441514252</v>
      </c>
      <c r="K101">
        <v>0</v>
      </c>
      <c r="L101">
        <v>0</v>
      </c>
      <c r="M101">
        <v>1</v>
      </c>
      <c r="N101" s="10">
        <v>0.32543894983768923</v>
      </c>
      <c r="O101" s="11">
        <v>0.55763697458701378</v>
      </c>
      <c r="P101" s="10">
        <v>0.375</v>
      </c>
      <c r="Q101">
        <v>2</v>
      </c>
      <c r="R101">
        <v>0</v>
      </c>
      <c r="S101">
        <v>1</v>
      </c>
      <c r="T101">
        <v>0</v>
      </c>
      <c r="U101">
        <v>1</v>
      </c>
      <c r="V101" s="10">
        <v>1.1267605633802818E-2</v>
      </c>
      <c r="W101" s="5">
        <v>3</v>
      </c>
      <c r="X101" s="5">
        <v>2</v>
      </c>
      <c r="Y101" s="5">
        <v>2</v>
      </c>
      <c r="Z101" s="5">
        <v>7</v>
      </c>
    </row>
    <row r="102" spans="1:26" x14ac:dyDescent="0.35">
      <c r="A102">
        <v>101</v>
      </c>
      <c r="B102" s="10">
        <v>0.29411764705882354</v>
      </c>
      <c r="C102">
        <v>0</v>
      </c>
      <c r="D102">
        <v>1</v>
      </c>
      <c r="E102">
        <v>0</v>
      </c>
      <c r="F102">
        <v>0</v>
      </c>
      <c r="G102">
        <v>0</v>
      </c>
      <c r="H102">
        <v>3</v>
      </c>
      <c r="I102">
        <v>0</v>
      </c>
      <c r="J102" s="10">
        <v>0.71416418545299876</v>
      </c>
      <c r="K102">
        <v>0</v>
      </c>
      <c r="L102">
        <v>0</v>
      </c>
      <c r="M102">
        <v>1</v>
      </c>
      <c r="N102" s="10">
        <v>0.14292526597635238</v>
      </c>
      <c r="O102" s="11">
        <v>0.99066379605223442</v>
      </c>
      <c r="P102" s="10">
        <v>0</v>
      </c>
      <c r="Q102">
        <v>2</v>
      </c>
      <c r="R102">
        <v>1</v>
      </c>
      <c r="S102">
        <v>0</v>
      </c>
      <c r="T102">
        <v>1</v>
      </c>
      <c r="U102">
        <v>1</v>
      </c>
      <c r="V102" s="10">
        <v>0.58028169014084507</v>
      </c>
      <c r="W102" s="5">
        <v>1</v>
      </c>
      <c r="X102" s="5">
        <v>1</v>
      </c>
      <c r="Y102" s="5">
        <v>1</v>
      </c>
      <c r="Z102" s="5">
        <v>3</v>
      </c>
    </row>
    <row r="103" spans="1:26" x14ac:dyDescent="0.35">
      <c r="A103">
        <v>102</v>
      </c>
      <c r="B103" s="10">
        <v>0.25490196078431371</v>
      </c>
      <c r="C103">
        <v>1</v>
      </c>
      <c r="D103">
        <v>0</v>
      </c>
      <c r="E103">
        <v>1</v>
      </c>
      <c r="F103">
        <v>0</v>
      </c>
      <c r="G103">
        <v>0</v>
      </c>
      <c r="H103">
        <v>3</v>
      </c>
      <c r="I103">
        <v>0</v>
      </c>
      <c r="J103" s="10">
        <v>0.65291365376435562</v>
      </c>
      <c r="K103">
        <v>0</v>
      </c>
      <c r="L103">
        <v>0</v>
      </c>
      <c r="M103">
        <v>1</v>
      </c>
      <c r="N103" s="10">
        <v>0.59834608914058229</v>
      </c>
      <c r="O103" s="11">
        <v>0.68075145710510598</v>
      </c>
      <c r="P103" s="10">
        <v>0.625</v>
      </c>
      <c r="Q103">
        <v>2</v>
      </c>
      <c r="R103">
        <v>1</v>
      </c>
      <c r="S103">
        <v>1</v>
      </c>
      <c r="T103">
        <v>0</v>
      </c>
      <c r="U103">
        <v>1</v>
      </c>
      <c r="V103" s="10">
        <v>2.8169014084507044E-3</v>
      </c>
      <c r="W103" s="5">
        <v>3</v>
      </c>
      <c r="X103" s="5">
        <v>2</v>
      </c>
      <c r="Y103" s="5">
        <v>3</v>
      </c>
      <c r="Z103" s="5">
        <v>8</v>
      </c>
    </row>
    <row r="104" spans="1:26" x14ac:dyDescent="0.35">
      <c r="A104">
        <v>103</v>
      </c>
      <c r="B104" s="10">
        <v>0.41176470588235292</v>
      </c>
      <c r="C104">
        <v>1</v>
      </c>
      <c r="D104">
        <v>0</v>
      </c>
      <c r="E104">
        <v>0</v>
      </c>
      <c r="F104">
        <v>0</v>
      </c>
      <c r="G104">
        <v>1</v>
      </c>
      <c r="H104">
        <v>1</v>
      </c>
      <c r="I104">
        <v>0</v>
      </c>
      <c r="J104" s="10">
        <v>0.93874946831135686</v>
      </c>
      <c r="K104">
        <v>1</v>
      </c>
      <c r="L104">
        <v>0</v>
      </c>
      <c r="M104">
        <v>0</v>
      </c>
      <c r="N104" s="10">
        <v>0.6776562092742221</v>
      </c>
      <c r="O104" s="11">
        <v>0.51369913546214885</v>
      </c>
      <c r="P104" s="10">
        <v>1</v>
      </c>
      <c r="Q104">
        <v>2</v>
      </c>
      <c r="R104">
        <v>0</v>
      </c>
      <c r="S104">
        <v>0</v>
      </c>
      <c r="T104">
        <v>0</v>
      </c>
      <c r="U104">
        <v>1</v>
      </c>
      <c r="V104" s="10">
        <v>3.0985915492957747E-2</v>
      </c>
      <c r="W104" s="5">
        <v>3</v>
      </c>
      <c r="X104" s="5">
        <v>3</v>
      </c>
      <c r="Y104" s="5">
        <v>3</v>
      </c>
      <c r="Z104" s="5">
        <v>9</v>
      </c>
    </row>
    <row r="105" spans="1:26" x14ac:dyDescent="0.35">
      <c r="A105">
        <v>104</v>
      </c>
      <c r="B105" s="10">
        <v>0.94117647058823528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2</v>
      </c>
      <c r="I105">
        <v>1</v>
      </c>
      <c r="J105" s="10">
        <v>6.0825180774138662E-2</v>
      </c>
      <c r="K105">
        <v>0</v>
      </c>
      <c r="L105">
        <v>0</v>
      </c>
      <c r="M105">
        <v>1</v>
      </c>
      <c r="N105" s="10">
        <v>0.78698196810653254</v>
      </c>
      <c r="O105" s="11">
        <v>0.59622035766424986</v>
      </c>
      <c r="P105" s="10">
        <v>1</v>
      </c>
      <c r="Q105">
        <v>2</v>
      </c>
      <c r="R105">
        <v>1</v>
      </c>
      <c r="S105">
        <v>0</v>
      </c>
      <c r="T105">
        <v>1</v>
      </c>
      <c r="U105">
        <v>0</v>
      </c>
      <c r="V105" s="10">
        <v>3.3802816901408447E-2</v>
      </c>
      <c r="W105" s="5">
        <v>3</v>
      </c>
      <c r="X105" s="5">
        <v>3</v>
      </c>
      <c r="Y105" s="5">
        <v>3</v>
      </c>
      <c r="Z105" s="5">
        <v>9</v>
      </c>
    </row>
    <row r="106" spans="1:26" x14ac:dyDescent="0.35">
      <c r="A106">
        <v>105</v>
      </c>
      <c r="B106" s="10">
        <v>0.96078431372549022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1</v>
      </c>
      <c r="I106">
        <v>0</v>
      </c>
      <c r="J106" s="10">
        <v>0.61207996597192693</v>
      </c>
      <c r="K106">
        <v>0</v>
      </c>
      <c r="L106">
        <v>1</v>
      </c>
      <c r="M106">
        <v>0</v>
      </c>
      <c r="N106" s="10">
        <v>0.54907234082885092</v>
      </c>
      <c r="O106" s="11">
        <v>0.46872170466206559</v>
      </c>
      <c r="P106" s="10">
        <v>0.875</v>
      </c>
      <c r="Q106">
        <v>2</v>
      </c>
      <c r="R106">
        <v>1</v>
      </c>
      <c r="S106">
        <v>0</v>
      </c>
      <c r="T106">
        <v>1</v>
      </c>
      <c r="U106">
        <v>0</v>
      </c>
      <c r="V106" s="10">
        <v>3.0985915492957747E-2</v>
      </c>
      <c r="W106" s="5">
        <v>3</v>
      </c>
      <c r="X106" s="5">
        <v>3</v>
      </c>
      <c r="Y106" s="5">
        <v>3</v>
      </c>
      <c r="Z106" s="5">
        <v>9</v>
      </c>
    </row>
    <row r="107" spans="1:26" x14ac:dyDescent="0.35">
      <c r="A107">
        <v>106</v>
      </c>
      <c r="B107" s="10">
        <v>9.8039215686274508E-2</v>
      </c>
      <c r="C107">
        <v>1</v>
      </c>
      <c r="D107">
        <v>0</v>
      </c>
      <c r="E107">
        <v>1</v>
      </c>
      <c r="F107">
        <v>0</v>
      </c>
      <c r="G107">
        <v>0</v>
      </c>
      <c r="H107">
        <v>3</v>
      </c>
      <c r="I107">
        <v>0</v>
      </c>
      <c r="J107" s="10">
        <v>1</v>
      </c>
      <c r="K107">
        <v>1</v>
      </c>
      <c r="L107">
        <v>0</v>
      </c>
      <c r="M107">
        <v>0</v>
      </c>
      <c r="N107" s="10">
        <v>0.25628509821576662</v>
      </c>
      <c r="O107" s="11">
        <v>0.58691992461283593</v>
      </c>
      <c r="P107" s="10">
        <v>0.25</v>
      </c>
      <c r="Q107">
        <v>2</v>
      </c>
      <c r="R107">
        <v>1</v>
      </c>
      <c r="S107">
        <v>1</v>
      </c>
      <c r="T107">
        <v>1</v>
      </c>
      <c r="U107">
        <v>0</v>
      </c>
      <c r="V107" s="10">
        <v>9.014084507042254E-2</v>
      </c>
      <c r="W107" s="5">
        <v>2</v>
      </c>
      <c r="X107" s="5">
        <v>2</v>
      </c>
      <c r="Y107" s="5">
        <v>2</v>
      </c>
      <c r="Z107" s="5">
        <v>6</v>
      </c>
    </row>
    <row r="108" spans="1:26" x14ac:dyDescent="0.35">
      <c r="A108">
        <v>107</v>
      </c>
      <c r="B108" s="10">
        <v>0.80392156862745101</v>
      </c>
      <c r="C108">
        <v>0</v>
      </c>
      <c r="D108">
        <v>0</v>
      </c>
      <c r="E108">
        <v>1</v>
      </c>
      <c r="F108">
        <v>0</v>
      </c>
      <c r="G108">
        <v>0</v>
      </c>
      <c r="H108">
        <v>3</v>
      </c>
      <c r="I108">
        <v>1</v>
      </c>
      <c r="J108" s="10">
        <v>0.14249255635899619</v>
      </c>
      <c r="K108">
        <v>0</v>
      </c>
      <c r="L108">
        <v>0</v>
      </c>
      <c r="M108">
        <v>1</v>
      </c>
      <c r="N108" s="10">
        <v>0.4540435514062981</v>
      </c>
      <c r="O108" s="11">
        <v>0.51736788801920897</v>
      </c>
      <c r="P108" s="10">
        <v>0.625</v>
      </c>
      <c r="Q108">
        <v>0</v>
      </c>
      <c r="R108">
        <v>0</v>
      </c>
      <c r="S108">
        <v>0</v>
      </c>
      <c r="T108">
        <v>0</v>
      </c>
      <c r="U108">
        <v>0</v>
      </c>
      <c r="V108" s="10">
        <v>9.8591549295774641E-2</v>
      </c>
      <c r="W108" s="5">
        <v>2</v>
      </c>
      <c r="X108" s="5">
        <v>2</v>
      </c>
      <c r="Y108" s="5">
        <v>2</v>
      </c>
      <c r="Z108" s="5">
        <v>6</v>
      </c>
    </row>
    <row r="109" spans="1:26" x14ac:dyDescent="0.35">
      <c r="A109">
        <v>108</v>
      </c>
      <c r="B109" s="10">
        <v>0.68627450980392157</v>
      </c>
      <c r="C109">
        <v>1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1</v>
      </c>
      <c r="J109" s="10">
        <v>1.9991492981709911E-2</v>
      </c>
      <c r="K109">
        <v>1</v>
      </c>
      <c r="L109">
        <v>0</v>
      </c>
      <c r="M109">
        <v>0</v>
      </c>
      <c r="N109" s="10">
        <v>0.14350579342700753</v>
      </c>
      <c r="O109" s="11">
        <v>0.4973037686874987</v>
      </c>
      <c r="P109" s="10">
        <v>0.125</v>
      </c>
      <c r="Q109">
        <v>2</v>
      </c>
      <c r="R109">
        <v>1</v>
      </c>
      <c r="S109">
        <v>0</v>
      </c>
      <c r="T109">
        <v>1</v>
      </c>
      <c r="U109">
        <v>1</v>
      </c>
      <c r="V109" s="10">
        <v>0.20845070422535211</v>
      </c>
      <c r="W109" s="5">
        <v>2</v>
      </c>
      <c r="X109" s="5">
        <v>1</v>
      </c>
      <c r="Y109" s="5">
        <v>1</v>
      </c>
      <c r="Z109" s="5">
        <v>4</v>
      </c>
    </row>
    <row r="110" spans="1:26" x14ac:dyDescent="0.35">
      <c r="A110">
        <v>109</v>
      </c>
      <c r="B110" s="10">
        <v>0</v>
      </c>
      <c r="C110">
        <v>1</v>
      </c>
      <c r="D110">
        <v>0</v>
      </c>
      <c r="E110">
        <v>1</v>
      </c>
      <c r="F110">
        <v>0</v>
      </c>
      <c r="G110">
        <v>0</v>
      </c>
      <c r="H110">
        <v>2</v>
      </c>
      <c r="I110">
        <v>0</v>
      </c>
      <c r="J110" s="10">
        <v>0.40791152700978311</v>
      </c>
      <c r="K110">
        <v>1</v>
      </c>
      <c r="L110">
        <v>0</v>
      </c>
      <c r="M110">
        <v>0</v>
      </c>
      <c r="N110" s="10">
        <v>0.37464753690495939</v>
      </c>
      <c r="O110" s="11">
        <v>0.42747338980663596</v>
      </c>
      <c r="P110" s="10">
        <v>0.625</v>
      </c>
      <c r="Q110">
        <v>2</v>
      </c>
      <c r="R110">
        <v>1</v>
      </c>
      <c r="S110">
        <v>1</v>
      </c>
      <c r="T110">
        <v>1</v>
      </c>
      <c r="U110">
        <v>0</v>
      </c>
      <c r="V110" s="10">
        <v>1.9718309859154931E-2</v>
      </c>
      <c r="W110" s="5">
        <v>3</v>
      </c>
      <c r="X110" s="5">
        <v>2</v>
      </c>
      <c r="Y110" s="5">
        <v>2</v>
      </c>
      <c r="Z110" s="5">
        <v>7</v>
      </c>
    </row>
    <row r="111" spans="1:26" x14ac:dyDescent="0.35">
      <c r="A111">
        <v>110</v>
      </c>
      <c r="B111" s="10">
        <v>0.60784313725490191</v>
      </c>
      <c r="C111">
        <v>1</v>
      </c>
      <c r="D111">
        <v>0</v>
      </c>
      <c r="E111">
        <v>1</v>
      </c>
      <c r="F111">
        <v>0</v>
      </c>
      <c r="G111">
        <v>0</v>
      </c>
      <c r="H111">
        <v>2</v>
      </c>
      <c r="I111">
        <v>1</v>
      </c>
      <c r="J111" s="10">
        <v>0.509995746490855</v>
      </c>
      <c r="K111">
        <v>0</v>
      </c>
      <c r="L111">
        <v>1</v>
      </c>
      <c r="M111">
        <v>0</v>
      </c>
      <c r="N111" s="10">
        <v>0.21124090704452289</v>
      </c>
      <c r="O111" s="11">
        <v>0.48491921366627094</v>
      </c>
      <c r="P111" s="10">
        <v>0.25</v>
      </c>
      <c r="Q111">
        <v>2</v>
      </c>
      <c r="R111">
        <v>0</v>
      </c>
      <c r="S111">
        <v>0</v>
      </c>
      <c r="T111">
        <v>1</v>
      </c>
      <c r="U111">
        <v>1</v>
      </c>
      <c r="V111" s="10">
        <v>0.13521126760563379</v>
      </c>
      <c r="W111" s="5">
        <v>2</v>
      </c>
      <c r="X111" s="5">
        <v>2</v>
      </c>
      <c r="Y111" s="5">
        <v>1</v>
      </c>
      <c r="Z111" s="5">
        <v>5</v>
      </c>
    </row>
    <row r="112" spans="1:26" x14ac:dyDescent="0.35">
      <c r="A112">
        <v>111</v>
      </c>
      <c r="B112" s="10">
        <v>9.8039215686274508E-2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3</v>
      </c>
      <c r="I112">
        <v>1</v>
      </c>
      <c r="J112" s="10">
        <v>0.67333049766056996</v>
      </c>
      <c r="K112">
        <v>0</v>
      </c>
      <c r="L112">
        <v>1</v>
      </c>
      <c r="M112">
        <v>0</v>
      </c>
      <c r="N112" s="10">
        <v>0.17871359855934416</v>
      </c>
      <c r="O112" s="11">
        <v>0.61689370007444821</v>
      </c>
      <c r="P112" s="10">
        <v>0.125</v>
      </c>
      <c r="Q112">
        <v>1</v>
      </c>
      <c r="R112">
        <v>1</v>
      </c>
      <c r="S112">
        <v>0</v>
      </c>
      <c r="T112">
        <v>1</v>
      </c>
      <c r="U112">
        <v>0</v>
      </c>
      <c r="V112" s="10">
        <v>0.23380281690140844</v>
      </c>
      <c r="W112" s="5">
        <v>1</v>
      </c>
      <c r="X112" s="5">
        <v>1</v>
      </c>
      <c r="Y112" s="5">
        <v>1</v>
      </c>
      <c r="Z112" s="5">
        <v>3</v>
      </c>
    </row>
    <row r="113" spans="1:26" x14ac:dyDescent="0.35">
      <c r="A113">
        <v>112</v>
      </c>
      <c r="B113" s="10">
        <v>0.58823529411764708</v>
      </c>
      <c r="C113">
        <v>0</v>
      </c>
      <c r="D113">
        <v>0</v>
      </c>
      <c r="E113">
        <v>0</v>
      </c>
      <c r="F113">
        <v>1</v>
      </c>
      <c r="G113">
        <v>0</v>
      </c>
      <c r="H113">
        <v>3</v>
      </c>
      <c r="I113">
        <v>0</v>
      </c>
      <c r="J113" s="10">
        <v>0.71416418545299876</v>
      </c>
      <c r="K113">
        <v>0</v>
      </c>
      <c r="L113">
        <v>1</v>
      </c>
      <c r="M113">
        <v>0</v>
      </c>
      <c r="N113" s="10">
        <v>0.21928832073549273</v>
      </c>
      <c r="O113" s="11">
        <v>0.5031422496763851</v>
      </c>
      <c r="P113" s="10">
        <v>0.25</v>
      </c>
      <c r="Q113">
        <v>1</v>
      </c>
      <c r="R113">
        <v>0</v>
      </c>
      <c r="S113">
        <v>0</v>
      </c>
      <c r="T113">
        <v>1</v>
      </c>
      <c r="U113">
        <v>0</v>
      </c>
      <c r="V113" s="10">
        <v>5.6338028169014088E-3</v>
      </c>
      <c r="W113" s="5">
        <v>3</v>
      </c>
      <c r="X113" s="5">
        <v>2</v>
      </c>
      <c r="Y113" s="5">
        <v>1</v>
      </c>
      <c r="Z113" s="5">
        <v>6</v>
      </c>
    </row>
    <row r="114" spans="1:26" x14ac:dyDescent="0.35">
      <c r="A114">
        <v>113</v>
      </c>
      <c r="B114" s="10">
        <v>0</v>
      </c>
      <c r="C114">
        <v>0</v>
      </c>
      <c r="D114">
        <v>0</v>
      </c>
      <c r="E114">
        <v>1</v>
      </c>
      <c r="F114">
        <v>0</v>
      </c>
      <c r="G114">
        <v>0</v>
      </c>
      <c r="H114">
        <v>3</v>
      </c>
      <c r="I114">
        <v>0</v>
      </c>
      <c r="J114" s="10">
        <v>0.89791578051892806</v>
      </c>
      <c r="K114">
        <v>0</v>
      </c>
      <c r="L114">
        <v>0</v>
      </c>
      <c r="M114">
        <v>1</v>
      </c>
      <c r="N114" s="10">
        <v>0.54030815344880689</v>
      </c>
      <c r="O114" s="11">
        <v>0.52717645942861735</v>
      </c>
      <c r="P114" s="10">
        <v>0.75</v>
      </c>
      <c r="Q114">
        <v>1</v>
      </c>
      <c r="R114">
        <v>1</v>
      </c>
      <c r="S114">
        <v>1</v>
      </c>
      <c r="T114">
        <v>0</v>
      </c>
      <c r="U114">
        <v>0</v>
      </c>
      <c r="V114" s="10">
        <v>0.20563380281690141</v>
      </c>
      <c r="W114" s="5">
        <v>2</v>
      </c>
      <c r="X114" s="5">
        <v>2</v>
      </c>
      <c r="Y114" s="5">
        <v>3</v>
      </c>
      <c r="Z114" s="5">
        <v>7</v>
      </c>
    </row>
    <row r="115" spans="1:26" x14ac:dyDescent="0.35">
      <c r="A115">
        <v>114</v>
      </c>
      <c r="B115" s="10">
        <v>0.96078431372549022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1</v>
      </c>
      <c r="I115">
        <v>0</v>
      </c>
      <c r="J115" s="10">
        <v>0.48957890259464065</v>
      </c>
      <c r="K115">
        <v>0</v>
      </c>
      <c r="L115">
        <v>1</v>
      </c>
      <c r="M115">
        <v>0</v>
      </c>
      <c r="N115" s="10">
        <v>0.6289481790394047</v>
      </c>
      <c r="O115" s="11">
        <v>0.53655003118775024</v>
      </c>
      <c r="P115" s="10">
        <v>0.875</v>
      </c>
      <c r="Q115">
        <v>0</v>
      </c>
      <c r="R115">
        <v>0</v>
      </c>
      <c r="S115">
        <v>0</v>
      </c>
      <c r="T115">
        <v>0</v>
      </c>
      <c r="U115">
        <v>0</v>
      </c>
      <c r="V115" s="10">
        <v>7.605633802816901E-2</v>
      </c>
      <c r="W115" s="5">
        <v>3</v>
      </c>
      <c r="X115" s="5">
        <v>3</v>
      </c>
      <c r="Y115" s="5">
        <v>3</v>
      </c>
      <c r="Z115" s="5">
        <v>9</v>
      </c>
    </row>
    <row r="116" spans="1:26" x14ac:dyDescent="0.35">
      <c r="A116">
        <v>115</v>
      </c>
      <c r="B116" s="10">
        <v>0.98039215686274506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3</v>
      </c>
      <c r="I116">
        <v>0</v>
      </c>
      <c r="J116" s="10">
        <v>0.28541046363249684</v>
      </c>
      <c r="K116">
        <v>1</v>
      </c>
      <c r="L116">
        <v>0</v>
      </c>
      <c r="M116">
        <v>0</v>
      </c>
      <c r="N116" s="10">
        <v>0.19069142004122933</v>
      </c>
      <c r="O116" s="11">
        <v>0.26303144932493616</v>
      </c>
      <c r="P116" s="10">
        <v>0.5</v>
      </c>
      <c r="Q116">
        <v>0</v>
      </c>
      <c r="R116">
        <v>0</v>
      </c>
      <c r="S116">
        <v>0</v>
      </c>
      <c r="T116">
        <v>0</v>
      </c>
      <c r="U116">
        <v>0</v>
      </c>
      <c r="V116" s="10">
        <v>0.28169014084507044</v>
      </c>
      <c r="W116" s="5">
        <v>1</v>
      </c>
      <c r="X116" s="5">
        <v>2</v>
      </c>
      <c r="Y116" s="5">
        <v>1</v>
      </c>
      <c r="Z116" s="5">
        <v>4</v>
      </c>
    </row>
    <row r="117" spans="1:26" x14ac:dyDescent="0.35">
      <c r="A117">
        <v>116</v>
      </c>
      <c r="B117" s="10">
        <v>0.70588235294117652</v>
      </c>
      <c r="C117">
        <v>1</v>
      </c>
      <c r="D117">
        <v>0</v>
      </c>
      <c r="E117">
        <v>1</v>
      </c>
      <c r="F117">
        <v>0</v>
      </c>
      <c r="G117">
        <v>0</v>
      </c>
      <c r="H117">
        <v>3</v>
      </c>
      <c r="I117">
        <v>0</v>
      </c>
      <c r="J117" s="10">
        <v>0.79583156103785624</v>
      </c>
      <c r="K117">
        <v>1</v>
      </c>
      <c r="L117">
        <v>0</v>
      </c>
      <c r="M117">
        <v>0</v>
      </c>
      <c r="N117" s="10">
        <v>0.44264625737506808</v>
      </c>
      <c r="O117" s="11">
        <v>0.43239731756603322</v>
      </c>
      <c r="P117" s="10">
        <v>0.75</v>
      </c>
      <c r="Q117">
        <v>1</v>
      </c>
      <c r="R117">
        <v>0</v>
      </c>
      <c r="S117">
        <v>1</v>
      </c>
      <c r="T117">
        <v>0</v>
      </c>
      <c r="U117">
        <v>0</v>
      </c>
      <c r="V117" s="10">
        <v>3.0985915492957747E-2</v>
      </c>
      <c r="W117" s="5">
        <v>3</v>
      </c>
      <c r="X117" s="5">
        <v>2</v>
      </c>
      <c r="Y117" s="5">
        <v>2</v>
      </c>
      <c r="Z117" s="5">
        <v>7</v>
      </c>
    </row>
    <row r="118" spans="1:26" x14ac:dyDescent="0.35">
      <c r="A118">
        <v>117</v>
      </c>
      <c r="B118" s="10">
        <v>0.66666666666666663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3</v>
      </c>
      <c r="I118">
        <v>0</v>
      </c>
      <c r="J118" s="10">
        <v>0.89791578051892806</v>
      </c>
      <c r="K118">
        <v>0</v>
      </c>
      <c r="L118">
        <v>0</v>
      </c>
      <c r="M118">
        <v>1</v>
      </c>
      <c r="N118" s="10">
        <v>0.12993152145582068</v>
      </c>
      <c r="O118" s="11">
        <v>0.45119620113080749</v>
      </c>
      <c r="P118" s="10">
        <v>0.125</v>
      </c>
      <c r="Q118">
        <v>0</v>
      </c>
      <c r="R118">
        <v>0</v>
      </c>
      <c r="S118">
        <v>0</v>
      </c>
      <c r="T118">
        <v>0</v>
      </c>
      <c r="U118">
        <v>0</v>
      </c>
      <c r="V118" s="10">
        <v>1.1267605633802818E-2</v>
      </c>
      <c r="W118" s="5">
        <v>3</v>
      </c>
      <c r="X118" s="5">
        <v>1</v>
      </c>
      <c r="Y118" s="5">
        <v>1</v>
      </c>
      <c r="Z118" s="5">
        <v>5</v>
      </c>
    </row>
    <row r="119" spans="1:26" x14ac:dyDescent="0.35">
      <c r="A119">
        <v>118</v>
      </c>
      <c r="B119" s="10">
        <v>0.94117647058823528</v>
      </c>
      <c r="C119">
        <v>1</v>
      </c>
      <c r="D119">
        <v>0</v>
      </c>
      <c r="E119">
        <v>0</v>
      </c>
      <c r="F119">
        <v>1</v>
      </c>
      <c r="G119">
        <v>0</v>
      </c>
      <c r="H119">
        <v>2</v>
      </c>
      <c r="I119">
        <v>0</v>
      </c>
      <c r="J119" s="10">
        <v>0.6937473415567843</v>
      </c>
      <c r="K119">
        <v>0</v>
      </c>
      <c r="L119">
        <v>0</v>
      </c>
      <c r="M119">
        <v>1</v>
      </c>
      <c r="N119" s="10">
        <v>0.47851752245101059</v>
      </c>
      <c r="O119" s="11">
        <v>0.54507803644607211</v>
      </c>
      <c r="P119" s="10">
        <v>0.625</v>
      </c>
      <c r="Q119">
        <v>1</v>
      </c>
      <c r="R119">
        <v>1</v>
      </c>
      <c r="S119">
        <v>0</v>
      </c>
      <c r="T119">
        <v>1</v>
      </c>
      <c r="U119">
        <v>0</v>
      </c>
      <c r="V119" s="10">
        <v>3.6619718309859155E-2</v>
      </c>
      <c r="W119" s="5">
        <v>3</v>
      </c>
      <c r="X119" s="5">
        <v>2</v>
      </c>
      <c r="Y119" s="5">
        <v>3</v>
      </c>
      <c r="Z119" s="5">
        <v>8</v>
      </c>
    </row>
    <row r="120" spans="1:26" x14ac:dyDescent="0.35">
      <c r="A120">
        <v>119</v>
      </c>
      <c r="B120" s="10">
        <v>0.56862745098039214</v>
      </c>
      <c r="C120">
        <v>1</v>
      </c>
      <c r="D120">
        <v>0</v>
      </c>
      <c r="E120">
        <v>0</v>
      </c>
      <c r="F120">
        <v>0</v>
      </c>
      <c r="G120">
        <v>1</v>
      </c>
      <c r="H120">
        <v>2</v>
      </c>
      <c r="I120">
        <v>1</v>
      </c>
      <c r="J120" s="10">
        <v>0.36707783921735437</v>
      </c>
      <c r="K120">
        <v>1</v>
      </c>
      <c r="L120">
        <v>0</v>
      </c>
      <c r="M120">
        <v>0</v>
      </c>
      <c r="N120" s="10">
        <v>0.59312430395943416</v>
      </c>
      <c r="O120" s="11">
        <v>0.50612939898187093</v>
      </c>
      <c r="P120" s="10">
        <v>0.875</v>
      </c>
      <c r="Q120">
        <v>2</v>
      </c>
      <c r="R120">
        <v>0</v>
      </c>
      <c r="S120">
        <v>1</v>
      </c>
      <c r="T120">
        <v>0</v>
      </c>
      <c r="U120">
        <v>1</v>
      </c>
      <c r="V120" s="10">
        <v>0.16056338028169015</v>
      </c>
      <c r="W120" s="5">
        <v>2</v>
      </c>
      <c r="X120" s="5">
        <v>3</v>
      </c>
      <c r="Y120" s="5">
        <v>3</v>
      </c>
      <c r="Z120" s="5">
        <v>8</v>
      </c>
    </row>
    <row r="121" spans="1:26" x14ac:dyDescent="0.35">
      <c r="A121">
        <v>120</v>
      </c>
      <c r="B121" s="10">
        <v>5.8823529411764705E-2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3</v>
      </c>
      <c r="I121">
        <v>0</v>
      </c>
      <c r="J121" s="10">
        <v>4.0408336877924292E-2</v>
      </c>
      <c r="K121">
        <v>0</v>
      </c>
      <c r="L121">
        <v>0</v>
      </c>
      <c r="M121">
        <v>1</v>
      </c>
      <c r="N121" s="10">
        <v>0.34327832144634268</v>
      </c>
      <c r="O121" s="11">
        <v>0.39195624325103789</v>
      </c>
      <c r="P121" s="10">
        <v>0.625</v>
      </c>
      <c r="Q121">
        <v>2</v>
      </c>
      <c r="R121">
        <v>1</v>
      </c>
      <c r="S121">
        <v>1</v>
      </c>
      <c r="T121">
        <v>0</v>
      </c>
      <c r="U121">
        <v>1</v>
      </c>
      <c r="V121" s="10">
        <v>5.6338028169014088E-3</v>
      </c>
      <c r="W121" s="5">
        <v>3</v>
      </c>
      <c r="X121" s="5">
        <v>2</v>
      </c>
      <c r="Y121" s="5">
        <v>2</v>
      </c>
      <c r="Z121" s="5">
        <v>7</v>
      </c>
    </row>
    <row r="122" spans="1:26" x14ac:dyDescent="0.35">
      <c r="A122">
        <v>121</v>
      </c>
      <c r="B122" s="10">
        <v>0.66666666666666663</v>
      </c>
      <c r="C122">
        <v>1</v>
      </c>
      <c r="D122">
        <v>0</v>
      </c>
      <c r="E122">
        <v>0</v>
      </c>
      <c r="F122">
        <v>1</v>
      </c>
      <c r="G122">
        <v>0</v>
      </c>
      <c r="H122">
        <v>2</v>
      </c>
      <c r="I122">
        <v>0</v>
      </c>
      <c r="J122" s="10">
        <v>0.7754147171416419</v>
      </c>
      <c r="K122">
        <v>1</v>
      </c>
      <c r="L122">
        <v>0</v>
      </c>
      <c r="M122">
        <v>0</v>
      </c>
      <c r="N122" s="10">
        <v>0.31490948510769373</v>
      </c>
      <c r="O122" s="11">
        <v>0.43180345680999616</v>
      </c>
      <c r="P122" s="10">
        <v>0.5</v>
      </c>
      <c r="Q122">
        <v>2</v>
      </c>
      <c r="R122">
        <v>1</v>
      </c>
      <c r="S122">
        <v>1</v>
      </c>
      <c r="T122">
        <v>0</v>
      </c>
      <c r="U122">
        <v>0</v>
      </c>
      <c r="V122" s="10">
        <v>0.10985915492957747</v>
      </c>
      <c r="W122" s="5">
        <v>2</v>
      </c>
      <c r="X122" s="5">
        <v>2</v>
      </c>
      <c r="Y122" s="5">
        <v>2</v>
      </c>
      <c r="Z122" s="5">
        <v>6</v>
      </c>
    </row>
    <row r="123" spans="1:26" x14ac:dyDescent="0.35">
      <c r="A123">
        <v>122</v>
      </c>
      <c r="B123" s="10">
        <v>0.82352941176470584</v>
      </c>
      <c r="C123">
        <v>0</v>
      </c>
      <c r="D123">
        <v>1</v>
      </c>
      <c r="E123">
        <v>0</v>
      </c>
      <c r="F123">
        <v>0</v>
      </c>
      <c r="G123">
        <v>0</v>
      </c>
      <c r="H123">
        <v>2</v>
      </c>
      <c r="I123">
        <v>1</v>
      </c>
      <c r="J123" s="10">
        <v>0.34666099532113998</v>
      </c>
      <c r="K123">
        <v>1</v>
      </c>
      <c r="L123">
        <v>0</v>
      </c>
      <c r="M123">
        <v>0</v>
      </c>
      <c r="N123" s="10">
        <v>0.83398099661161529</v>
      </c>
      <c r="O123" s="11">
        <v>0.63169614412094144</v>
      </c>
      <c r="P123" s="10">
        <v>1</v>
      </c>
      <c r="Q123">
        <v>1</v>
      </c>
      <c r="R123">
        <v>0</v>
      </c>
      <c r="S123">
        <v>0</v>
      </c>
      <c r="T123">
        <v>0</v>
      </c>
      <c r="U123">
        <v>1</v>
      </c>
      <c r="V123" s="10">
        <v>4.2253521126760563E-2</v>
      </c>
      <c r="W123" s="5">
        <v>3</v>
      </c>
      <c r="X123" s="5">
        <v>3</v>
      </c>
      <c r="Y123" s="5">
        <v>3</v>
      </c>
      <c r="Z123" s="5">
        <v>9</v>
      </c>
    </row>
    <row r="124" spans="1:26" x14ac:dyDescent="0.35">
      <c r="A124">
        <v>123</v>
      </c>
      <c r="B124" s="10">
        <v>0.25490196078431371</v>
      </c>
      <c r="C124">
        <v>1</v>
      </c>
      <c r="D124">
        <v>0</v>
      </c>
      <c r="E124">
        <v>0</v>
      </c>
      <c r="F124">
        <v>0</v>
      </c>
      <c r="G124">
        <v>1</v>
      </c>
      <c r="H124">
        <v>2</v>
      </c>
      <c r="I124">
        <v>1</v>
      </c>
      <c r="J124" s="10">
        <v>0.46916205869842625</v>
      </c>
      <c r="K124">
        <v>1</v>
      </c>
      <c r="L124">
        <v>0</v>
      </c>
      <c r="M124">
        <v>0</v>
      </c>
      <c r="N124" s="10">
        <v>0.27509300286709476</v>
      </c>
      <c r="O124" s="11">
        <v>0.62950964808145038</v>
      </c>
      <c r="P124" s="10">
        <v>0.25</v>
      </c>
      <c r="Q124">
        <v>2</v>
      </c>
      <c r="R124">
        <v>0</v>
      </c>
      <c r="S124">
        <v>0</v>
      </c>
      <c r="T124">
        <v>1</v>
      </c>
      <c r="U124">
        <v>0</v>
      </c>
      <c r="V124" s="10">
        <v>4.2253521126760563E-2</v>
      </c>
      <c r="W124" s="5">
        <v>3</v>
      </c>
      <c r="X124" s="5">
        <v>2</v>
      </c>
      <c r="Y124" s="5">
        <v>2</v>
      </c>
      <c r="Z124" s="5">
        <v>7</v>
      </c>
    </row>
    <row r="125" spans="1:26" x14ac:dyDescent="0.35">
      <c r="A125">
        <v>124</v>
      </c>
      <c r="B125" s="10">
        <v>0.94117647058823528</v>
      </c>
      <c r="C125">
        <v>1</v>
      </c>
      <c r="D125">
        <v>0</v>
      </c>
      <c r="E125">
        <v>1</v>
      </c>
      <c r="F125">
        <v>0</v>
      </c>
      <c r="G125">
        <v>0</v>
      </c>
      <c r="H125">
        <v>2</v>
      </c>
      <c r="I125">
        <v>0</v>
      </c>
      <c r="J125" s="10">
        <v>0.67333049766056996</v>
      </c>
      <c r="K125">
        <v>0</v>
      </c>
      <c r="L125">
        <v>1</v>
      </c>
      <c r="M125">
        <v>0</v>
      </c>
      <c r="N125" s="10">
        <v>0.67355401274790883</v>
      </c>
      <c r="O125" s="11">
        <v>0.65648920788863241</v>
      </c>
      <c r="P125" s="10">
        <v>0.75</v>
      </c>
      <c r="Q125">
        <v>2</v>
      </c>
      <c r="R125">
        <v>0</v>
      </c>
      <c r="S125">
        <v>0</v>
      </c>
      <c r="T125">
        <v>1</v>
      </c>
      <c r="U125">
        <v>1</v>
      </c>
      <c r="V125" s="10">
        <v>9.5774647887323941E-2</v>
      </c>
      <c r="W125" s="5">
        <v>2</v>
      </c>
      <c r="X125" s="5">
        <v>2</v>
      </c>
      <c r="Y125" s="5">
        <v>3</v>
      </c>
      <c r="Z125" s="5">
        <v>7</v>
      </c>
    </row>
    <row r="126" spans="1:26" x14ac:dyDescent="0.35">
      <c r="A126">
        <v>125</v>
      </c>
      <c r="B126" s="10">
        <v>0.76470588235294112</v>
      </c>
      <c r="C126">
        <v>1</v>
      </c>
      <c r="D126">
        <v>0</v>
      </c>
      <c r="E126">
        <v>0</v>
      </c>
      <c r="F126">
        <v>0</v>
      </c>
      <c r="G126">
        <v>1</v>
      </c>
      <c r="H126">
        <v>1</v>
      </c>
      <c r="I126">
        <v>0</v>
      </c>
      <c r="J126" s="10">
        <v>0.57124627817949813</v>
      </c>
      <c r="K126">
        <v>0</v>
      </c>
      <c r="L126">
        <v>0</v>
      </c>
      <c r="M126">
        <v>1</v>
      </c>
      <c r="N126" s="10">
        <v>0.21772445086842168</v>
      </c>
      <c r="O126" s="11">
        <v>0.74940139640636627</v>
      </c>
      <c r="P126" s="10">
        <v>0.125</v>
      </c>
      <c r="Q126">
        <v>0</v>
      </c>
      <c r="R126">
        <v>0</v>
      </c>
      <c r="S126">
        <v>0</v>
      </c>
      <c r="T126">
        <v>0</v>
      </c>
      <c r="U126">
        <v>0</v>
      </c>
      <c r="V126" s="10">
        <v>0.3464788732394366</v>
      </c>
      <c r="W126" s="5">
        <v>1</v>
      </c>
      <c r="X126" s="5">
        <v>1</v>
      </c>
      <c r="Y126" s="5">
        <v>1</v>
      </c>
      <c r="Z126" s="5">
        <v>3</v>
      </c>
    </row>
    <row r="127" spans="1:26" x14ac:dyDescent="0.35">
      <c r="A127">
        <v>126</v>
      </c>
      <c r="B127" s="10">
        <v>0.41176470588235292</v>
      </c>
      <c r="C127">
        <v>0</v>
      </c>
      <c r="D127">
        <v>0</v>
      </c>
      <c r="E127">
        <v>0</v>
      </c>
      <c r="F127">
        <v>1</v>
      </c>
      <c r="G127">
        <v>0</v>
      </c>
      <c r="H127">
        <v>2</v>
      </c>
      <c r="I127">
        <v>0</v>
      </c>
      <c r="J127" s="10">
        <v>0.30582730752871118</v>
      </c>
      <c r="K127">
        <v>0</v>
      </c>
      <c r="L127">
        <v>1</v>
      </c>
      <c r="M127">
        <v>0</v>
      </c>
      <c r="N127" s="10">
        <v>0.6851467905125227</v>
      </c>
      <c r="O127" s="11">
        <v>0.51935317276672233</v>
      </c>
      <c r="P127" s="10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 s="10">
        <v>0.13802816901408452</v>
      </c>
      <c r="W127" s="5">
        <v>2</v>
      </c>
      <c r="X127" s="5">
        <v>3</v>
      </c>
      <c r="Y127" s="5">
        <v>3</v>
      </c>
      <c r="Z127" s="5">
        <v>8</v>
      </c>
    </row>
    <row r="128" spans="1:26" x14ac:dyDescent="0.35">
      <c r="A128">
        <v>127</v>
      </c>
      <c r="B128" s="10">
        <v>0.17647058823529413</v>
      </c>
      <c r="C128">
        <v>0</v>
      </c>
      <c r="D128">
        <v>0</v>
      </c>
      <c r="E128">
        <v>1</v>
      </c>
      <c r="F128">
        <v>0</v>
      </c>
      <c r="G128">
        <v>0</v>
      </c>
      <c r="H128">
        <v>2</v>
      </c>
      <c r="I128">
        <v>0</v>
      </c>
      <c r="J128" s="10">
        <v>0.22415993194385367</v>
      </c>
      <c r="K128">
        <v>0</v>
      </c>
      <c r="L128">
        <v>1</v>
      </c>
      <c r="M128">
        <v>0</v>
      </c>
      <c r="N128" s="10">
        <v>0.58241416486979602</v>
      </c>
      <c r="O128" s="11">
        <v>0.49703464858447854</v>
      </c>
      <c r="P128" s="10">
        <v>0.875</v>
      </c>
      <c r="Q128">
        <v>1</v>
      </c>
      <c r="R128">
        <v>0</v>
      </c>
      <c r="S128">
        <v>0</v>
      </c>
      <c r="T128">
        <v>0</v>
      </c>
      <c r="U128">
        <v>1</v>
      </c>
      <c r="V128" s="10">
        <v>0</v>
      </c>
      <c r="W128" s="5">
        <v>3</v>
      </c>
      <c r="X128" s="5">
        <v>3</v>
      </c>
      <c r="Y128" s="5">
        <v>3</v>
      </c>
      <c r="Z128" s="5">
        <v>9</v>
      </c>
    </row>
    <row r="129" spans="1:26" x14ac:dyDescent="0.35">
      <c r="A129">
        <v>128</v>
      </c>
      <c r="B129" s="10">
        <v>0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2</v>
      </c>
      <c r="I129">
        <v>1</v>
      </c>
      <c r="J129" s="10">
        <v>0.46916205869842625</v>
      </c>
      <c r="K129">
        <v>0</v>
      </c>
      <c r="L129">
        <v>1</v>
      </c>
      <c r="M129">
        <v>0</v>
      </c>
      <c r="N129" s="10">
        <v>0.18375470938084973</v>
      </c>
      <c r="O129" s="11">
        <v>0.63401678102175096</v>
      </c>
      <c r="P129" s="10">
        <v>0.125</v>
      </c>
      <c r="Q129">
        <v>2</v>
      </c>
      <c r="R129">
        <v>1</v>
      </c>
      <c r="S129">
        <v>1</v>
      </c>
      <c r="T129">
        <v>0</v>
      </c>
      <c r="U129">
        <v>0</v>
      </c>
      <c r="V129" s="10">
        <v>0.6732394366197183</v>
      </c>
      <c r="W129" s="5">
        <v>1</v>
      </c>
      <c r="X129" s="5">
        <v>1</v>
      </c>
      <c r="Y129" s="5">
        <v>1</v>
      </c>
      <c r="Z129" s="5">
        <v>3</v>
      </c>
    </row>
    <row r="130" spans="1:26" x14ac:dyDescent="0.35">
      <c r="A130">
        <v>129</v>
      </c>
      <c r="B130" s="10">
        <v>0.19607843137254902</v>
      </c>
      <c r="C130">
        <v>0</v>
      </c>
      <c r="D130">
        <v>0</v>
      </c>
      <c r="E130">
        <v>0</v>
      </c>
      <c r="F130">
        <v>0</v>
      </c>
      <c r="G130">
        <v>1</v>
      </c>
      <c r="H130">
        <v>2</v>
      </c>
      <c r="I130">
        <v>0</v>
      </c>
      <c r="J130" s="10">
        <v>0.26499361973628244</v>
      </c>
      <c r="K130">
        <v>0</v>
      </c>
      <c r="L130">
        <v>1</v>
      </c>
      <c r="M130">
        <v>0</v>
      </c>
      <c r="N130" s="10">
        <v>6.9233822240125101E-2</v>
      </c>
      <c r="O130" s="11">
        <v>0.24502505080585124</v>
      </c>
      <c r="P130" s="10">
        <v>0.125</v>
      </c>
      <c r="Q130">
        <v>1</v>
      </c>
      <c r="R130">
        <v>0</v>
      </c>
      <c r="S130">
        <v>0</v>
      </c>
      <c r="T130">
        <v>1</v>
      </c>
      <c r="U130">
        <v>0</v>
      </c>
      <c r="V130" s="10">
        <v>9.014084507042254E-2</v>
      </c>
      <c r="W130" s="5">
        <v>2</v>
      </c>
      <c r="X130" s="5">
        <v>1</v>
      </c>
      <c r="Y130" s="5">
        <v>1</v>
      </c>
      <c r="Z130" s="5">
        <v>4</v>
      </c>
    </row>
    <row r="131" spans="1:26" x14ac:dyDescent="0.35">
      <c r="A131">
        <v>130</v>
      </c>
      <c r="B131" s="10">
        <v>0.98039215686274506</v>
      </c>
      <c r="C131">
        <v>1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</v>
      </c>
      <c r="J131" s="10">
        <v>0.9591663122075712</v>
      </c>
      <c r="K131">
        <v>1</v>
      </c>
      <c r="L131">
        <v>0</v>
      </c>
      <c r="M131">
        <v>0</v>
      </c>
      <c r="N131" s="10">
        <v>0.1606609719688174</v>
      </c>
      <c r="O131" s="11">
        <v>0.55557455884424234</v>
      </c>
      <c r="P131" s="10">
        <v>0.125</v>
      </c>
      <c r="Q131">
        <v>1</v>
      </c>
      <c r="R131">
        <v>1</v>
      </c>
      <c r="S131">
        <v>0</v>
      </c>
      <c r="T131">
        <v>0</v>
      </c>
      <c r="U131">
        <v>1</v>
      </c>
      <c r="V131" s="10">
        <v>0.15211267605633802</v>
      </c>
      <c r="W131" s="5">
        <v>2</v>
      </c>
      <c r="X131" s="5">
        <v>1</v>
      </c>
      <c r="Y131" s="5">
        <v>1</v>
      </c>
      <c r="Z131" s="5">
        <v>4</v>
      </c>
    </row>
    <row r="132" spans="1:26" x14ac:dyDescent="0.35">
      <c r="A132">
        <v>131</v>
      </c>
      <c r="B132" s="10">
        <v>0.84313725490196079</v>
      </c>
      <c r="C132">
        <v>0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</v>
      </c>
      <c r="J132" s="10">
        <v>0.22415993194385367</v>
      </c>
      <c r="K132">
        <v>0</v>
      </c>
      <c r="L132">
        <v>1</v>
      </c>
      <c r="M132">
        <v>0</v>
      </c>
      <c r="N132" s="10">
        <v>0.80471175034950104</v>
      </c>
      <c r="O132" s="11">
        <v>0.68580353729451293</v>
      </c>
      <c r="P132" s="10">
        <v>0.875</v>
      </c>
      <c r="Q132">
        <v>1</v>
      </c>
      <c r="R132">
        <v>0</v>
      </c>
      <c r="S132">
        <v>0</v>
      </c>
      <c r="T132">
        <v>1</v>
      </c>
      <c r="U132">
        <v>0</v>
      </c>
      <c r="V132" s="10">
        <v>0.24507042253521127</v>
      </c>
      <c r="W132" s="5">
        <v>1</v>
      </c>
      <c r="X132" s="5">
        <v>3</v>
      </c>
      <c r="Y132" s="5">
        <v>3</v>
      </c>
      <c r="Z132" s="5">
        <v>7</v>
      </c>
    </row>
    <row r="133" spans="1:26" x14ac:dyDescent="0.35">
      <c r="A133">
        <v>132</v>
      </c>
      <c r="B133" s="10">
        <v>0.45098039215686275</v>
      </c>
      <c r="C133">
        <v>0</v>
      </c>
      <c r="D133">
        <v>1</v>
      </c>
      <c r="E133">
        <v>0</v>
      </c>
      <c r="F133">
        <v>0</v>
      </c>
      <c r="G133">
        <v>0</v>
      </c>
      <c r="H133">
        <v>3</v>
      </c>
      <c r="I133">
        <v>0</v>
      </c>
      <c r="J133" s="10">
        <v>0.7345810293492131</v>
      </c>
      <c r="K133">
        <v>0</v>
      </c>
      <c r="L133">
        <v>1</v>
      </c>
      <c r="M133">
        <v>0</v>
      </c>
      <c r="N133" s="10">
        <v>0.55391204416747619</v>
      </c>
      <c r="O133" s="11">
        <v>0.42029461804507579</v>
      </c>
      <c r="P133" s="10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 s="10">
        <v>0.20563380281690141</v>
      </c>
      <c r="W133" s="5">
        <v>2</v>
      </c>
      <c r="X133" s="5">
        <v>3</v>
      </c>
      <c r="Y133" s="5">
        <v>3</v>
      </c>
      <c r="Z133" s="5">
        <v>8</v>
      </c>
    </row>
    <row r="134" spans="1:26" x14ac:dyDescent="0.35">
      <c r="A134">
        <v>133</v>
      </c>
      <c r="B134" s="10">
        <v>3.9215686274509803E-2</v>
      </c>
      <c r="C134">
        <v>1</v>
      </c>
      <c r="D134">
        <v>0</v>
      </c>
      <c r="E134">
        <v>0</v>
      </c>
      <c r="F134">
        <v>0</v>
      </c>
      <c r="G134">
        <v>1</v>
      </c>
      <c r="H134">
        <v>2</v>
      </c>
      <c r="I134">
        <v>0</v>
      </c>
      <c r="J134" s="10">
        <v>0.7754147171416419</v>
      </c>
      <c r="K134">
        <v>1</v>
      </c>
      <c r="L134">
        <v>0</v>
      </c>
      <c r="M134">
        <v>0</v>
      </c>
      <c r="N134" s="10">
        <v>0.26256131080728856</v>
      </c>
      <c r="O134" s="11">
        <v>0.45084911165214592</v>
      </c>
      <c r="P134" s="10">
        <v>0.375</v>
      </c>
      <c r="Q134">
        <v>1</v>
      </c>
      <c r="R134">
        <v>0</v>
      </c>
      <c r="S134">
        <v>0</v>
      </c>
      <c r="T134">
        <v>1</v>
      </c>
      <c r="U134">
        <v>0</v>
      </c>
      <c r="V134" s="10">
        <v>0.3492957746478873</v>
      </c>
      <c r="W134" s="5">
        <v>1</v>
      </c>
      <c r="X134" s="5">
        <v>2</v>
      </c>
      <c r="Y134" s="5">
        <v>2</v>
      </c>
      <c r="Z134" s="5">
        <v>5</v>
      </c>
    </row>
    <row r="135" spans="1:26" x14ac:dyDescent="0.35">
      <c r="A135">
        <v>134</v>
      </c>
      <c r="B135" s="10">
        <v>0.66666666666666663</v>
      </c>
      <c r="C135">
        <v>1</v>
      </c>
      <c r="D135">
        <v>0</v>
      </c>
      <c r="E135">
        <v>0</v>
      </c>
      <c r="F135">
        <v>0</v>
      </c>
      <c r="G135">
        <v>1</v>
      </c>
      <c r="H135">
        <v>2</v>
      </c>
      <c r="I135">
        <v>0</v>
      </c>
      <c r="J135" s="10">
        <v>0.55082943428328379</v>
      </c>
      <c r="K135">
        <v>1</v>
      </c>
      <c r="L135">
        <v>0</v>
      </c>
      <c r="M135">
        <v>0</v>
      </c>
      <c r="N135" s="10">
        <v>0.46213539321849156</v>
      </c>
      <c r="O135" s="11">
        <v>0.52652970884726047</v>
      </c>
      <c r="P135" s="10">
        <v>0.625</v>
      </c>
      <c r="Q135">
        <v>1</v>
      </c>
      <c r="R135">
        <v>1</v>
      </c>
      <c r="S135">
        <v>0</v>
      </c>
      <c r="T135">
        <v>1</v>
      </c>
      <c r="U135">
        <v>0</v>
      </c>
      <c r="V135" s="10">
        <v>5.6338028169014088E-3</v>
      </c>
      <c r="W135" s="5">
        <v>3</v>
      </c>
      <c r="X135" s="5">
        <v>2</v>
      </c>
      <c r="Y135" s="5">
        <v>2</v>
      </c>
      <c r="Z135" s="5">
        <v>7</v>
      </c>
    </row>
    <row r="136" spans="1:26" x14ac:dyDescent="0.35">
      <c r="A136">
        <v>135</v>
      </c>
      <c r="B136" s="10">
        <v>0.68627450980392157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3</v>
      </c>
      <c r="I136">
        <v>0</v>
      </c>
      <c r="J136" s="10">
        <v>0.36707783921735437</v>
      </c>
      <c r="K136">
        <v>1</v>
      </c>
      <c r="L136">
        <v>0</v>
      </c>
      <c r="M136">
        <v>0</v>
      </c>
      <c r="N136" s="10">
        <v>0.1279381797502547</v>
      </c>
      <c r="O136" s="11">
        <v>0.44442544115575766</v>
      </c>
      <c r="P136" s="10">
        <v>0.125</v>
      </c>
      <c r="Q136">
        <v>0</v>
      </c>
      <c r="R136">
        <v>0</v>
      </c>
      <c r="S136">
        <v>0</v>
      </c>
      <c r="T136">
        <v>0</v>
      </c>
      <c r="U136">
        <v>0</v>
      </c>
      <c r="V136" s="10">
        <v>0.62253521126760558</v>
      </c>
      <c r="W136" s="5">
        <v>1</v>
      </c>
      <c r="X136" s="5">
        <v>1</v>
      </c>
      <c r="Y136" s="5">
        <v>1</v>
      </c>
      <c r="Z136" s="5">
        <v>3</v>
      </c>
    </row>
    <row r="137" spans="1:26" x14ac:dyDescent="0.35">
      <c r="A137">
        <v>136</v>
      </c>
      <c r="B137" s="10">
        <v>0.58823529411764708</v>
      </c>
      <c r="C137">
        <v>1</v>
      </c>
      <c r="D137">
        <v>0</v>
      </c>
      <c r="E137">
        <v>0</v>
      </c>
      <c r="F137">
        <v>0</v>
      </c>
      <c r="G137">
        <v>1</v>
      </c>
      <c r="H137">
        <v>1</v>
      </c>
      <c r="I137">
        <v>0</v>
      </c>
      <c r="J137" s="10">
        <v>0.81624840493407058</v>
      </c>
      <c r="K137">
        <v>1</v>
      </c>
      <c r="L137">
        <v>0</v>
      </c>
      <c r="M137">
        <v>0</v>
      </c>
      <c r="N137" s="10">
        <v>0.12145463592635594</v>
      </c>
      <c r="O137" s="11">
        <v>0.42240286524879778</v>
      </c>
      <c r="P137" s="10">
        <v>0.125</v>
      </c>
      <c r="Q137">
        <v>0</v>
      </c>
      <c r="R137">
        <v>0</v>
      </c>
      <c r="S137">
        <v>0</v>
      </c>
      <c r="T137">
        <v>0</v>
      </c>
      <c r="U137">
        <v>0</v>
      </c>
      <c r="V137" s="10">
        <v>2.8169014084507044E-3</v>
      </c>
      <c r="W137" s="5">
        <v>3</v>
      </c>
      <c r="X137" s="5">
        <v>1</v>
      </c>
      <c r="Y137" s="5">
        <v>1</v>
      </c>
      <c r="Z137" s="5">
        <v>5</v>
      </c>
    </row>
    <row r="138" spans="1:26" x14ac:dyDescent="0.35">
      <c r="A138">
        <v>137</v>
      </c>
      <c r="B138" s="10">
        <v>5.8823529411764705E-2</v>
      </c>
      <c r="C138">
        <v>0</v>
      </c>
      <c r="D138">
        <v>0</v>
      </c>
      <c r="E138">
        <v>1</v>
      </c>
      <c r="F138">
        <v>0</v>
      </c>
      <c r="G138">
        <v>0</v>
      </c>
      <c r="H138">
        <v>3</v>
      </c>
      <c r="I138">
        <v>1</v>
      </c>
      <c r="J138" s="10">
        <v>0.7754147171416419</v>
      </c>
      <c r="K138">
        <v>0</v>
      </c>
      <c r="L138">
        <v>0</v>
      </c>
      <c r="M138">
        <v>1</v>
      </c>
      <c r="N138" s="10">
        <v>0.12489337250906334</v>
      </c>
      <c r="O138" s="11">
        <v>0.86816636149620718</v>
      </c>
      <c r="P138" s="10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 s="10">
        <v>0.54929577464788737</v>
      </c>
      <c r="W138" s="5">
        <v>1</v>
      </c>
      <c r="X138" s="5">
        <v>1</v>
      </c>
      <c r="Y138" s="5">
        <v>1</v>
      </c>
      <c r="Z138" s="5">
        <v>3</v>
      </c>
    </row>
    <row r="139" spans="1:26" x14ac:dyDescent="0.35">
      <c r="A139">
        <v>138</v>
      </c>
      <c r="B139" s="10">
        <v>0.35294117647058826</v>
      </c>
      <c r="C139">
        <v>1</v>
      </c>
      <c r="D139">
        <v>0</v>
      </c>
      <c r="E139">
        <v>0</v>
      </c>
      <c r="F139">
        <v>1</v>
      </c>
      <c r="G139">
        <v>0</v>
      </c>
      <c r="H139">
        <v>1</v>
      </c>
      <c r="I139">
        <v>0</v>
      </c>
      <c r="J139" s="10">
        <v>0.6937473415567843</v>
      </c>
      <c r="K139">
        <v>0</v>
      </c>
      <c r="L139">
        <v>0</v>
      </c>
      <c r="M139">
        <v>1</v>
      </c>
      <c r="N139" s="10">
        <v>0.82779956401203703</v>
      </c>
      <c r="O139" s="11">
        <v>0.70540906255659064</v>
      </c>
      <c r="P139" s="10">
        <v>0.875</v>
      </c>
      <c r="Q139">
        <v>1</v>
      </c>
      <c r="R139">
        <v>1</v>
      </c>
      <c r="S139">
        <v>0</v>
      </c>
      <c r="T139">
        <v>1</v>
      </c>
      <c r="U139">
        <v>0</v>
      </c>
      <c r="V139" s="10">
        <v>0.23098591549295774</v>
      </c>
      <c r="W139" s="5">
        <v>2</v>
      </c>
      <c r="X139" s="5">
        <v>3</v>
      </c>
      <c r="Y139" s="5">
        <v>3</v>
      </c>
      <c r="Z139" s="5">
        <v>8</v>
      </c>
    </row>
    <row r="140" spans="1:26" x14ac:dyDescent="0.35">
      <c r="A140">
        <v>139</v>
      </c>
      <c r="B140" s="10">
        <v>0.90196078431372551</v>
      </c>
      <c r="C140">
        <v>0</v>
      </c>
      <c r="D140">
        <v>0</v>
      </c>
      <c r="E140">
        <v>0</v>
      </c>
      <c r="F140">
        <v>0</v>
      </c>
      <c r="G140">
        <v>1</v>
      </c>
      <c r="H140">
        <v>3</v>
      </c>
      <c r="I140">
        <v>0</v>
      </c>
      <c r="J140" s="10">
        <v>0.44874521480221186</v>
      </c>
      <c r="K140">
        <v>0</v>
      </c>
      <c r="L140">
        <v>1</v>
      </c>
      <c r="M140">
        <v>0</v>
      </c>
      <c r="N140" s="10">
        <v>0.60294588062460008</v>
      </c>
      <c r="O140" s="11">
        <v>0.58796526518211056</v>
      </c>
      <c r="P140" s="10">
        <v>0.75</v>
      </c>
      <c r="Q140">
        <v>2</v>
      </c>
      <c r="R140">
        <v>1</v>
      </c>
      <c r="S140">
        <v>0</v>
      </c>
      <c r="T140">
        <v>1</v>
      </c>
      <c r="U140">
        <v>1</v>
      </c>
      <c r="V140" s="10">
        <v>0.45633802816901409</v>
      </c>
      <c r="W140" s="5">
        <v>1</v>
      </c>
      <c r="X140" s="5">
        <v>2</v>
      </c>
      <c r="Y140" s="5">
        <v>3</v>
      </c>
      <c r="Z140" s="5">
        <v>6</v>
      </c>
    </row>
    <row r="141" spans="1:26" x14ac:dyDescent="0.35">
      <c r="A141">
        <v>140</v>
      </c>
      <c r="B141" s="10">
        <v>0.68627450980392157</v>
      </c>
      <c r="C141">
        <v>1</v>
      </c>
      <c r="D141">
        <v>0</v>
      </c>
      <c r="E141">
        <v>1</v>
      </c>
      <c r="F141">
        <v>0</v>
      </c>
      <c r="G141">
        <v>0</v>
      </c>
      <c r="H141">
        <v>3</v>
      </c>
      <c r="I141">
        <v>0</v>
      </c>
      <c r="J141" s="10">
        <v>0.36707783921735437</v>
      </c>
      <c r="K141">
        <v>1</v>
      </c>
      <c r="L141">
        <v>0</v>
      </c>
      <c r="M141">
        <v>0</v>
      </c>
      <c r="N141" s="10">
        <v>0.3004614600857759</v>
      </c>
      <c r="O141" s="11">
        <v>0.68695547194108542</v>
      </c>
      <c r="P141" s="10">
        <v>0.25</v>
      </c>
      <c r="Q141">
        <v>1</v>
      </c>
      <c r="R141">
        <v>0</v>
      </c>
      <c r="S141">
        <v>0</v>
      </c>
      <c r="T141">
        <v>0</v>
      </c>
      <c r="U141">
        <v>1</v>
      </c>
      <c r="V141" s="10">
        <v>0.30985915492957744</v>
      </c>
      <c r="W141" s="5">
        <v>1</v>
      </c>
      <c r="X141" s="5">
        <v>2</v>
      </c>
      <c r="Y141" s="5">
        <v>2</v>
      </c>
      <c r="Z141" s="5">
        <v>5</v>
      </c>
    </row>
    <row r="142" spans="1:26" x14ac:dyDescent="0.35">
      <c r="A142">
        <v>141</v>
      </c>
      <c r="B142" s="10">
        <v>0.39215686274509803</v>
      </c>
      <c r="C142">
        <v>0</v>
      </c>
      <c r="D142">
        <v>0</v>
      </c>
      <c r="E142">
        <v>0</v>
      </c>
      <c r="F142">
        <v>0</v>
      </c>
      <c r="G142">
        <v>1</v>
      </c>
      <c r="H142">
        <v>2</v>
      </c>
      <c r="I142">
        <v>0</v>
      </c>
      <c r="J142" s="10">
        <v>0.83666524883028492</v>
      </c>
      <c r="K142">
        <v>0</v>
      </c>
      <c r="L142">
        <v>0</v>
      </c>
      <c r="M142">
        <v>1</v>
      </c>
      <c r="N142" s="10">
        <v>0.73275300334099469</v>
      </c>
      <c r="O142" s="11">
        <v>0.71394078064232402</v>
      </c>
      <c r="P142" s="10">
        <v>0.75</v>
      </c>
      <c r="Q142">
        <v>2</v>
      </c>
      <c r="R142">
        <v>0</v>
      </c>
      <c r="S142">
        <v>1</v>
      </c>
      <c r="T142">
        <v>0</v>
      </c>
      <c r="U142">
        <v>0</v>
      </c>
      <c r="V142" s="10">
        <v>7.605633802816901E-2</v>
      </c>
      <c r="W142" s="5">
        <v>3</v>
      </c>
      <c r="X142" s="5">
        <v>2</v>
      </c>
      <c r="Y142" s="5">
        <v>3</v>
      </c>
      <c r="Z142" s="5">
        <v>8</v>
      </c>
    </row>
    <row r="143" spans="1:26" x14ac:dyDescent="0.35">
      <c r="A143">
        <v>142</v>
      </c>
      <c r="B143" s="10">
        <v>0.33333333333333331</v>
      </c>
      <c r="C143">
        <v>1</v>
      </c>
      <c r="D143">
        <v>0</v>
      </c>
      <c r="E143">
        <v>0</v>
      </c>
      <c r="F143">
        <v>1</v>
      </c>
      <c r="G143">
        <v>0</v>
      </c>
      <c r="H143">
        <v>3</v>
      </c>
      <c r="I143">
        <v>0</v>
      </c>
      <c r="J143" s="10">
        <v>0.36707783921735437</v>
      </c>
      <c r="K143">
        <v>1</v>
      </c>
      <c r="L143">
        <v>0</v>
      </c>
      <c r="M143">
        <v>0</v>
      </c>
      <c r="N143" s="10">
        <v>0.4093873658270738</v>
      </c>
      <c r="O143" s="11">
        <v>0.56016821264009331</v>
      </c>
      <c r="P143" s="10">
        <v>0.5</v>
      </c>
      <c r="Q143">
        <v>1</v>
      </c>
      <c r="R143">
        <v>1</v>
      </c>
      <c r="S143">
        <v>0</v>
      </c>
      <c r="T143">
        <v>0</v>
      </c>
      <c r="U143">
        <v>1</v>
      </c>
      <c r="V143" s="10">
        <v>8.7323943661971826E-2</v>
      </c>
      <c r="W143" s="5">
        <v>2</v>
      </c>
      <c r="X143" s="5">
        <v>2</v>
      </c>
      <c r="Y143" s="5">
        <v>2</v>
      </c>
      <c r="Z143" s="5">
        <v>6</v>
      </c>
    </row>
    <row r="144" spans="1:26" x14ac:dyDescent="0.35">
      <c r="A144">
        <v>143</v>
      </c>
      <c r="B144" s="10">
        <v>0.98039215686274506</v>
      </c>
      <c r="C144">
        <v>0</v>
      </c>
      <c r="D144">
        <v>0</v>
      </c>
      <c r="E144">
        <v>0</v>
      </c>
      <c r="F144">
        <v>0</v>
      </c>
      <c r="G144">
        <v>1</v>
      </c>
      <c r="H144">
        <v>1</v>
      </c>
      <c r="I144">
        <v>0</v>
      </c>
      <c r="J144" s="10">
        <v>0.26499361973628244</v>
      </c>
      <c r="K144">
        <v>0</v>
      </c>
      <c r="L144">
        <v>1</v>
      </c>
      <c r="M144">
        <v>0</v>
      </c>
      <c r="N144" s="10">
        <v>9.876963722958082E-2</v>
      </c>
      <c r="O144" s="11">
        <v>0.34534900098593529</v>
      </c>
      <c r="P144" s="10">
        <v>0.125</v>
      </c>
      <c r="Q144">
        <v>1</v>
      </c>
      <c r="R144">
        <v>0</v>
      </c>
      <c r="S144">
        <v>0</v>
      </c>
      <c r="T144">
        <v>1</v>
      </c>
      <c r="U144">
        <v>0</v>
      </c>
      <c r="V144" s="10">
        <v>0.83943661971830985</v>
      </c>
      <c r="W144" s="5">
        <v>1</v>
      </c>
      <c r="X144" s="5">
        <v>1</v>
      </c>
      <c r="Y144" s="5">
        <v>1</v>
      </c>
      <c r="Z144" s="5">
        <v>3</v>
      </c>
    </row>
    <row r="145" spans="1:26" x14ac:dyDescent="0.35">
      <c r="A145">
        <v>144</v>
      </c>
      <c r="B145" s="10">
        <v>0.52941176470588236</v>
      </c>
      <c r="C145">
        <v>0</v>
      </c>
      <c r="D145">
        <v>0</v>
      </c>
      <c r="E145">
        <v>1</v>
      </c>
      <c r="F145">
        <v>0</v>
      </c>
      <c r="G145">
        <v>0</v>
      </c>
      <c r="H145">
        <v>1</v>
      </c>
      <c r="I145">
        <v>1</v>
      </c>
      <c r="J145" s="10">
        <v>0.79583156103785624</v>
      </c>
      <c r="K145">
        <v>0</v>
      </c>
      <c r="L145">
        <v>0</v>
      </c>
      <c r="M145">
        <v>1</v>
      </c>
      <c r="N145" s="10">
        <v>0.1214516740516077</v>
      </c>
      <c r="O145" s="11">
        <v>0.84478560936839775</v>
      </c>
      <c r="P145" s="10">
        <v>0</v>
      </c>
      <c r="Q145">
        <v>1</v>
      </c>
      <c r="R145">
        <v>0</v>
      </c>
      <c r="S145">
        <v>0</v>
      </c>
      <c r="T145">
        <v>1</v>
      </c>
      <c r="U145">
        <v>0</v>
      </c>
      <c r="V145" s="10">
        <v>0.18309859154929578</v>
      </c>
      <c r="W145" s="5">
        <v>2</v>
      </c>
      <c r="X145" s="5">
        <v>1</v>
      </c>
      <c r="Y145" s="5">
        <v>1</v>
      </c>
      <c r="Z145" s="5">
        <v>4</v>
      </c>
    </row>
    <row r="146" spans="1:26" x14ac:dyDescent="0.35">
      <c r="A146">
        <v>145</v>
      </c>
      <c r="B146" s="10">
        <v>0.27450980392156865</v>
      </c>
      <c r="C146">
        <v>0</v>
      </c>
      <c r="D146">
        <v>0</v>
      </c>
      <c r="E146">
        <v>1</v>
      </c>
      <c r="F146">
        <v>0</v>
      </c>
      <c r="G146">
        <v>0</v>
      </c>
      <c r="H146">
        <v>3</v>
      </c>
      <c r="I146">
        <v>0</v>
      </c>
      <c r="J146" s="10">
        <v>0.32624415142492558</v>
      </c>
      <c r="K146">
        <v>0</v>
      </c>
      <c r="L146">
        <v>0</v>
      </c>
      <c r="M146">
        <v>1</v>
      </c>
      <c r="N146" s="10">
        <v>0.52096414946804726</v>
      </c>
      <c r="O146" s="11">
        <v>0.71176482424193643</v>
      </c>
      <c r="P146" s="10">
        <v>0.5</v>
      </c>
      <c r="Q146">
        <v>2</v>
      </c>
      <c r="R146">
        <v>1</v>
      </c>
      <c r="S146">
        <v>1</v>
      </c>
      <c r="T146">
        <v>0</v>
      </c>
      <c r="U146">
        <v>1</v>
      </c>
      <c r="V146" s="10">
        <v>3.6619718309859155E-2</v>
      </c>
      <c r="W146" s="5">
        <v>3</v>
      </c>
      <c r="X146" s="5">
        <v>2</v>
      </c>
      <c r="Y146" s="5">
        <v>3</v>
      </c>
      <c r="Z146" s="5">
        <v>8</v>
      </c>
    </row>
    <row r="147" spans="1:26" x14ac:dyDescent="0.35">
      <c r="A147">
        <v>146</v>
      </c>
      <c r="B147" s="10">
        <v>0.80392156862745101</v>
      </c>
      <c r="C147">
        <v>0</v>
      </c>
      <c r="D147">
        <v>0</v>
      </c>
      <c r="E147">
        <v>0</v>
      </c>
      <c r="F147">
        <v>1</v>
      </c>
      <c r="G147">
        <v>0</v>
      </c>
      <c r="H147">
        <v>1</v>
      </c>
      <c r="I147">
        <v>0</v>
      </c>
      <c r="J147" s="10">
        <v>0.16290940025521056</v>
      </c>
      <c r="K147">
        <v>1</v>
      </c>
      <c r="L147">
        <v>0</v>
      </c>
      <c r="M147">
        <v>0</v>
      </c>
      <c r="N147" s="10">
        <v>0.40397898253678649</v>
      </c>
      <c r="O147" s="11">
        <v>0.55281997625706747</v>
      </c>
      <c r="P147" s="10">
        <v>0.5</v>
      </c>
      <c r="Q147">
        <v>0</v>
      </c>
      <c r="R147">
        <v>0</v>
      </c>
      <c r="S147">
        <v>0</v>
      </c>
      <c r="T147">
        <v>0</v>
      </c>
      <c r="U147">
        <v>0</v>
      </c>
      <c r="V147" s="10">
        <v>1.9718309859154931E-2</v>
      </c>
      <c r="W147" s="5">
        <v>3</v>
      </c>
      <c r="X147" s="5">
        <v>2</v>
      </c>
      <c r="Y147" s="5">
        <v>2</v>
      </c>
      <c r="Z147" s="5">
        <v>7</v>
      </c>
    </row>
    <row r="148" spans="1:26" x14ac:dyDescent="0.35">
      <c r="A148">
        <v>147</v>
      </c>
      <c r="B148" s="10">
        <v>1.9607843137254902E-2</v>
      </c>
      <c r="C148">
        <v>0</v>
      </c>
      <c r="D148">
        <v>0</v>
      </c>
      <c r="E148">
        <v>0</v>
      </c>
      <c r="F148">
        <v>0</v>
      </c>
      <c r="G148">
        <v>1</v>
      </c>
      <c r="H148">
        <v>3</v>
      </c>
      <c r="I148">
        <v>0</v>
      </c>
      <c r="J148" s="10">
        <v>0.6937473415567843</v>
      </c>
      <c r="K148">
        <v>1</v>
      </c>
      <c r="L148">
        <v>0</v>
      </c>
      <c r="M148">
        <v>0</v>
      </c>
      <c r="N148" s="10">
        <v>0.66658175959055033</v>
      </c>
      <c r="O148" s="11">
        <v>0.56850741463610943</v>
      </c>
      <c r="P148" s="10">
        <v>0.875</v>
      </c>
      <c r="Q148">
        <v>2</v>
      </c>
      <c r="R148">
        <v>1</v>
      </c>
      <c r="S148">
        <v>1</v>
      </c>
      <c r="T148">
        <v>0</v>
      </c>
      <c r="U148">
        <v>1</v>
      </c>
      <c r="V148" s="10">
        <v>9.5774647887323941E-2</v>
      </c>
      <c r="W148" s="5">
        <v>2</v>
      </c>
      <c r="X148" s="5">
        <v>3</v>
      </c>
      <c r="Y148" s="5">
        <v>3</v>
      </c>
      <c r="Z148" s="5">
        <v>8</v>
      </c>
    </row>
    <row r="149" spans="1:26" x14ac:dyDescent="0.35">
      <c r="A149">
        <v>148</v>
      </c>
      <c r="B149" s="10">
        <v>0.70588235294117652</v>
      </c>
      <c r="C149">
        <v>0</v>
      </c>
      <c r="D149">
        <v>0</v>
      </c>
      <c r="E149">
        <v>1</v>
      </c>
      <c r="F149">
        <v>0</v>
      </c>
      <c r="G149">
        <v>0</v>
      </c>
      <c r="H149">
        <v>2</v>
      </c>
      <c r="I149">
        <v>0</v>
      </c>
      <c r="J149" s="10">
        <v>0.59166312207571248</v>
      </c>
      <c r="K149">
        <v>0</v>
      </c>
      <c r="L149">
        <v>1</v>
      </c>
      <c r="M149">
        <v>0</v>
      </c>
      <c r="N149" s="10">
        <v>9.5964741842996895E-4</v>
      </c>
      <c r="O149" s="11">
        <v>2.6237952473892833E-2</v>
      </c>
      <c r="P149" s="10">
        <v>0</v>
      </c>
      <c r="Q149">
        <v>2</v>
      </c>
      <c r="R149">
        <v>1</v>
      </c>
      <c r="S149">
        <v>1</v>
      </c>
      <c r="T149">
        <v>1</v>
      </c>
      <c r="U149">
        <v>0</v>
      </c>
      <c r="V149" s="10">
        <v>7.8873239436619724E-2</v>
      </c>
      <c r="W149" s="5">
        <v>3</v>
      </c>
      <c r="X149" s="5">
        <v>1</v>
      </c>
      <c r="Y149" s="5">
        <v>1</v>
      </c>
      <c r="Z149" s="5">
        <v>5</v>
      </c>
    </row>
    <row r="150" spans="1:26" x14ac:dyDescent="0.35">
      <c r="A150">
        <v>149</v>
      </c>
      <c r="B150" s="10">
        <v>0.19607843137254902</v>
      </c>
      <c r="C150">
        <v>1</v>
      </c>
      <c r="D150">
        <v>1</v>
      </c>
      <c r="E150">
        <v>0</v>
      </c>
      <c r="F150">
        <v>0</v>
      </c>
      <c r="G150">
        <v>0</v>
      </c>
      <c r="H150">
        <v>2</v>
      </c>
      <c r="I150">
        <v>0</v>
      </c>
      <c r="J150" s="10">
        <v>0.1220757124627818</v>
      </c>
      <c r="K150">
        <v>0</v>
      </c>
      <c r="L150">
        <v>0</v>
      </c>
      <c r="M150">
        <v>1</v>
      </c>
      <c r="N150" s="10">
        <v>0.12885339904746107</v>
      </c>
      <c r="O150" s="11">
        <v>0.8950683112336264</v>
      </c>
      <c r="P150" s="10">
        <v>0</v>
      </c>
      <c r="Q150">
        <v>1</v>
      </c>
      <c r="R150">
        <v>0</v>
      </c>
      <c r="S150">
        <v>1</v>
      </c>
      <c r="T150">
        <v>0</v>
      </c>
      <c r="U150">
        <v>0</v>
      </c>
      <c r="V150" s="10">
        <v>0.6957746478873239</v>
      </c>
      <c r="W150" s="5">
        <v>1</v>
      </c>
      <c r="X150" s="5">
        <v>1</v>
      </c>
      <c r="Y150" s="5">
        <v>1</v>
      </c>
      <c r="Z150" s="5">
        <v>3</v>
      </c>
    </row>
    <row r="151" spans="1:26" x14ac:dyDescent="0.35">
      <c r="A151">
        <v>150</v>
      </c>
      <c r="B151" s="10">
        <v>0.43137254901960786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2</v>
      </c>
      <c r="I151">
        <v>0</v>
      </c>
      <c r="J151" s="10">
        <v>0.7754147171416419</v>
      </c>
      <c r="K151">
        <v>1</v>
      </c>
      <c r="L151">
        <v>0</v>
      </c>
      <c r="M151">
        <v>0</v>
      </c>
      <c r="N151" s="10">
        <v>0.35052602895528751</v>
      </c>
      <c r="O151" s="11">
        <v>0.3001217328316465</v>
      </c>
      <c r="P151" s="10">
        <v>0.875</v>
      </c>
      <c r="Q151">
        <v>0</v>
      </c>
      <c r="R151">
        <v>0</v>
      </c>
      <c r="S151">
        <v>0</v>
      </c>
      <c r="T151">
        <v>0</v>
      </c>
      <c r="U151">
        <v>0</v>
      </c>
      <c r="V151" s="10">
        <v>5.0704225352112678E-2</v>
      </c>
      <c r="W151" s="5">
        <v>3</v>
      </c>
      <c r="X151" s="5">
        <v>3</v>
      </c>
      <c r="Y151" s="5">
        <v>2</v>
      </c>
      <c r="Z151" s="5">
        <v>8</v>
      </c>
    </row>
    <row r="152" spans="1:26" x14ac:dyDescent="0.35">
      <c r="A152">
        <v>151</v>
      </c>
      <c r="B152" s="10">
        <v>0.84313725490196079</v>
      </c>
      <c r="C152">
        <v>1</v>
      </c>
      <c r="D152">
        <v>1</v>
      </c>
      <c r="E152">
        <v>0</v>
      </c>
      <c r="F152">
        <v>0</v>
      </c>
      <c r="G152">
        <v>0</v>
      </c>
      <c r="H152">
        <v>2</v>
      </c>
      <c r="I152">
        <v>0</v>
      </c>
      <c r="J152" s="10">
        <v>0.7345810293492131</v>
      </c>
      <c r="K152">
        <v>1</v>
      </c>
      <c r="L152">
        <v>0</v>
      </c>
      <c r="M152">
        <v>0</v>
      </c>
      <c r="N152" s="10">
        <v>9.608321683292656E-2</v>
      </c>
      <c r="O152" s="11">
        <v>0.67244813778949275</v>
      </c>
      <c r="P152" s="10">
        <v>0</v>
      </c>
      <c r="Q152">
        <v>2</v>
      </c>
      <c r="R152">
        <v>1</v>
      </c>
      <c r="S152">
        <v>0</v>
      </c>
      <c r="T152">
        <v>1</v>
      </c>
      <c r="U152">
        <v>1</v>
      </c>
      <c r="V152" s="10">
        <v>3.0985915492957747E-2</v>
      </c>
      <c r="W152" s="5">
        <v>3</v>
      </c>
      <c r="X152" s="5">
        <v>1</v>
      </c>
      <c r="Y152" s="5">
        <v>1</v>
      </c>
      <c r="Z152" s="5">
        <v>5</v>
      </c>
    </row>
    <row r="153" spans="1:26" x14ac:dyDescent="0.35">
      <c r="A153">
        <v>152</v>
      </c>
      <c r="B153" s="10">
        <v>0.78431372549019607</v>
      </c>
      <c r="C153">
        <v>0</v>
      </c>
      <c r="D153">
        <v>0</v>
      </c>
      <c r="E153">
        <v>1</v>
      </c>
      <c r="F153">
        <v>0</v>
      </c>
      <c r="G153">
        <v>0</v>
      </c>
      <c r="H153">
        <v>3</v>
      </c>
      <c r="I153">
        <v>0</v>
      </c>
      <c r="J153" s="10">
        <v>0.97958315610378566</v>
      </c>
      <c r="K153">
        <v>1</v>
      </c>
      <c r="L153">
        <v>0</v>
      </c>
      <c r="M153">
        <v>0</v>
      </c>
      <c r="N153" s="10">
        <v>0.42621377627182905</v>
      </c>
      <c r="O153" s="11">
        <v>0.41644988545328593</v>
      </c>
      <c r="P153" s="10">
        <v>0.75</v>
      </c>
      <c r="Q153">
        <v>0</v>
      </c>
      <c r="R153">
        <v>0</v>
      </c>
      <c r="S153">
        <v>0</v>
      </c>
      <c r="T153">
        <v>0</v>
      </c>
      <c r="U153">
        <v>0</v>
      </c>
      <c r="V153" s="10">
        <v>5.0704225352112678E-2</v>
      </c>
      <c r="W153" s="5">
        <v>3</v>
      </c>
      <c r="X153" s="5">
        <v>2</v>
      </c>
      <c r="Y153" s="5">
        <v>2</v>
      </c>
      <c r="Z153" s="5">
        <v>7</v>
      </c>
    </row>
    <row r="154" spans="1:26" x14ac:dyDescent="0.35">
      <c r="A154">
        <v>153</v>
      </c>
      <c r="B154" s="10">
        <v>0.21568627450980393</v>
      </c>
      <c r="C154">
        <v>1</v>
      </c>
      <c r="D154">
        <v>0</v>
      </c>
      <c r="E154">
        <v>1</v>
      </c>
      <c r="F154">
        <v>0</v>
      </c>
      <c r="G154">
        <v>0</v>
      </c>
      <c r="H154">
        <v>1</v>
      </c>
      <c r="I154">
        <v>0</v>
      </c>
      <c r="J154" s="10">
        <v>0.85708209272649938</v>
      </c>
      <c r="K154">
        <v>0</v>
      </c>
      <c r="L154">
        <v>0</v>
      </c>
      <c r="M154">
        <v>1</v>
      </c>
      <c r="N154" s="10">
        <v>0.51103002156244814</v>
      </c>
      <c r="O154" s="11">
        <v>0.69826757077607193</v>
      </c>
      <c r="P154" s="10">
        <v>0.5</v>
      </c>
      <c r="Q154">
        <v>1</v>
      </c>
      <c r="R154">
        <v>1</v>
      </c>
      <c r="S154">
        <v>1</v>
      </c>
      <c r="T154">
        <v>0</v>
      </c>
      <c r="U154">
        <v>0</v>
      </c>
      <c r="V154" s="10">
        <v>0.23098591549295774</v>
      </c>
      <c r="W154" s="5">
        <v>2</v>
      </c>
      <c r="X154" s="5">
        <v>2</v>
      </c>
      <c r="Y154" s="5">
        <v>3</v>
      </c>
      <c r="Z154" s="5">
        <v>7</v>
      </c>
    </row>
    <row r="155" spans="1:26" x14ac:dyDescent="0.35">
      <c r="A155">
        <v>154</v>
      </c>
      <c r="B155" s="10">
        <v>3.9215686274509803E-2</v>
      </c>
      <c r="C155">
        <v>0</v>
      </c>
      <c r="D155">
        <v>0</v>
      </c>
      <c r="E155">
        <v>0</v>
      </c>
      <c r="F155">
        <v>1</v>
      </c>
      <c r="G155">
        <v>0</v>
      </c>
      <c r="H155">
        <v>3</v>
      </c>
      <c r="I155">
        <v>0</v>
      </c>
      <c r="J155" s="10">
        <v>0.53041259038706934</v>
      </c>
      <c r="K155">
        <v>1</v>
      </c>
      <c r="L155">
        <v>0</v>
      </c>
      <c r="M155">
        <v>0</v>
      </c>
      <c r="N155" s="10">
        <v>0.51647690922446265</v>
      </c>
      <c r="O155" s="11">
        <v>0.50404865863929427</v>
      </c>
      <c r="P155" s="10">
        <v>0.75</v>
      </c>
      <c r="Q155">
        <v>0</v>
      </c>
      <c r="R155">
        <v>0</v>
      </c>
      <c r="S155">
        <v>0</v>
      </c>
      <c r="T155">
        <v>0</v>
      </c>
      <c r="U155">
        <v>0</v>
      </c>
      <c r="V155" s="10">
        <v>0.39154929577464787</v>
      </c>
      <c r="W155" s="5">
        <v>1</v>
      </c>
      <c r="X155" s="5">
        <v>2</v>
      </c>
      <c r="Y155" s="5">
        <v>3</v>
      </c>
      <c r="Z155" s="5">
        <v>6</v>
      </c>
    </row>
    <row r="156" spans="1:26" x14ac:dyDescent="0.35">
      <c r="A156">
        <v>155</v>
      </c>
      <c r="B156" s="10">
        <v>1</v>
      </c>
      <c r="C156">
        <v>1</v>
      </c>
      <c r="D156">
        <v>0</v>
      </c>
      <c r="E156">
        <v>0</v>
      </c>
      <c r="F156">
        <v>1</v>
      </c>
      <c r="G156">
        <v>0</v>
      </c>
      <c r="H156">
        <v>1</v>
      </c>
      <c r="I156">
        <v>0</v>
      </c>
      <c r="J156" s="10">
        <v>0.36707783921735437</v>
      </c>
      <c r="K156">
        <v>0</v>
      </c>
      <c r="L156">
        <v>1</v>
      </c>
      <c r="M156">
        <v>0</v>
      </c>
      <c r="N156" s="10">
        <v>0.55484207283842379</v>
      </c>
      <c r="O156" s="11">
        <v>0.47362119962172272</v>
      </c>
      <c r="P156" s="10">
        <v>0.875</v>
      </c>
      <c r="Q156">
        <v>2</v>
      </c>
      <c r="R156">
        <v>0</v>
      </c>
      <c r="S156">
        <v>1</v>
      </c>
      <c r="T156">
        <v>0</v>
      </c>
      <c r="U156">
        <v>0</v>
      </c>
      <c r="V156" s="10">
        <v>0.20563380281690141</v>
      </c>
      <c r="W156" s="5">
        <v>2</v>
      </c>
      <c r="X156" s="5">
        <v>3</v>
      </c>
      <c r="Y156" s="5">
        <v>3</v>
      </c>
      <c r="Z156" s="5">
        <v>8</v>
      </c>
    </row>
    <row r="157" spans="1:26" x14ac:dyDescent="0.35">
      <c r="A157">
        <v>156</v>
      </c>
      <c r="B157" s="10">
        <v>0.31372549019607843</v>
      </c>
      <c r="C157">
        <v>0</v>
      </c>
      <c r="D157">
        <v>0</v>
      </c>
      <c r="E157">
        <v>0</v>
      </c>
      <c r="F157">
        <v>0</v>
      </c>
      <c r="G157">
        <v>1</v>
      </c>
      <c r="H157">
        <v>3</v>
      </c>
      <c r="I157">
        <v>0</v>
      </c>
      <c r="J157" s="10">
        <v>0.22415993194385367</v>
      </c>
      <c r="K157">
        <v>1</v>
      </c>
      <c r="L157">
        <v>0</v>
      </c>
      <c r="M157">
        <v>0</v>
      </c>
      <c r="N157" s="10">
        <v>0.20529346255005568</v>
      </c>
      <c r="O157" s="11">
        <v>0.20205063050995561</v>
      </c>
      <c r="P157" s="10">
        <v>0.75</v>
      </c>
      <c r="Q157">
        <v>0</v>
      </c>
      <c r="R157">
        <v>0</v>
      </c>
      <c r="S157">
        <v>0</v>
      </c>
      <c r="T157">
        <v>0</v>
      </c>
      <c r="U157">
        <v>0</v>
      </c>
      <c r="V157" s="10">
        <v>0.53239436619718306</v>
      </c>
      <c r="W157" s="5">
        <v>1</v>
      </c>
      <c r="X157" s="5">
        <v>2</v>
      </c>
      <c r="Y157" s="5">
        <v>1</v>
      </c>
      <c r="Z157" s="5">
        <v>4</v>
      </c>
    </row>
    <row r="158" spans="1:26" x14ac:dyDescent="0.35">
      <c r="A158">
        <v>157</v>
      </c>
      <c r="B158" s="10">
        <v>0.62745098039215685</v>
      </c>
      <c r="C158">
        <v>1</v>
      </c>
      <c r="D158">
        <v>0</v>
      </c>
      <c r="E158">
        <v>1</v>
      </c>
      <c r="F158">
        <v>0</v>
      </c>
      <c r="G158">
        <v>0</v>
      </c>
      <c r="H158">
        <v>1</v>
      </c>
      <c r="I158">
        <v>0</v>
      </c>
      <c r="J158" s="10">
        <v>0.55082943428328379</v>
      </c>
      <c r="K158">
        <v>1</v>
      </c>
      <c r="L158">
        <v>0</v>
      </c>
      <c r="M158">
        <v>0</v>
      </c>
      <c r="N158" s="10">
        <v>0.71170295950524842</v>
      </c>
      <c r="O158" s="11">
        <v>0.6935120856125303</v>
      </c>
      <c r="P158" s="10">
        <v>0.75</v>
      </c>
      <c r="Q158">
        <v>0</v>
      </c>
      <c r="R158">
        <v>0</v>
      </c>
      <c r="S158">
        <v>0</v>
      </c>
      <c r="T158">
        <v>0</v>
      </c>
      <c r="U158">
        <v>0</v>
      </c>
      <c r="V158" s="10">
        <v>0.14647887323943662</v>
      </c>
      <c r="W158" s="5">
        <v>2</v>
      </c>
      <c r="X158" s="5">
        <v>2</v>
      </c>
      <c r="Y158" s="5">
        <v>3</v>
      </c>
      <c r="Z158" s="5">
        <v>7</v>
      </c>
    </row>
    <row r="159" spans="1:26" x14ac:dyDescent="0.35">
      <c r="A159">
        <v>158</v>
      </c>
      <c r="B159" s="10">
        <v>0</v>
      </c>
      <c r="C159">
        <v>0</v>
      </c>
      <c r="D159">
        <v>0</v>
      </c>
      <c r="E159">
        <v>1</v>
      </c>
      <c r="F159">
        <v>0</v>
      </c>
      <c r="G159">
        <v>0</v>
      </c>
      <c r="H159">
        <v>1</v>
      </c>
      <c r="I159">
        <v>0</v>
      </c>
      <c r="J159" s="10">
        <v>0.61207996597192693</v>
      </c>
      <c r="K159">
        <v>0</v>
      </c>
      <c r="L159">
        <v>0</v>
      </c>
      <c r="M159">
        <v>1</v>
      </c>
      <c r="N159" s="10">
        <v>0.43287503258062221</v>
      </c>
      <c r="O159" s="11">
        <v>0.42291451681982678</v>
      </c>
      <c r="P159" s="10">
        <v>0.75</v>
      </c>
      <c r="Q159">
        <v>0</v>
      </c>
      <c r="R159">
        <v>0</v>
      </c>
      <c r="S159">
        <v>0</v>
      </c>
      <c r="T159">
        <v>0</v>
      </c>
      <c r="U159">
        <v>0</v>
      </c>
      <c r="V159" s="10">
        <v>0.2</v>
      </c>
      <c r="W159" s="5">
        <v>2</v>
      </c>
      <c r="X159" s="5">
        <v>2</v>
      </c>
      <c r="Y159" s="5">
        <v>2</v>
      </c>
      <c r="Z159" s="5">
        <v>6</v>
      </c>
    </row>
    <row r="160" spans="1:26" x14ac:dyDescent="0.35">
      <c r="A160">
        <v>159</v>
      </c>
      <c r="B160" s="10">
        <v>0.74509803921568629</v>
      </c>
      <c r="C160">
        <v>1</v>
      </c>
      <c r="D160">
        <v>0</v>
      </c>
      <c r="E160">
        <v>1</v>
      </c>
      <c r="F160">
        <v>0</v>
      </c>
      <c r="G160">
        <v>0</v>
      </c>
      <c r="H160">
        <v>3</v>
      </c>
      <c r="I160">
        <v>0</v>
      </c>
      <c r="J160" s="10">
        <v>0.36707783921735437</v>
      </c>
      <c r="K160">
        <v>0</v>
      </c>
      <c r="L160">
        <v>1</v>
      </c>
      <c r="M160">
        <v>0</v>
      </c>
      <c r="N160" s="10">
        <v>4.7241902234438308E-3</v>
      </c>
      <c r="O160" s="11">
        <v>5.1811907684259237E-2</v>
      </c>
      <c r="P160" s="10">
        <v>0</v>
      </c>
      <c r="Q160">
        <v>2</v>
      </c>
      <c r="R160">
        <v>1</v>
      </c>
      <c r="S160">
        <v>1</v>
      </c>
      <c r="T160">
        <v>1</v>
      </c>
      <c r="U160">
        <v>0</v>
      </c>
      <c r="V160" s="10">
        <v>0.77746478873239433</v>
      </c>
      <c r="W160" s="5">
        <v>1</v>
      </c>
      <c r="X160" s="5">
        <v>1</v>
      </c>
      <c r="Y160" s="5">
        <v>1</v>
      </c>
      <c r="Z160" s="5">
        <v>3</v>
      </c>
    </row>
    <row r="161" spans="1:26" x14ac:dyDescent="0.35">
      <c r="A161">
        <v>160</v>
      </c>
      <c r="B161" s="10">
        <v>0.37254901960784315</v>
      </c>
      <c r="C161">
        <v>1</v>
      </c>
      <c r="D161">
        <v>0</v>
      </c>
      <c r="E161">
        <v>1</v>
      </c>
      <c r="F161">
        <v>0</v>
      </c>
      <c r="G161">
        <v>0</v>
      </c>
      <c r="H161">
        <v>2</v>
      </c>
      <c r="I161">
        <v>1</v>
      </c>
      <c r="J161" s="10">
        <v>0.87749893662271372</v>
      </c>
      <c r="K161">
        <v>0</v>
      </c>
      <c r="L161">
        <v>0</v>
      </c>
      <c r="M161">
        <v>1</v>
      </c>
      <c r="N161" s="10">
        <v>0.60520875293225596</v>
      </c>
      <c r="O161" s="11">
        <v>0.51639117487273389</v>
      </c>
      <c r="P161" s="10">
        <v>0.875</v>
      </c>
      <c r="Q161">
        <v>2</v>
      </c>
      <c r="R161">
        <v>1</v>
      </c>
      <c r="S161">
        <v>1</v>
      </c>
      <c r="T161">
        <v>1</v>
      </c>
      <c r="U161">
        <v>0</v>
      </c>
      <c r="V161" s="10">
        <v>5.0704225352112678E-2</v>
      </c>
      <c r="W161" s="5">
        <v>3</v>
      </c>
      <c r="X161" s="5">
        <v>3</v>
      </c>
      <c r="Y161" s="5">
        <v>3</v>
      </c>
      <c r="Z161" s="5">
        <v>9</v>
      </c>
    </row>
    <row r="162" spans="1:26" x14ac:dyDescent="0.35">
      <c r="A162">
        <v>161</v>
      </c>
      <c r="B162" s="10">
        <v>0.90196078431372551</v>
      </c>
      <c r="C162">
        <v>1</v>
      </c>
      <c r="D162">
        <v>1</v>
      </c>
      <c r="E162">
        <v>0</v>
      </c>
      <c r="F162">
        <v>0</v>
      </c>
      <c r="G162">
        <v>0</v>
      </c>
      <c r="H162">
        <v>3</v>
      </c>
      <c r="I162">
        <v>0</v>
      </c>
      <c r="J162" s="10">
        <v>8.1242024670353047E-2</v>
      </c>
      <c r="K162">
        <v>1</v>
      </c>
      <c r="L162">
        <v>0</v>
      </c>
      <c r="M162">
        <v>0</v>
      </c>
      <c r="N162" s="10">
        <v>0.58468592280169651</v>
      </c>
      <c r="O162" s="11">
        <v>0.66528501579508637</v>
      </c>
      <c r="P162" s="10">
        <v>0.625</v>
      </c>
      <c r="Q162">
        <v>1</v>
      </c>
      <c r="R162">
        <v>1</v>
      </c>
      <c r="S162">
        <v>1</v>
      </c>
      <c r="T162">
        <v>0</v>
      </c>
      <c r="U162">
        <v>0</v>
      </c>
      <c r="V162" s="10">
        <v>0.3408450704225352</v>
      </c>
      <c r="W162" s="5">
        <v>1</v>
      </c>
      <c r="X162" s="5">
        <v>2</v>
      </c>
      <c r="Y162" s="5">
        <v>3</v>
      </c>
      <c r="Z162" s="5">
        <v>6</v>
      </c>
    </row>
    <row r="163" spans="1:26" x14ac:dyDescent="0.35">
      <c r="A163">
        <v>162</v>
      </c>
      <c r="B163" s="10">
        <v>0.82352941176470584</v>
      </c>
      <c r="C163">
        <v>0</v>
      </c>
      <c r="D163">
        <v>0</v>
      </c>
      <c r="E163">
        <v>1</v>
      </c>
      <c r="F163">
        <v>0</v>
      </c>
      <c r="G163">
        <v>0</v>
      </c>
      <c r="H163">
        <v>2</v>
      </c>
      <c r="I163">
        <v>0</v>
      </c>
      <c r="J163" s="10">
        <v>0.1220757124627818</v>
      </c>
      <c r="K163">
        <v>1</v>
      </c>
      <c r="L163">
        <v>0</v>
      </c>
      <c r="M163">
        <v>0</v>
      </c>
      <c r="N163" s="10">
        <v>0.12323768452479682</v>
      </c>
      <c r="O163" s="11">
        <v>0.28563955009155118</v>
      </c>
      <c r="P163" s="10">
        <v>0.25</v>
      </c>
      <c r="Q163">
        <v>2</v>
      </c>
      <c r="R163">
        <v>1</v>
      </c>
      <c r="S163">
        <v>1</v>
      </c>
      <c r="T163">
        <v>0</v>
      </c>
      <c r="U163">
        <v>1</v>
      </c>
      <c r="V163" s="10">
        <v>0.38591549295774646</v>
      </c>
      <c r="W163" s="5">
        <v>1</v>
      </c>
      <c r="X163" s="5">
        <v>2</v>
      </c>
      <c r="Y163" s="5">
        <v>1</v>
      </c>
      <c r="Z163" s="5">
        <v>4</v>
      </c>
    </row>
    <row r="164" spans="1:26" x14ac:dyDescent="0.35">
      <c r="A164">
        <v>163</v>
      </c>
      <c r="B164" s="10">
        <v>1</v>
      </c>
      <c r="C164">
        <v>1</v>
      </c>
      <c r="D164">
        <v>0</v>
      </c>
      <c r="E164">
        <v>0</v>
      </c>
      <c r="F164">
        <v>1</v>
      </c>
      <c r="G164">
        <v>0</v>
      </c>
      <c r="H164">
        <v>3</v>
      </c>
      <c r="I164">
        <v>0</v>
      </c>
      <c r="J164" s="10">
        <v>0.44874521480221186</v>
      </c>
      <c r="K164">
        <v>1</v>
      </c>
      <c r="L164">
        <v>0</v>
      </c>
      <c r="M164">
        <v>0</v>
      </c>
      <c r="N164" s="10">
        <v>0.31250148093737407</v>
      </c>
      <c r="O164" s="11">
        <v>0.71421960200406442</v>
      </c>
      <c r="P164" s="10">
        <v>0.25</v>
      </c>
      <c r="Q164">
        <v>2</v>
      </c>
      <c r="R164">
        <v>1</v>
      </c>
      <c r="S164">
        <v>0</v>
      </c>
      <c r="T164">
        <v>1</v>
      </c>
      <c r="U164">
        <v>1</v>
      </c>
      <c r="V164" s="10">
        <v>6.7605633802816895E-2</v>
      </c>
      <c r="W164" s="5">
        <v>3</v>
      </c>
      <c r="X164" s="5">
        <v>2</v>
      </c>
      <c r="Y164" s="5">
        <v>2</v>
      </c>
      <c r="Z164" s="5">
        <v>7</v>
      </c>
    </row>
    <row r="165" spans="1:26" x14ac:dyDescent="0.35">
      <c r="A165">
        <v>164</v>
      </c>
      <c r="B165" s="10">
        <v>0.78431372549019607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1</v>
      </c>
      <c r="I165">
        <v>1</v>
      </c>
      <c r="J165" s="10">
        <v>4.0408336877924292E-2</v>
      </c>
      <c r="K165">
        <v>0</v>
      </c>
      <c r="L165">
        <v>1</v>
      </c>
      <c r="M165">
        <v>0</v>
      </c>
      <c r="N165" s="10">
        <v>0.2801015330663697</v>
      </c>
      <c r="O165" s="11">
        <v>0.38451075474355623</v>
      </c>
      <c r="P165" s="10">
        <v>0.5</v>
      </c>
      <c r="Q165">
        <v>1</v>
      </c>
      <c r="R165">
        <v>0</v>
      </c>
      <c r="S165">
        <v>0</v>
      </c>
      <c r="T165">
        <v>0</v>
      </c>
      <c r="U165">
        <v>1</v>
      </c>
      <c r="V165" s="10">
        <v>0.20563380281690141</v>
      </c>
      <c r="W165" s="5">
        <v>2</v>
      </c>
      <c r="X165" s="5">
        <v>2</v>
      </c>
      <c r="Y165" s="5">
        <v>2</v>
      </c>
      <c r="Z165" s="5">
        <v>6</v>
      </c>
    </row>
    <row r="166" spans="1:26" x14ac:dyDescent="0.35">
      <c r="A166">
        <v>165</v>
      </c>
      <c r="B166" s="10">
        <v>0.25490196078431371</v>
      </c>
      <c r="C166">
        <v>0</v>
      </c>
      <c r="D166">
        <v>0</v>
      </c>
      <c r="E166">
        <v>0</v>
      </c>
      <c r="F166">
        <v>0</v>
      </c>
      <c r="G166">
        <v>1</v>
      </c>
      <c r="H166">
        <v>2</v>
      </c>
      <c r="I166">
        <v>0</v>
      </c>
      <c r="J166" s="10">
        <v>0.9591663122075712</v>
      </c>
      <c r="K166">
        <v>1</v>
      </c>
      <c r="L166">
        <v>0</v>
      </c>
      <c r="M166">
        <v>0</v>
      </c>
      <c r="N166" s="10">
        <v>5.0807999431320042E-2</v>
      </c>
      <c r="O166" s="11">
        <v>0.36487655687237169</v>
      </c>
      <c r="P166" s="10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 s="10">
        <v>0.23943661971830985</v>
      </c>
      <c r="W166" s="5">
        <v>1</v>
      </c>
      <c r="X166" s="5">
        <v>1</v>
      </c>
      <c r="Y166" s="5">
        <v>1</v>
      </c>
      <c r="Z166" s="5">
        <v>3</v>
      </c>
    </row>
    <row r="167" spans="1:26" x14ac:dyDescent="0.35">
      <c r="A167">
        <v>166</v>
      </c>
      <c r="B167" s="10">
        <v>0.58823529411764708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1</v>
      </c>
      <c r="I167">
        <v>0</v>
      </c>
      <c r="J167" s="10">
        <v>0.97958315610378566</v>
      </c>
      <c r="K167">
        <v>0</v>
      </c>
      <c r="L167">
        <v>0</v>
      </c>
      <c r="M167">
        <v>1</v>
      </c>
      <c r="N167" s="10">
        <v>0.36481411274080039</v>
      </c>
      <c r="O167" s="11">
        <v>0.4996076379806435</v>
      </c>
      <c r="P167" s="10">
        <v>0.5</v>
      </c>
      <c r="Q167">
        <v>1</v>
      </c>
      <c r="R167">
        <v>0</v>
      </c>
      <c r="S167">
        <v>0</v>
      </c>
      <c r="T167">
        <v>0</v>
      </c>
      <c r="U167">
        <v>1</v>
      </c>
      <c r="V167" s="10">
        <v>6.4788732394366194E-2</v>
      </c>
      <c r="W167" s="5">
        <v>3</v>
      </c>
      <c r="X167" s="5">
        <v>2</v>
      </c>
      <c r="Y167" s="5">
        <v>2</v>
      </c>
      <c r="Z167" s="5">
        <v>7</v>
      </c>
    </row>
    <row r="168" spans="1:26" x14ac:dyDescent="0.35">
      <c r="A168">
        <v>167</v>
      </c>
      <c r="B168" s="10">
        <v>0.47058823529411764</v>
      </c>
      <c r="C168">
        <v>0</v>
      </c>
      <c r="D168">
        <v>1</v>
      </c>
      <c r="E168">
        <v>0</v>
      </c>
      <c r="F168">
        <v>0</v>
      </c>
      <c r="G168">
        <v>0</v>
      </c>
      <c r="H168">
        <v>1</v>
      </c>
      <c r="I168">
        <v>0</v>
      </c>
      <c r="J168" s="10">
        <v>0.81624840493407058</v>
      </c>
      <c r="K168">
        <v>0</v>
      </c>
      <c r="L168">
        <v>1</v>
      </c>
      <c r="M168">
        <v>0</v>
      </c>
      <c r="N168" s="10">
        <v>0.69501871904840884</v>
      </c>
      <c r="O168" s="11">
        <v>0.59265528481458385</v>
      </c>
      <c r="P168" s="10">
        <v>0.875</v>
      </c>
      <c r="Q168">
        <v>1</v>
      </c>
      <c r="R168">
        <v>0</v>
      </c>
      <c r="S168">
        <v>0</v>
      </c>
      <c r="T168">
        <v>0</v>
      </c>
      <c r="U168">
        <v>1</v>
      </c>
      <c r="V168" s="10">
        <v>1.1267605633802818E-2</v>
      </c>
      <c r="W168" s="5">
        <v>3</v>
      </c>
      <c r="X168" s="5">
        <v>3</v>
      </c>
      <c r="Y168" s="5">
        <v>3</v>
      </c>
      <c r="Z168" s="5">
        <v>9</v>
      </c>
    </row>
    <row r="169" spans="1:26" x14ac:dyDescent="0.35">
      <c r="A169">
        <v>168</v>
      </c>
      <c r="B169" s="10">
        <v>3.9215686274509803E-2</v>
      </c>
      <c r="C169">
        <v>1</v>
      </c>
      <c r="D169">
        <v>0</v>
      </c>
      <c r="E169">
        <v>1</v>
      </c>
      <c r="F169">
        <v>0</v>
      </c>
      <c r="G169">
        <v>0</v>
      </c>
      <c r="H169">
        <v>1</v>
      </c>
      <c r="I169">
        <v>1</v>
      </c>
      <c r="J169" s="10">
        <v>0.65291365376435562</v>
      </c>
      <c r="K169">
        <v>0</v>
      </c>
      <c r="L169">
        <v>1</v>
      </c>
      <c r="M169">
        <v>0</v>
      </c>
      <c r="N169" s="10">
        <v>0.33087991375020737</v>
      </c>
      <c r="O169" s="11">
        <v>0.56687760317109004</v>
      </c>
      <c r="P169" s="10">
        <v>0.375</v>
      </c>
      <c r="Q169">
        <v>2</v>
      </c>
      <c r="R169">
        <v>1</v>
      </c>
      <c r="S169">
        <v>1</v>
      </c>
      <c r="T169">
        <v>0</v>
      </c>
      <c r="U169">
        <v>0</v>
      </c>
      <c r="V169" s="10">
        <v>0.63098591549295779</v>
      </c>
      <c r="W169" s="5">
        <v>1</v>
      </c>
      <c r="X169" s="5">
        <v>2</v>
      </c>
      <c r="Y169" s="5">
        <v>2</v>
      </c>
      <c r="Z169" s="5">
        <v>5</v>
      </c>
    </row>
    <row r="170" spans="1:26" x14ac:dyDescent="0.35">
      <c r="A170">
        <v>169</v>
      </c>
      <c r="B170" s="10">
        <v>5.8823529411764705E-2</v>
      </c>
      <c r="C170">
        <v>0</v>
      </c>
      <c r="D170">
        <v>0</v>
      </c>
      <c r="E170">
        <v>0</v>
      </c>
      <c r="F170">
        <v>0</v>
      </c>
      <c r="G170">
        <v>1</v>
      </c>
      <c r="H170">
        <v>3</v>
      </c>
      <c r="I170">
        <v>0</v>
      </c>
      <c r="J170" s="10">
        <v>0.79583156103785624</v>
      </c>
      <c r="K170">
        <v>1</v>
      </c>
      <c r="L170">
        <v>0</v>
      </c>
      <c r="M170">
        <v>0</v>
      </c>
      <c r="N170" s="10">
        <v>0.63826919887211797</v>
      </c>
      <c r="O170" s="11">
        <v>0.48396904923193174</v>
      </c>
      <c r="P170" s="10">
        <v>1</v>
      </c>
      <c r="Q170">
        <v>1</v>
      </c>
      <c r="R170">
        <v>1</v>
      </c>
      <c r="S170">
        <v>0</v>
      </c>
      <c r="T170">
        <v>1</v>
      </c>
      <c r="U170">
        <v>0</v>
      </c>
      <c r="V170" s="10">
        <v>4.507042253521127E-2</v>
      </c>
      <c r="W170" s="5">
        <v>3</v>
      </c>
      <c r="X170" s="5">
        <v>3</v>
      </c>
      <c r="Y170" s="5">
        <v>3</v>
      </c>
      <c r="Z170" s="5">
        <v>9</v>
      </c>
    </row>
    <row r="171" spans="1:26" x14ac:dyDescent="0.35">
      <c r="A171">
        <v>170</v>
      </c>
      <c r="B171" s="10">
        <v>0.58823529411764708</v>
      </c>
      <c r="C171">
        <v>1</v>
      </c>
      <c r="D171">
        <v>0</v>
      </c>
      <c r="E171">
        <v>0</v>
      </c>
      <c r="F171">
        <v>1</v>
      </c>
      <c r="G171">
        <v>0</v>
      </c>
      <c r="H171">
        <v>1</v>
      </c>
      <c r="I171">
        <v>1</v>
      </c>
      <c r="J171" s="10">
        <v>0.42832837090599751</v>
      </c>
      <c r="K171">
        <v>0</v>
      </c>
      <c r="L171">
        <v>1</v>
      </c>
      <c r="M171">
        <v>0</v>
      </c>
      <c r="N171" s="10">
        <v>0.42607456815866168</v>
      </c>
      <c r="O171" s="11">
        <v>0.416314786442958</v>
      </c>
      <c r="P171" s="10">
        <v>0.75</v>
      </c>
      <c r="Q171">
        <v>1</v>
      </c>
      <c r="R171">
        <v>1</v>
      </c>
      <c r="S171">
        <v>0</v>
      </c>
      <c r="T171">
        <v>1</v>
      </c>
      <c r="U171">
        <v>0</v>
      </c>
      <c r="V171" s="10">
        <v>2.5352112676056339E-2</v>
      </c>
      <c r="W171" s="5">
        <v>3</v>
      </c>
      <c r="X171" s="5">
        <v>2</v>
      </c>
      <c r="Y171" s="5">
        <v>2</v>
      </c>
      <c r="Z171" s="5">
        <v>7</v>
      </c>
    </row>
    <row r="172" spans="1:26" x14ac:dyDescent="0.35">
      <c r="A172">
        <v>171</v>
      </c>
      <c r="B172" s="10">
        <v>0.66666666666666663</v>
      </c>
      <c r="C172">
        <v>0</v>
      </c>
      <c r="D172">
        <v>1</v>
      </c>
      <c r="E172">
        <v>0</v>
      </c>
      <c r="F172">
        <v>0</v>
      </c>
      <c r="G172">
        <v>0</v>
      </c>
      <c r="H172">
        <v>3</v>
      </c>
      <c r="I172">
        <v>0</v>
      </c>
      <c r="J172" s="10">
        <v>0.16290940025521056</v>
      </c>
      <c r="K172">
        <v>1</v>
      </c>
      <c r="L172">
        <v>0</v>
      </c>
      <c r="M172">
        <v>0</v>
      </c>
      <c r="N172" s="10">
        <v>0.74725434210838082</v>
      </c>
      <c r="O172" s="11">
        <v>0.72801407329265033</v>
      </c>
      <c r="P172" s="10">
        <v>0.75</v>
      </c>
      <c r="Q172">
        <v>1</v>
      </c>
      <c r="R172">
        <v>0</v>
      </c>
      <c r="S172">
        <v>0</v>
      </c>
      <c r="T172">
        <v>0</v>
      </c>
      <c r="U172">
        <v>1</v>
      </c>
      <c r="V172" s="10">
        <v>0.28450704225352114</v>
      </c>
      <c r="W172" s="5">
        <v>1</v>
      </c>
      <c r="X172" s="5">
        <v>2</v>
      </c>
      <c r="Y172" s="5">
        <v>3</v>
      </c>
      <c r="Z172" s="5">
        <v>6</v>
      </c>
    </row>
    <row r="173" spans="1:26" x14ac:dyDescent="0.35">
      <c r="A173">
        <v>172</v>
      </c>
      <c r="B173" s="10">
        <v>0.84313725490196079</v>
      </c>
      <c r="C173">
        <v>1</v>
      </c>
      <c r="D173">
        <v>0</v>
      </c>
      <c r="E173">
        <v>1</v>
      </c>
      <c r="F173">
        <v>0</v>
      </c>
      <c r="G173">
        <v>0</v>
      </c>
      <c r="H173">
        <v>2</v>
      </c>
      <c r="I173">
        <v>0</v>
      </c>
      <c r="J173" s="10">
        <v>0.509995746490855</v>
      </c>
      <c r="K173">
        <v>0</v>
      </c>
      <c r="L173">
        <v>1</v>
      </c>
      <c r="M173">
        <v>0</v>
      </c>
      <c r="N173" s="10">
        <v>0.58140416558064589</v>
      </c>
      <c r="O173" s="11">
        <v>0.66156931393656482</v>
      </c>
      <c r="P173" s="10">
        <v>0.625</v>
      </c>
      <c r="Q173">
        <v>2</v>
      </c>
      <c r="R173">
        <v>1</v>
      </c>
      <c r="S173">
        <v>1</v>
      </c>
      <c r="T173">
        <v>1</v>
      </c>
      <c r="U173">
        <v>0</v>
      </c>
      <c r="V173" s="10">
        <v>9.8591549295774641E-2</v>
      </c>
      <c r="W173" s="5">
        <v>2</v>
      </c>
      <c r="X173" s="5">
        <v>2</v>
      </c>
      <c r="Y173" s="5">
        <v>3</v>
      </c>
      <c r="Z173" s="5">
        <v>7</v>
      </c>
    </row>
    <row r="174" spans="1:26" x14ac:dyDescent="0.35">
      <c r="A174">
        <v>173</v>
      </c>
      <c r="B174" s="10">
        <v>0.25490196078431371</v>
      </c>
      <c r="C174">
        <v>0</v>
      </c>
      <c r="D174">
        <v>0</v>
      </c>
      <c r="E174">
        <v>1</v>
      </c>
      <c r="F174">
        <v>0</v>
      </c>
      <c r="G174">
        <v>0</v>
      </c>
      <c r="H174">
        <v>1</v>
      </c>
      <c r="I174">
        <v>0</v>
      </c>
      <c r="J174" s="10">
        <v>0.83666524883028492</v>
      </c>
      <c r="K174">
        <v>1</v>
      </c>
      <c r="L174">
        <v>0</v>
      </c>
      <c r="M174">
        <v>0</v>
      </c>
      <c r="N174" s="10">
        <v>0.1766136293628415</v>
      </c>
      <c r="O174" s="11">
        <v>0.40650717318255902</v>
      </c>
      <c r="P174" s="10">
        <v>0.25</v>
      </c>
      <c r="Q174">
        <v>1</v>
      </c>
      <c r="R174">
        <v>0</v>
      </c>
      <c r="S174">
        <v>0</v>
      </c>
      <c r="T174">
        <v>1</v>
      </c>
      <c r="U174">
        <v>0</v>
      </c>
      <c r="V174" s="10">
        <v>0.23098591549295774</v>
      </c>
      <c r="W174" s="5">
        <v>2</v>
      </c>
      <c r="X174" s="5">
        <v>2</v>
      </c>
      <c r="Y174" s="5">
        <v>1</v>
      </c>
      <c r="Z174" s="5">
        <v>5</v>
      </c>
    </row>
    <row r="175" spans="1:26" x14ac:dyDescent="0.35">
      <c r="A175">
        <v>174</v>
      </c>
      <c r="B175" s="10">
        <v>0.94117647058823528</v>
      </c>
      <c r="C175">
        <v>0</v>
      </c>
      <c r="D175">
        <v>0</v>
      </c>
      <c r="E175">
        <v>1</v>
      </c>
      <c r="F175">
        <v>0</v>
      </c>
      <c r="G175">
        <v>0</v>
      </c>
      <c r="H175">
        <v>2</v>
      </c>
      <c r="I175">
        <v>1</v>
      </c>
      <c r="J175" s="10">
        <v>0.7345810293492131</v>
      </c>
      <c r="K175">
        <v>1</v>
      </c>
      <c r="L175">
        <v>0</v>
      </c>
      <c r="M175">
        <v>0</v>
      </c>
      <c r="N175" s="10">
        <v>0.53066725114328361</v>
      </c>
      <c r="O175" s="11">
        <v>0.51782013435165397</v>
      </c>
      <c r="P175" s="10">
        <v>0.75</v>
      </c>
      <c r="Q175">
        <v>1</v>
      </c>
      <c r="R175">
        <v>1</v>
      </c>
      <c r="S175">
        <v>1</v>
      </c>
      <c r="T175">
        <v>0</v>
      </c>
      <c r="U175">
        <v>0</v>
      </c>
      <c r="V175" s="10">
        <v>6.4788732394366194E-2</v>
      </c>
      <c r="W175" s="5">
        <v>3</v>
      </c>
      <c r="X175" s="5">
        <v>2</v>
      </c>
      <c r="Y175" s="5">
        <v>3</v>
      </c>
      <c r="Z175" s="5">
        <v>8</v>
      </c>
    </row>
    <row r="176" spans="1:26" x14ac:dyDescent="0.35">
      <c r="A176">
        <v>175</v>
      </c>
      <c r="B176" s="10">
        <v>0.78431372549019607</v>
      </c>
      <c r="C176">
        <v>1</v>
      </c>
      <c r="D176">
        <v>0</v>
      </c>
      <c r="E176">
        <v>1</v>
      </c>
      <c r="F176">
        <v>0</v>
      </c>
      <c r="G176">
        <v>0</v>
      </c>
      <c r="H176">
        <v>2</v>
      </c>
      <c r="I176">
        <v>0</v>
      </c>
      <c r="J176" s="10">
        <v>8.1242024670353047E-2</v>
      </c>
      <c r="K176">
        <v>0</v>
      </c>
      <c r="L176">
        <v>1</v>
      </c>
      <c r="M176">
        <v>0</v>
      </c>
      <c r="N176" s="10">
        <v>0.35812027580977651</v>
      </c>
      <c r="O176" s="11">
        <v>0.35036634827375079</v>
      </c>
      <c r="P176" s="10">
        <v>0.75</v>
      </c>
      <c r="Q176">
        <v>2</v>
      </c>
      <c r="R176">
        <v>1</v>
      </c>
      <c r="S176">
        <v>0</v>
      </c>
      <c r="T176">
        <v>1</v>
      </c>
      <c r="U176">
        <v>0</v>
      </c>
      <c r="V176" s="10">
        <v>0.17464788732394365</v>
      </c>
      <c r="W176" s="5">
        <v>2</v>
      </c>
      <c r="X176" s="5">
        <v>2</v>
      </c>
      <c r="Y176" s="5">
        <v>2</v>
      </c>
      <c r="Z176" s="5">
        <v>6</v>
      </c>
    </row>
    <row r="177" spans="1:26" x14ac:dyDescent="0.35">
      <c r="A177">
        <v>176</v>
      </c>
      <c r="B177" s="10">
        <v>0.15686274509803921</v>
      </c>
      <c r="C177">
        <v>0</v>
      </c>
      <c r="D177">
        <v>1</v>
      </c>
      <c r="E177">
        <v>0</v>
      </c>
      <c r="F177">
        <v>0</v>
      </c>
      <c r="G177">
        <v>0</v>
      </c>
      <c r="H177">
        <v>3</v>
      </c>
      <c r="I177">
        <v>1</v>
      </c>
      <c r="J177" s="10">
        <v>0.30582730752871118</v>
      </c>
      <c r="K177">
        <v>0</v>
      </c>
      <c r="L177">
        <v>1</v>
      </c>
      <c r="M177">
        <v>0</v>
      </c>
      <c r="N177" s="10">
        <v>0.27455986541241145</v>
      </c>
      <c r="O177" s="11">
        <v>0.31415119016479204</v>
      </c>
      <c r="P177" s="10">
        <v>0.625</v>
      </c>
      <c r="Q177">
        <v>0</v>
      </c>
      <c r="R177">
        <v>0</v>
      </c>
      <c r="S177">
        <v>0</v>
      </c>
      <c r="T177">
        <v>0</v>
      </c>
      <c r="U177">
        <v>0</v>
      </c>
      <c r="V177" s="10">
        <v>3.6619718309859155E-2</v>
      </c>
      <c r="W177" s="5">
        <v>3</v>
      </c>
      <c r="X177" s="5">
        <v>2</v>
      </c>
      <c r="Y177" s="5">
        <v>2</v>
      </c>
      <c r="Z177" s="5">
        <v>7</v>
      </c>
    </row>
    <row r="178" spans="1:26" x14ac:dyDescent="0.35">
      <c r="A178">
        <v>177</v>
      </c>
      <c r="B178" s="10">
        <v>0.37254901960784315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2</v>
      </c>
      <c r="I178">
        <v>0</v>
      </c>
      <c r="J178" s="10">
        <v>0.57124627817949813</v>
      </c>
      <c r="K178">
        <v>0</v>
      </c>
      <c r="L178">
        <v>1</v>
      </c>
      <c r="M178">
        <v>0</v>
      </c>
      <c r="N178" s="10">
        <v>0.1243957775513589</v>
      </c>
      <c r="O178" s="11">
        <v>0.86478601179098169</v>
      </c>
      <c r="P178" s="10">
        <v>0</v>
      </c>
      <c r="Q178">
        <v>1</v>
      </c>
      <c r="R178">
        <v>1</v>
      </c>
      <c r="S178">
        <v>0</v>
      </c>
      <c r="T178">
        <v>1</v>
      </c>
      <c r="U178">
        <v>0</v>
      </c>
      <c r="V178" s="10">
        <v>0.30985915492957744</v>
      </c>
      <c r="W178" s="5">
        <v>1</v>
      </c>
      <c r="X178" s="5">
        <v>1</v>
      </c>
      <c r="Y178" s="5">
        <v>1</v>
      </c>
      <c r="Z178" s="5">
        <v>3</v>
      </c>
    </row>
    <row r="179" spans="1:26" x14ac:dyDescent="0.35">
      <c r="A179">
        <v>178</v>
      </c>
      <c r="B179" s="10">
        <v>0.60784313725490191</v>
      </c>
      <c r="C179">
        <v>0</v>
      </c>
      <c r="D179">
        <v>0</v>
      </c>
      <c r="E179">
        <v>1</v>
      </c>
      <c r="F179">
        <v>0</v>
      </c>
      <c r="G179">
        <v>0</v>
      </c>
      <c r="H179">
        <v>3</v>
      </c>
      <c r="I179">
        <v>0</v>
      </c>
      <c r="J179" s="10">
        <v>0.40791152700978311</v>
      </c>
      <c r="K179">
        <v>0</v>
      </c>
      <c r="L179">
        <v>1</v>
      </c>
      <c r="M179">
        <v>0</v>
      </c>
      <c r="N179" s="10">
        <v>0.21675887970049523</v>
      </c>
      <c r="O179" s="11">
        <v>0.49741443489808651</v>
      </c>
      <c r="P179" s="10">
        <v>0.25</v>
      </c>
      <c r="Q179">
        <v>0</v>
      </c>
      <c r="R179">
        <v>0</v>
      </c>
      <c r="S179">
        <v>0</v>
      </c>
      <c r="T179">
        <v>0</v>
      </c>
      <c r="U179">
        <v>0</v>
      </c>
      <c r="V179" s="10">
        <v>4.507042253521127E-2</v>
      </c>
      <c r="W179" s="5">
        <v>3</v>
      </c>
      <c r="X179" s="5">
        <v>2</v>
      </c>
      <c r="Y179" s="5">
        <v>1</v>
      </c>
      <c r="Z179" s="5">
        <v>6</v>
      </c>
    </row>
    <row r="180" spans="1:26" x14ac:dyDescent="0.35">
      <c r="A180">
        <v>179</v>
      </c>
      <c r="B180" s="10">
        <v>0.15686274509803921</v>
      </c>
      <c r="C180">
        <v>0</v>
      </c>
      <c r="D180">
        <v>1</v>
      </c>
      <c r="E180">
        <v>0</v>
      </c>
      <c r="F180">
        <v>0</v>
      </c>
      <c r="G180">
        <v>0</v>
      </c>
      <c r="H180">
        <v>3</v>
      </c>
      <c r="I180">
        <v>0</v>
      </c>
      <c r="J180" s="10">
        <v>0.7754147171416419</v>
      </c>
      <c r="K180">
        <v>0</v>
      </c>
      <c r="L180">
        <v>1</v>
      </c>
      <c r="M180">
        <v>0</v>
      </c>
      <c r="N180" s="10">
        <v>0.11929839110963676</v>
      </c>
      <c r="O180" s="11">
        <v>0.4150787742208093</v>
      </c>
      <c r="P180" s="10">
        <v>0.125</v>
      </c>
      <c r="Q180">
        <v>0</v>
      </c>
      <c r="R180">
        <v>0</v>
      </c>
      <c r="S180">
        <v>0</v>
      </c>
      <c r="T180">
        <v>0</v>
      </c>
      <c r="U180">
        <v>0</v>
      </c>
      <c r="V180" s="10">
        <v>0.87887323943661977</v>
      </c>
      <c r="W180" s="5">
        <v>1</v>
      </c>
      <c r="X180" s="5">
        <v>1</v>
      </c>
      <c r="Y180" s="5">
        <v>1</v>
      </c>
      <c r="Z180" s="5">
        <v>3</v>
      </c>
    </row>
    <row r="181" spans="1:26" x14ac:dyDescent="0.35">
      <c r="A181">
        <v>180</v>
      </c>
      <c r="B181" s="10">
        <v>0.50980392156862742</v>
      </c>
      <c r="C181">
        <v>0</v>
      </c>
      <c r="D181">
        <v>1</v>
      </c>
      <c r="E181">
        <v>0</v>
      </c>
      <c r="F181">
        <v>0</v>
      </c>
      <c r="G181">
        <v>0</v>
      </c>
      <c r="H181">
        <v>2</v>
      </c>
      <c r="I181">
        <v>0</v>
      </c>
      <c r="J181" s="10">
        <v>0.1220757124627818</v>
      </c>
      <c r="K181">
        <v>0</v>
      </c>
      <c r="L181">
        <v>0</v>
      </c>
      <c r="M181">
        <v>1</v>
      </c>
      <c r="N181" s="10">
        <v>0.58530495462407894</v>
      </c>
      <c r="O181" s="11">
        <v>0.5708450586818361</v>
      </c>
      <c r="P181" s="10">
        <v>0.75</v>
      </c>
      <c r="Q181">
        <v>0</v>
      </c>
      <c r="R181">
        <v>0</v>
      </c>
      <c r="S181">
        <v>0</v>
      </c>
      <c r="T181">
        <v>0</v>
      </c>
      <c r="U181">
        <v>0</v>
      </c>
      <c r="V181" s="10">
        <v>5.3521126760563378E-2</v>
      </c>
      <c r="W181" s="5">
        <v>3</v>
      </c>
      <c r="X181" s="5">
        <v>2</v>
      </c>
      <c r="Y181" s="5">
        <v>3</v>
      </c>
      <c r="Z181" s="5">
        <v>8</v>
      </c>
    </row>
    <row r="182" spans="1:26" x14ac:dyDescent="0.35">
      <c r="A182">
        <v>181</v>
      </c>
      <c r="B182" s="10">
        <v>3.9215686274509803E-2</v>
      </c>
      <c r="C182">
        <v>0</v>
      </c>
      <c r="D182">
        <v>0</v>
      </c>
      <c r="E182">
        <v>0</v>
      </c>
      <c r="F182">
        <v>1</v>
      </c>
      <c r="G182">
        <v>0</v>
      </c>
      <c r="H182">
        <v>2</v>
      </c>
      <c r="I182">
        <v>0</v>
      </c>
      <c r="J182" s="10">
        <v>0.61207996597192693</v>
      </c>
      <c r="K182">
        <v>1</v>
      </c>
      <c r="L182">
        <v>0</v>
      </c>
      <c r="M182">
        <v>0</v>
      </c>
      <c r="N182" s="10">
        <v>0.20907281472881076</v>
      </c>
      <c r="O182" s="11">
        <v>0.72001448721302241</v>
      </c>
      <c r="P182" s="10">
        <v>0.125</v>
      </c>
      <c r="Q182">
        <v>0</v>
      </c>
      <c r="R182">
        <v>0</v>
      </c>
      <c r="S182">
        <v>0</v>
      </c>
      <c r="T182">
        <v>0</v>
      </c>
      <c r="U182">
        <v>0</v>
      </c>
      <c r="V182" s="10">
        <v>5.6338028169014086E-2</v>
      </c>
      <c r="W182" s="5">
        <v>3</v>
      </c>
      <c r="X182" s="5">
        <v>1</v>
      </c>
      <c r="Y182" s="5">
        <v>1</v>
      </c>
      <c r="Z182" s="5">
        <v>5</v>
      </c>
    </row>
    <row r="183" spans="1:26" x14ac:dyDescent="0.35">
      <c r="A183">
        <v>182</v>
      </c>
      <c r="B183" s="10">
        <v>5.8823529411764705E-2</v>
      </c>
      <c r="C183">
        <v>0</v>
      </c>
      <c r="D183">
        <v>1</v>
      </c>
      <c r="E183">
        <v>0</v>
      </c>
      <c r="F183">
        <v>0</v>
      </c>
      <c r="G183">
        <v>0</v>
      </c>
      <c r="H183">
        <v>2</v>
      </c>
      <c r="I183">
        <v>0</v>
      </c>
      <c r="J183" s="10">
        <v>0.65291365376435562</v>
      </c>
      <c r="K183">
        <v>0</v>
      </c>
      <c r="L183">
        <v>0</v>
      </c>
      <c r="M183">
        <v>1</v>
      </c>
      <c r="N183" s="10">
        <v>0.43890540956804019</v>
      </c>
      <c r="O183" s="11">
        <v>0.60027364735708977</v>
      </c>
      <c r="P183" s="10">
        <v>0.5</v>
      </c>
      <c r="Q183">
        <v>2</v>
      </c>
      <c r="R183">
        <v>0</v>
      </c>
      <c r="S183">
        <v>0</v>
      </c>
      <c r="T183">
        <v>1</v>
      </c>
      <c r="U183">
        <v>0</v>
      </c>
      <c r="V183" s="10">
        <v>0.19436619718309858</v>
      </c>
      <c r="W183" s="5">
        <v>2</v>
      </c>
      <c r="X183" s="5">
        <v>2</v>
      </c>
      <c r="Y183" s="5">
        <v>2</v>
      </c>
      <c r="Z183" s="5">
        <v>6</v>
      </c>
    </row>
    <row r="184" spans="1:26" x14ac:dyDescent="0.35">
      <c r="A184">
        <v>183</v>
      </c>
      <c r="B184" s="10">
        <v>0.86274509803921573</v>
      </c>
      <c r="C184">
        <v>0</v>
      </c>
      <c r="D184">
        <v>1</v>
      </c>
      <c r="E184">
        <v>0</v>
      </c>
      <c r="F184">
        <v>0</v>
      </c>
      <c r="G184">
        <v>0</v>
      </c>
      <c r="H184">
        <v>3</v>
      </c>
      <c r="I184">
        <v>1</v>
      </c>
      <c r="J184" s="10">
        <v>1</v>
      </c>
      <c r="K184">
        <v>0</v>
      </c>
      <c r="L184">
        <v>0</v>
      </c>
      <c r="M184">
        <v>1</v>
      </c>
      <c r="N184" s="10">
        <v>0.33340046916096011</v>
      </c>
      <c r="O184" s="11">
        <v>0.76154449787722089</v>
      </c>
      <c r="P184" s="10">
        <v>0.25</v>
      </c>
      <c r="Q184">
        <v>1</v>
      </c>
      <c r="R184">
        <v>0</v>
      </c>
      <c r="S184">
        <v>0</v>
      </c>
      <c r="T184">
        <v>1</v>
      </c>
      <c r="U184">
        <v>0</v>
      </c>
      <c r="V184" s="10">
        <v>0.19436619718309858</v>
      </c>
      <c r="W184" s="5">
        <v>2</v>
      </c>
      <c r="X184" s="5">
        <v>2</v>
      </c>
      <c r="Y184" s="5">
        <v>2</v>
      </c>
      <c r="Z184" s="5">
        <v>6</v>
      </c>
    </row>
    <row r="185" spans="1:26" x14ac:dyDescent="0.35">
      <c r="A185">
        <v>184</v>
      </c>
      <c r="B185" s="10">
        <v>0.27450980392156865</v>
      </c>
      <c r="C185">
        <v>1</v>
      </c>
      <c r="D185">
        <v>0</v>
      </c>
      <c r="E185">
        <v>0</v>
      </c>
      <c r="F185">
        <v>0</v>
      </c>
      <c r="G185">
        <v>1</v>
      </c>
      <c r="H185">
        <v>3</v>
      </c>
      <c r="I185">
        <v>0</v>
      </c>
      <c r="J185" s="10">
        <v>0.83666524883028492</v>
      </c>
      <c r="K185">
        <v>0</v>
      </c>
      <c r="L185">
        <v>0</v>
      </c>
      <c r="M185">
        <v>1</v>
      </c>
      <c r="N185" s="10">
        <v>2.5883823424875007E-2</v>
      </c>
      <c r="O185" s="11">
        <v>9.7778627336566129E-2</v>
      </c>
      <c r="P185" s="10">
        <v>0.125</v>
      </c>
      <c r="Q185">
        <v>0</v>
      </c>
      <c r="R185">
        <v>0</v>
      </c>
      <c r="S185">
        <v>0</v>
      </c>
      <c r="T185">
        <v>0</v>
      </c>
      <c r="U185">
        <v>0</v>
      </c>
      <c r="V185" s="10">
        <v>0.27042253521126758</v>
      </c>
      <c r="W185" s="5">
        <v>1</v>
      </c>
      <c r="X185" s="5">
        <v>1</v>
      </c>
      <c r="Y185" s="5">
        <v>1</v>
      </c>
      <c r="Z185" s="5">
        <v>3</v>
      </c>
    </row>
    <row r="186" spans="1:26" x14ac:dyDescent="0.35">
      <c r="A186">
        <v>185</v>
      </c>
      <c r="B186" s="10">
        <v>0.62745098039215685</v>
      </c>
      <c r="C186">
        <v>0</v>
      </c>
      <c r="D186">
        <v>0</v>
      </c>
      <c r="E186">
        <v>0</v>
      </c>
      <c r="F186">
        <v>0</v>
      </c>
      <c r="G186">
        <v>1</v>
      </c>
      <c r="H186">
        <v>2</v>
      </c>
      <c r="I186">
        <v>0</v>
      </c>
      <c r="J186" s="10">
        <v>8.1242024670353047E-2</v>
      </c>
      <c r="K186">
        <v>0</v>
      </c>
      <c r="L186">
        <v>0</v>
      </c>
      <c r="M186">
        <v>1</v>
      </c>
      <c r="N186" s="10">
        <v>0.37766568727341659</v>
      </c>
      <c r="O186" s="11">
        <v>0.43089062824872398</v>
      </c>
      <c r="P186" s="10">
        <v>0.625</v>
      </c>
      <c r="Q186">
        <v>2</v>
      </c>
      <c r="R186">
        <v>0</v>
      </c>
      <c r="S186">
        <v>1</v>
      </c>
      <c r="T186">
        <v>1</v>
      </c>
      <c r="U186">
        <v>0</v>
      </c>
      <c r="V186" s="10">
        <v>3.9436619718309862E-2</v>
      </c>
      <c r="W186" s="5">
        <v>3</v>
      </c>
      <c r="X186" s="5">
        <v>2</v>
      </c>
      <c r="Y186" s="5">
        <v>2</v>
      </c>
      <c r="Z186" s="5">
        <v>7</v>
      </c>
    </row>
    <row r="187" spans="1:26" x14ac:dyDescent="0.35">
      <c r="A187">
        <v>186</v>
      </c>
      <c r="B187" s="10">
        <v>7.8431372549019607E-2</v>
      </c>
      <c r="C187">
        <v>1</v>
      </c>
      <c r="D187">
        <v>0</v>
      </c>
      <c r="E187">
        <v>0</v>
      </c>
      <c r="F187">
        <v>1</v>
      </c>
      <c r="G187">
        <v>0</v>
      </c>
      <c r="H187">
        <v>3</v>
      </c>
      <c r="I187">
        <v>0</v>
      </c>
      <c r="J187" s="10">
        <v>0.71416418545299876</v>
      </c>
      <c r="K187">
        <v>1</v>
      </c>
      <c r="L187">
        <v>0</v>
      </c>
      <c r="M187">
        <v>0</v>
      </c>
      <c r="N187" s="10">
        <v>0.13360128426889081</v>
      </c>
      <c r="O187" s="11">
        <v>0.30910749377921753</v>
      </c>
      <c r="P187" s="10">
        <v>0.25</v>
      </c>
      <c r="Q187">
        <v>0</v>
      </c>
      <c r="R187">
        <v>0</v>
      </c>
      <c r="S187">
        <v>0</v>
      </c>
      <c r="T187">
        <v>0</v>
      </c>
      <c r="U187">
        <v>0</v>
      </c>
      <c r="V187" s="10">
        <v>0.56338028169014087</v>
      </c>
      <c r="W187" s="5">
        <v>1</v>
      </c>
      <c r="X187" s="5">
        <v>2</v>
      </c>
      <c r="Y187" s="5">
        <v>1</v>
      </c>
      <c r="Z187" s="5">
        <v>4</v>
      </c>
    </row>
    <row r="188" spans="1:26" x14ac:dyDescent="0.35">
      <c r="A188">
        <v>187</v>
      </c>
      <c r="B188" s="10">
        <v>5.8823529411764705E-2</v>
      </c>
      <c r="C188">
        <v>0</v>
      </c>
      <c r="D188">
        <v>0</v>
      </c>
      <c r="E188">
        <v>0</v>
      </c>
      <c r="F188">
        <v>0</v>
      </c>
      <c r="G188">
        <v>1</v>
      </c>
      <c r="H188">
        <v>2</v>
      </c>
      <c r="I188">
        <v>0</v>
      </c>
      <c r="J188" s="10">
        <v>0.61207996597192693</v>
      </c>
      <c r="K188">
        <v>1</v>
      </c>
      <c r="L188">
        <v>0</v>
      </c>
      <c r="M188">
        <v>0</v>
      </c>
      <c r="N188" s="10">
        <v>0.14911854607492356</v>
      </c>
      <c r="O188" s="11">
        <v>0.5163685386023863</v>
      </c>
      <c r="P188" s="10">
        <v>0.125</v>
      </c>
      <c r="Q188">
        <v>2</v>
      </c>
      <c r="R188">
        <v>0</v>
      </c>
      <c r="S188">
        <v>1</v>
      </c>
      <c r="T188">
        <v>0</v>
      </c>
      <c r="U188">
        <v>1</v>
      </c>
      <c r="V188" s="10">
        <v>0.14084507042253522</v>
      </c>
      <c r="W188" s="5">
        <v>2</v>
      </c>
      <c r="X188" s="5">
        <v>1</v>
      </c>
      <c r="Y188" s="5">
        <v>1</v>
      </c>
      <c r="Z188" s="5">
        <v>4</v>
      </c>
    </row>
    <row r="189" spans="1:26" x14ac:dyDescent="0.35">
      <c r="A189">
        <v>188</v>
      </c>
      <c r="B189" s="10">
        <v>0.88235294117647056</v>
      </c>
      <c r="C189">
        <v>1</v>
      </c>
      <c r="D189">
        <v>1</v>
      </c>
      <c r="E189">
        <v>0</v>
      </c>
      <c r="F189">
        <v>0</v>
      </c>
      <c r="G189">
        <v>0</v>
      </c>
      <c r="H189">
        <v>3</v>
      </c>
      <c r="I189">
        <v>0</v>
      </c>
      <c r="J189" s="10">
        <v>1</v>
      </c>
      <c r="K189">
        <v>1</v>
      </c>
      <c r="L189">
        <v>0</v>
      </c>
      <c r="M189">
        <v>0</v>
      </c>
      <c r="N189" s="10">
        <v>0.52083086510437648</v>
      </c>
      <c r="O189" s="11">
        <v>0.59298644506596387</v>
      </c>
      <c r="P189" s="10">
        <v>0.625</v>
      </c>
      <c r="Q189">
        <v>2</v>
      </c>
      <c r="R189">
        <v>1</v>
      </c>
      <c r="S189">
        <v>0</v>
      </c>
      <c r="T189">
        <v>1</v>
      </c>
      <c r="U189">
        <v>1</v>
      </c>
      <c r="V189" s="10">
        <v>8.4507042253521125E-2</v>
      </c>
      <c r="W189" s="5">
        <v>2</v>
      </c>
      <c r="X189" s="5">
        <v>2</v>
      </c>
      <c r="Y189" s="5">
        <v>3</v>
      </c>
      <c r="Z189" s="5">
        <v>7</v>
      </c>
    </row>
    <row r="190" spans="1:26" x14ac:dyDescent="0.35">
      <c r="A190">
        <v>189</v>
      </c>
      <c r="B190" s="10">
        <v>0.21568627450980393</v>
      </c>
      <c r="C190">
        <v>1</v>
      </c>
      <c r="D190">
        <v>1</v>
      </c>
      <c r="E190">
        <v>0</v>
      </c>
      <c r="F190">
        <v>0</v>
      </c>
      <c r="G190">
        <v>0</v>
      </c>
      <c r="H190">
        <v>3</v>
      </c>
      <c r="I190">
        <v>0</v>
      </c>
      <c r="J190" s="10">
        <v>0.83666524883028492</v>
      </c>
      <c r="K190">
        <v>1</v>
      </c>
      <c r="L190">
        <v>0</v>
      </c>
      <c r="M190">
        <v>0</v>
      </c>
      <c r="N190" s="10">
        <v>0.16724818140890454</v>
      </c>
      <c r="O190" s="11">
        <v>0.38529950300810878</v>
      </c>
      <c r="P190" s="10">
        <v>0.25</v>
      </c>
      <c r="Q190">
        <v>2</v>
      </c>
      <c r="R190">
        <v>1</v>
      </c>
      <c r="S190">
        <v>0</v>
      </c>
      <c r="T190">
        <v>1</v>
      </c>
      <c r="U190">
        <v>1</v>
      </c>
      <c r="V190" s="10">
        <v>0.50704225352112675</v>
      </c>
      <c r="W190" s="5">
        <v>1</v>
      </c>
      <c r="X190" s="5">
        <v>2</v>
      </c>
      <c r="Y190" s="5">
        <v>1</v>
      </c>
      <c r="Z190" s="5">
        <v>4</v>
      </c>
    </row>
    <row r="191" spans="1:26" x14ac:dyDescent="0.35">
      <c r="A191">
        <v>190</v>
      </c>
      <c r="B191" s="10">
        <v>0.43137254901960786</v>
      </c>
      <c r="C191">
        <v>1</v>
      </c>
      <c r="D191">
        <v>0</v>
      </c>
      <c r="E191">
        <v>0</v>
      </c>
      <c r="F191">
        <v>1</v>
      </c>
      <c r="G191">
        <v>0</v>
      </c>
      <c r="H191">
        <v>1</v>
      </c>
      <c r="I191">
        <v>1</v>
      </c>
      <c r="J191" s="10">
        <v>0.44874521480221186</v>
      </c>
      <c r="K191">
        <v>0</v>
      </c>
      <c r="L191">
        <v>1</v>
      </c>
      <c r="M191">
        <v>0</v>
      </c>
      <c r="N191" s="10">
        <v>0.41708231642300309</v>
      </c>
      <c r="O191" s="11">
        <v>0.40758796526518215</v>
      </c>
      <c r="P191" s="10">
        <v>0.75</v>
      </c>
      <c r="Q191">
        <v>1</v>
      </c>
      <c r="R191">
        <v>1</v>
      </c>
      <c r="S191">
        <v>0</v>
      </c>
      <c r="T191">
        <v>1</v>
      </c>
      <c r="U191">
        <v>0</v>
      </c>
      <c r="V191" s="10">
        <v>0.16619718309859155</v>
      </c>
      <c r="W191" s="5">
        <v>2</v>
      </c>
      <c r="X191" s="5">
        <v>2</v>
      </c>
      <c r="Y191" s="5">
        <v>2</v>
      </c>
      <c r="Z191" s="5">
        <v>6</v>
      </c>
    </row>
    <row r="192" spans="1:26" x14ac:dyDescent="0.35">
      <c r="A192">
        <v>191</v>
      </c>
      <c r="B192" s="10">
        <v>0.25490196078431371</v>
      </c>
      <c r="C192">
        <v>0</v>
      </c>
      <c r="D192">
        <v>1</v>
      </c>
      <c r="E192">
        <v>0</v>
      </c>
      <c r="F192">
        <v>0</v>
      </c>
      <c r="G192">
        <v>0</v>
      </c>
      <c r="H192">
        <v>1</v>
      </c>
      <c r="I192">
        <v>0</v>
      </c>
      <c r="J192" s="10">
        <v>4.0408336877924292E-2</v>
      </c>
      <c r="K192">
        <v>0</v>
      </c>
      <c r="L192">
        <v>1</v>
      </c>
      <c r="M192">
        <v>0</v>
      </c>
      <c r="N192" s="10">
        <v>0.57248596071369318</v>
      </c>
      <c r="O192" s="11">
        <v>0.55840445194355726</v>
      </c>
      <c r="P192" s="10">
        <v>0.75</v>
      </c>
      <c r="Q192">
        <v>2</v>
      </c>
      <c r="R192">
        <v>1</v>
      </c>
      <c r="S192">
        <v>0</v>
      </c>
      <c r="T192">
        <v>1</v>
      </c>
      <c r="U192">
        <v>1</v>
      </c>
      <c r="V192" s="10">
        <v>0.12957746478873239</v>
      </c>
      <c r="W192" s="5">
        <v>2</v>
      </c>
      <c r="X192" s="5">
        <v>2</v>
      </c>
      <c r="Y192" s="5">
        <v>3</v>
      </c>
      <c r="Z192" s="5">
        <v>7</v>
      </c>
    </row>
    <row r="193" spans="1:26" x14ac:dyDescent="0.35">
      <c r="A193">
        <v>192</v>
      </c>
      <c r="B193" s="10">
        <v>0.88235294117647056</v>
      </c>
      <c r="C193">
        <v>0</v>
      </c>
      <c r="D193">
        <v>0</v>
      </c>
      <c r="E193">
        <v>0</v>
      </c>
      <c r="F193">
        <v>1</v>
      </c>
      <c r="G193">
        <v>0</v>
      </c>
      <c r="H193">
        <v>2</v>
      </c>
      <c r="I193">
        <v>0</v>
      </c>
      <c r="J193" s="10">
        <v>0.24457677584006807</v>
      </c>
      <c r="K193">
        <v>0</v>
      </c>
      <c r="L193">
        <v>1</v>
      </c>
      <c r="M193">
        <v>0</v>
      </c>
      <c r="N193" s="10">
        <v>0.34438606260218468</v>
      </c>
      <c r="O193" s="11">
        <v>0.78642092060873114</v>
      </c>
      <c r="P193" s="10">
        <v>0.25</v>
      </c>
      <c r="Q193">
        <v>2</v>
      </c>
      <c r="R193">
        <v>1</v>
      </c>
      <c r="S193">
        <v>1</v>
      </c>
      <c r="T193">
        <v>0</v>
      </c>
      <c r="U193">
        <v>1</v>
      </c>
      <c r="V193" s="10">
        <v>6.4788732394366194E-2</v>
      </c>
      <c r="W193" s="5">
        <v>3</v>
      </c>
      <c r="X193" s="5">
        <v>2</v>
      </c>
      <c r="Y193" s="5">
        <v>2</v>
      </c>
      <c r="Z193" s="5">
        <v>7</v>
      </c>
    </row>
    <row r="194" spans="1:26" x14ac:dyDescent="0.35">
      <c r="A194">
        <v>193</v>
      </c>
      <c r="B194" s="10">
        <v>0.21568627450980393</v>
      </c>
      <c r="C194">
        <v>1</v>
      </c>
      <c r="D194">
        <v>0</v>
      </c>
      <c r="E194">
        <v>0</v>
      </c>
      <c r="F194">
        <v>0</v>
      </c>
      <c r="G194">
        <v>1</v>
      </c>
      <c r="H194">
        <v>1</v>
      </c>
      <c r="I194">
        <v>0</v>
      </c>
      <c r="J194" s="10">
        <v>0.6937473415567843</v>
      </c>
      <c r="K194">
        <v>0</v>
      </c>
      <c r="L194">
        <v>1</v>
      </c>
      <c r="M194">
        <v>0</v>
      </c>
      <c r="N194" s="10">
        <v>7.7168684690661779E-2</v>
      </c>
      <c r="O194" s="11">
        <v>0.54395460673252982</v>
      </c>
      <c r="P194" s="10">
        <v>0</v>
      </c>
      <c r="Q194">
        <v>2</v>
      </c>
      <c r="R194">
        <v>1</v>
      </c>
      <c r="S194">
        <v>0</v>
      </c>
      <c r="T194">
        <v>1</v>
      </c>
      <c r="U194">
        <v>1</v>
      </c>
      <c r="V194" s="10">
        <v>0.43661971830985913</v>
      </c>
      <c r="W194" s="5">
        <v>1</v>
      </c>
      <c r="X194" s="5">
        <v>1</v>
      </c>
      <c r="Y194" s="5">
        <v>1</v>
      </c>
      <c r="Z194" s="5">
        <v>3</v>
      </c>
    </row>
    <row r="195" spans="1:26" x14ac:dyDescent="0.35">
      <c r="A195">
        <v>194</v>
      </c>
      <c r="B195" s="10">
        <v>0.31372549019607843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3</v>
      </c>
      <c r="I195">
        <v>0</v>
      </c>
      <c r="J195" s="10">
        <v>0.6937473415567843</v>
      </c>
      <c r="K195">
        <v>0</v>
      </c>
      <c r="L195">
        <v>1</v>
      </c>
      <c r="M195">
        <v>0</v>
      </c>
      <c r="N195" s="10">
        <v>0.40849287965310521</v>
      </c>
      <c r="O195" s="11">
        <v>0.558952896436548</v>
      </c>
      <c r="P195" s="10">
        <v>0.5</v>
      </c>
      <c r="Q195">
        <v>0</v>
      </c>
      <c r="R195">
        <v>0</v>
      </c>
      <c r="S195">
        <v>0</v>
      </c>
      <c r="T195">
        <v>0</v>
      </c>
      <c r="U195">
        <v>0</v>
      </c>
      <c r="V195" s="10">
        <v>0.30985915492957744</v>
      </c>
      <c r="W195" s="5">
        <v>1</v>
      </c>
      <c r="X195" s="5">
        <v>2</v>
      </c>
      <c r="Y195" s="5">
        <v>2</v>
      </c>
      <c r="Z195" s="5">
        <v>5</v>
      </c>
    </row>
    <row r="196" spans="1:26" x14ac:dyDescent="0.35">
      <c r="A196">
        <v>195</v>
      </c>
      <c r="B196" s="10">
        <v>0.47058823529411764</v>
      </c>
      <c r="C196">
        <v>0</v>
      </c>
      <c r="D196">
        <v>0</v>
      </c>
      <c r="E196">
        <v>1</v>
      </c>
      <c r="F196">
        <v>0</v>
      </c>
      <c r="G196">
        <v>0</v>
      </c>
      <c r="H196">
        <v>2</v>
      </c>
      <c r="I196">
        <v>0</v>
      </c>
      <c r="J196" s="10">
        <v>0.28541046363249684</v>
      </c>
      <c r="K196">
        <v>0</v>
      </c>
      <c r="L196">
        <v>1</v>
      </c>
      <c r="M196">
        <v>0</v>
      </c>
      <c r="N196" s="10">
        <v>0.50408442527782382</v>
      </c>
      <c r="O196" s="11">
        <v>0.57402563431859799</v>
      </c>
      <c r="P196" s="10">
        <v>0.625</v>
      </c>
      <c r="Q196">
        <v>2</v>
      </c>
      <c r="R196">
        <v>1</v>
      </c>
      <c r="S196">
        <v>0</v>
      </c>
      <c r="T196">
        <v>1</v>
      </c>
      <c r="U196">
        <v>1</v>
      </c>
      <c r="V196" s="10">
        <v>0.49295774647887325</v>
      </c>
      <c r="W196" s="5">
        <v>1</v>
      </c>
      <c r="X196" s="5">
        <v>2</v>
      </c>
      <c r="Y196" s="5">
        <v>3</v>
      </c>
      <c r="Z196" s="5">
        <v>6</v>
      </c>
    </row>
    <row r="197" spans="1:26" x14ac:dyDescent="0.35">
      <c r="A197">
        <v>196</v>
      </c>
      <c r="B197" s="10">
        <v>0.56862745098039214</v>
      </c>
      <c r="C197">
        <v>1</v>
      </c>
      <c r="D197">
        <v>0</v>
      </c>
      <c r="E197">
        <v>0</v>
      </c>
      <c r="F197">
        <v>0</v>
      </c>
      <c r="G197">
        <v>1</v>
      </c>
      <c r="H197">
        <v>1</v>
      </c>
      <c r="I197">
        <v>0</v>
      </c>
      <c r="J197" s="10">
        <v>0.79583156103785624</v>
      </c>
      <c r="K197">
        <v>0</v>
      </c>
      <c r="L197">
        <v>1</v>
      </c>
      <c r="M197">
        <v>0</v>
      </c>
      <c r="N197" s="10">
        <v>0.62920882401724987</v>
      </c>
      <c r="O197" s="11">
        <v>0.53677136360892563</v>
      </c>
      <c r="P197" s="10">
        <v>0.875</v>
      </c>
      <c r="Q197">
        <v>2</v>
      </c>
      <c r="R197">
        <v>1</v>
      </c>
      <c r="S197">
        <v>1</v>
      </c>
      <c r="T197">
        <v>1</v>
      </c>
      <c r="U197">
        <v>0</v>
      </c>
      <c r="V197" s="10">
        <v>2.5352112676056339E-2</v>
      </c>
      <c r="W197" s="5">
        <v>3</v>
      </c>
      <c r="X197" s="5">
        <v>3</v>
      </c>
      <c r="Y197" s="5">
        <v>3</v>
      </c>
      <c r="Z197" s="5">
        <v>9</v>
      </c>
    </row>
    <row r="198" spans="1:26" x14ac:dyDescent="0.35">
      <c r="A198">
        <v>197</v>
      </c>
      <c r="B198" s="10">
        <v>0.41176470588235292</v>
      </c>
      <c r="C198">
        <v>0</v>
      </c>
      <c r="D198">
        <v>0</v>
      </c>
      <c r="E198">
        <v>1</v>
      </c>
      <c r="F198">
        <v>0</v>
      </c>
      <c r="G198">
        <v>0</v>
      </c>
      <c r="H198">
        <v>2</v>
      </c>
      <c r="I198">
        <v>1</v>
      </c>
      <c r="J198" s="10">
        <v>0.79583156103785624</v>
      </c>
      <c r="K198">
        <v>0</v>
      </c>
      <c r="L198">
        <v>0</v>
      </c>
      <c r="M198">
        <v>1</v>
      </c>
      <c r="N198" s="10">
        <v>0.2711981375731583</v>
      </c>
      <c r="O198" s="11">
        <v>0.46551741483732068</v>
      </c>
      <c r="P198" s="10">
        <v>0.375</v>
      </c>
      <c r="Q198">
        <v>2</v>
      </c>
      <c r="R198">
        <v>1</v>
      </c>
      <c r="S198">
        <v>1</v>
      </c>
      <c r="T198">
        <v>1</v>
      </c>
      <c r="U198">
        <v>0</v>
      </c>
      <c r="V198" s="10">
        <v>6.4788732394366194E-2</v>
      </c>
      <c r="W198" s="5">
        <v>3</v>
      </c>
      <c r="X198" s="5">
        <v>2</v>
      </c>
      <c r="Y198" s="5">
        <v>2</v>
      </c>
      <c r="Z198" s="5">
        <v>7</v>
      </c>
    </row>
    <row r="199" spans="1:26" x14ac:dyDescent="0.35">
      <c r="A199">
        <v>198</v>
      </c>
      <c r="B199" s="10">
        <v>0.90196078431372551</v>
      </c>
      <c r="C199">
        <v>1</v>
      </c>
      <c r="D199">
        <v>0</v>
      </c>
      <c r="E199">
        <v>1</v>
      </c>
      <c r="F199">
        <v>0</v>
      </c>
      <c r="G199">
        <v>0</v>
      </c>
      <c r="H199">
        <v>2</v>
      </c>
      <c r="I199">
        <v>0</v>
      </c>
      <c r="J199" s="10">
        <v>0.91833262441514252</v>
      </c>
      <c r="K199">
        <v>0</v>
      </c>
      <c r="L199">
        <v>0</v>
      </c>
      <c r="M199">
        <v>1</v>
      </c>
      <c r="N199" s="10">
        <v>0.42990131033338852</v>
      </c>
      <c r="O199" s="11">
        <v>0.42002857200346078</v>
      </c>
      <c r="P199" s="10">
        <v>0.75</v>
      </c>
      <c r="Q199">
        <v>0</v>
      </c>
      <c r="R199">
        <v>0</v>
      </c>
      <c r="S199">
        <v>0</v>
      </c>
      <c r="T199">
        <v>0</v>
      </c>
      <c r="U199">
        <v>0</v>
      </c>
      <c r="V199" s="10">
        <v>0.10704225352112676</v>
      </c>
      <c r="W199" s="5">
        <v>2</v>
      </c>
      <c r="X199" s="5">
        <v>2</v>
      </c>
      <c r="Y199" s="5">
        <v>2</v>
      </c>
      <c r="Z199" s="5">
        <v>6</v>
      </c>
    </row>
    <row r="200" spans="1:26" x14ac:dyDescent="0.35">
      <c r="A200">
        <v>199</v>
      </c>
      <c r="B200" s="10">
        <v>0.49019607843137253</v>
      </c>
      <c r="C200">
        <v>1</v>
      </c>
      <c r="D200">
        <v>0</v>
      </c>
      <c r="E200">
        <v>1</v>
      </c>
      <c r="F200">
        <v>0</v>
      </c>
      <c r="G200">
        <v>0</v>
      </c>
      <c r="H200">
        <v>3</v>
      </c>
      <c r="I200">
        <v>0</v>
      </c>
      <c r="J200" s="10">
        <v>0.1220757124627818</v>
      </c>
      <c r="K200">
        <v>0</v>
      </c>
      <c r="L200">
        <v>1</v>
      </c>
      <c r="M200">
        <v>0</v>
      </c>
      <c r="N200" s="10">
        <v>0.37332950264199227</v>
      </c>
      <c r="O200" s="11">
        <v>0.425981072724468</v>
      </c>
      <c r="P200" s="10">
        <v>0.625</v>
      </c>
      <c r="Q200">
        <v>2</v>
      </c>
      <c r="R200">
        <v>1</v>
      </c>
      <c r="S200">
        <v>1</v>
      </c>
      <c r="T200">
        <v>0</v>
      </c>
      <c r="U200">
        <v>1</v>
      </c>
      <c r="V200" s="10">
        <v>0.11267605633802817</v>
      </c>
      <c r="W200" s="5">
        <v>2</v>
      </c>
      <c r="X200" s="5">
        <v>2</v>
      </c>
      <c r="Y200" s="5">
        <v>2</v>
      </c>
      <c r="Z200" s="5">
        <v>6</v>
      </c>
    </row>
    <row r="201" spans="1:26" x14ac:dyDescent="0.35">
      <c r="A201">
        <v>200</v>
      </c>
      <c r="B201" s="10">
        <v>0.31372549019607843</v>
      </c>
      <c r="C201">
        <v>0</v>
      </c>
      <c r="D201">
        <v>1</v>
      </c>
      <c r="E201">
        <v>0</v>
      </c>
      <c r="F201">
        <v>0</v>
      </c>
      <c r="G201">
        <v>0</v>
      </c>
      <c r="H201">
        <v>1</v>
      </c>
      <c r="I201">
        <v>0</v>
      </c>
      <c r="J201" s="10">
        <v>0.16290940025521056</v>
      </c>
      <c r="K201">
        <v>0</v>
      </c>
      <c r="L201">
        <v>0</v>
      </c>
      <c r="M201">
        <v>1</v>
      </c>
      <c r="N201" s="10">
        <v>0.50122621614577156</v>
      </c>
      <c r="O201" s="11">
        <v>0.57078948603928992</v>
      </c>
      <c r="P201" s="10">
        <v>0.625</v>
      </c>
      <c r="Q201">
        <v>2</v>
      </c>
      <c r="R201">
        <v>0</v>
      </c>
      <c r="S201">
        <v>1</v>
      </c>
      <c r="T201">
        <v>1</v>
      </c>
      <c r="U201">
        <v>0</v>
      </c>
      <c r="V201" s="10">
        <v>0.16056338028169015</v>
      </c>
      <c r="W201" s="5">
        <v>2</v>
      </c>
      <c r="X201" s="5">
        <v>2</v>
      </c>
      <c r="Y201" s="5">
        <v>3</v>
      </c>
      <c r="Z201" s="5">
        <v>7</v>
      </c>
    </row>
    <row r="202" spans="1:26" x14ac:dyDescent="0.35">
      <c r="A202">
        <v>201</v>
      </c>
      <c r="B202" s="10">
        <v>0.37254901960784315</v>
      </c>
      <c r="C202">
        <v>1</v>
      </c>
      <c r="D202">
        <v>0</v>
      </c>
      <c r="E202">
        <v>1</v>
      </c>
      <c r="F202">
        <v>0</v>
      </c>
      <c r="G202">
        <v>0</v>
      </c>
      <c r="H202">
        <v>3</v>
      </c>
      <c r="I202">
        <v>1</v>
      </c>
      <c r="J202" s="10">
        <v>0.55082943428328379</v>
      </c>
      <c r="K202">
        <v>0</v>
      </c>
      <c r="L202">
        <v>0</v>
      </c>
      <c r="M202">
        <v>1</v>
      </c>
      <c r="N202" s="10">
        <v>0.28042437741392789</v>
      </c>
      <c r="O202" s="11">
        <v>0.64158232560011264</v>
      </c>
      <c r="P202" s="10">
        <v>0.25</v>
      </c>
      <c r="Q202">
        <v>2</v>
      </c>
      <c r="R202">
        <v>1</v>
      </c>
      <c r="S202">
        <v>0</v>
      </c>
      <c r="T202">
        <v>1</v>
      </c>
      <c r="U202">
        <v>1</v>
      </c>
      <c r="V202" s="10">
        <v>0.81690140845070425</v>
      </c>
      <c r="W202" s="5">
        <v>1</v>
      </c>
      <c r="X202" s="5">
        <v>2</v>
      </c>
      <c r="Y202" s="5">
        <v>2</v>
      </c>
      <c r="Z202" s="5">
        <v>5</v>
      </c>
    </row>
    <row r="203" spans="1:26" x14ac:dyDescent="0.35">
      <c r="A203">
        <v>202</v>
      </c>
      <c r="B203" s="10">
        <v>0.6470588235294118</v>
      </c>
      <c r="C203">
        <v>0</v>
      </c>
      <c r="D203">
        <v>0</v>
      </c>
      <c r="E203">
        <v>0</v>
      </c>
      <c r="F203">
        <v>0</v>
      </c>
      <c r="G203">
        <v>1</v>
      </c>
      <c r="H203">
        <v>2</v>
      </c>
      <c r="I203">
        <v>0</v>
      </c>
      <c r="J203" s="10">
        <v>0.24457677584006807</v>
      </c>
      <c r="K203">
        <v>1</v>
      </c>
      <c r="L203">
        <v>0</v>
      </c>
      <c r="M203">
        <v>0</v>
      </c>
      <c r="N203" s="10">
        <v>9.6669668033078207E-2</v>
      </c>
      <c r="O203" s="11">
        <v>0.67643212137065134</v>
      </c>
      <c r="P203" s="10">
        <v>0</v>
      </c>
      <c r="Q203">
        <v>2</v>
      </c>
      <c r="R203">
        <v>0</v>
      </c>
      <c r="S203">
        <v>0</v>
      </c>
      <c r="T203">
        <v>1</v>
      </c>
      <c r="U203">
        <v>1</v>
      </c>
      <c r="V203" s="10">
        <v>0.56338028169014087</v>
      </c>
      <c r="W203" s="5">
        <v>1</v>
      </c>
      <c r="X203" s="5">
        <v>1</v>
      </c>
      <c r="Y203" s="5">
        <v>1</v>
      </c>
      <c r="Z203" s="5">
        <v>3</v>
      </c>
    </row>
    <row r="204" spans="1:26" x14ac:dyDescent="0.35">
      <c r="A204">
        <v>203</v>
      </c>
      <c r="B204" s="10">
        <v>0.78431372549019607</v>
      </c>
      <c r="C204">
        <v>0</v>
      </c>
      <c r="D204">
        <v>0</v>
      </c>
      <c r="E204">
        <v>0</v>
      </c>
      <c r="F204">
        <v>1</v>
      </c>
      <c r="G204">
        <v>0</v>
      </c>
      <c r="H204">
        <v>2</v>
      </c>
      <c r="I204">
        <v>0</v>
      </c>
      <c r="J204" s="10">
        <v>0.42832837090599751</v>
      </c>
      <c r="K204">
        <v>0</v>
      </c>
      <c r="L204">
        <v>1</v>
      </c>
      <c r="M204">
        <v>0</v>
      </c>
      <c r="N204" s="10">
        <v>0.52072719948818791</v>
      </c>
      <c r="O204" s="11">
        <v>0.59286907181230997</v>
      </c>
      <c r="P204" s="10">
        <v>0.625</v>
      </c>
      <c r="Q204">
        <v>2</v>
      </c>
      <c r="R204">
        <v>0</v>
      </c>
      <c r="S204">
        <v>1</v>
      </c>
      <c r="T204">
        <v>0</v>
      </c>
      <c r="U204">
        <v>0</v>
      </c>
      <c r="V204" s="10">
        <v>3.6619718309859155E-2</v>
      </c>
      <c r="W204" s="5">
        <v>3</v>
      </c>
      <c r="X204" s="5">
        <v>2</v>
      </c>
      <c r="Y204" s="5">
        <v>3</v>
      </c>
      <c r="Z204" s="5">
        <v>8</v>
      </c>
    </row>
    <row r="205" spans="1:26" x14ac:dyDescent="0.35">
      <c r="A205">
        <v>204</v>
      </c>
      <c r="B205" s="10">
        <v>0.62745098039215685</v>
      </c>
      <c r="C205">
        <v>0</v>
      </c>
      <c r="D205">
        <v>0</v>
      </c>
      <c r="E205">
        <v>0</v>
      </c>
      <c r="F205">
        <v>0</v>
      </c>
      <c r="G205">
        <v>1</v>
      </c>
      <c r="H205">
        <v>2</v>
      </c>
      <c r="I205">
        <v>0</v>
      </c>
      <c r="J205" s="10">
        <v>0.7754147171416419</v>
      </c>
      <c r="K205">
        <v>0</v>
      </c>
      <c r="L205">
        <v>0</v>
      </c>
      <c r="M205">
        <v>1</v>
      </c>
      <c r="N205" s="10">
        <v>0.13160794256332486</v>
      </c>
      <c r="O205" s="11">
        <v>0.45689048069377652</v>
      </c>
      <c r="P205" s="10">
        <v>0.125</v>
      </c>
      <c r="Q205">
        <v>2</v>
      </c>
      <c r="R205">
        <v>1</v>
      </c>
      <c r="S205">
        <v>0</v>
      </c>
      <c r="T205">
        <v>0</v>
      </c>
      <c r="U205">
        <v>1</v>
      </c>
      <c r="V205" s="10">
        <v>0.38873239436619716</v>
      </c>
      <c r="W205" s="5">
        <v>1</v>
      </c>
      <c r="X205" s="5">
        <v>1</v>
      </c>
      <c r="Y205" s="5">
        <v>1</v>
      </c>
      <c r="Z205" s="5">
        <v>3</v>
      </c>
    </row>
    <row r="206" spans="1:26" x14ac:dyDescent="0.35">
      <c r="A206">
        <v>205</v>
      </c>
      <c r="B206" s="10">
        <v>0.70588235294117652</v>
      </c>
      <c r="C206">
        <v>0</v>
      </c>
      <c r="D206">
        <v>0</v>
      </c>
      <c r="E206">
        <v>0</v>
      </c>
      <c r="F206">
        <v>1</v>
      </c>
      <c r="G206">
        <v>0</v>
      </c>
      <c r="H206">
        <v>1</v>
      </c>
      <c r="I206">
        <v>0</v>
      </c>
      <c r="J206" s="10">
        <v>8.1242024670353047E-2</v>
      </c>
      <c r="K206">
        <v>1</v>
      </c>
      <c r="L206">
        <v>0</v>
      </c>
      <c r="M206">
        <v>0</v>
      </c>
      <c r="N206" s="10">
        <v>0.21685958344193537</v>
      </c>
      <c r="O206" s="11">
        <v>0.37323185577174584</v>
      </c>
      <c r="P206" s="10">
        <v>0.375</v>
      </c>
      <c r="Q206">
        <v>0</v>
      </c>
      <c r="R206">
        <v>0</v>
      </c>
      <c r="S206">
        <v>0</v>
      </c>
      <c r="T206">
        <v>0</v>
      </c>
      <c r="U206">
        <v>0</v>
      </c>
      <c r="V206" s="10">
        <v>1.9718309859154931E-2</v>
      </c>
      <c r="W206" s="5">
        <v>3</v>
      </c>
      <c r="X206" s="5">
        <v>2</v>
      </c>
      <c r="Y206" s="5">
        <v>1</v>
      </c>
      <c r="Z206" s="5">
        <v>6</v>
      </c>
    </row>
    <row r="207" spans="1:26" x14ac:dyDescent="0.35">
      <c r="A207">
        <v>206</v>
      </c>
      <c r="B207" s="10">
        <v>0.11764705882352941</v>
      </c>
      <c r="C207">
        <v>1</v>
      </c>
      <c r="D207">
        <v>0</v>
      </c>
      <c r="E207">
        <v>0</v>
      </c>
      <c r="F207">
        <v>0</v>
      </c>
      <c r="G207">
        <v>1</v>
      </c>
      <c r="H207">
        <v>3</v>
      </c>
      <c r="I207">
        <v>0</v>
      </c>
      <c r="J207" s="10">
        <v>0.509995746490855</v>
      </c>
      <c r="K207">
        <v>1</v>
      </c>
      <c r="L207">
        <v>0</v>
      </c>
      <c r="M207">
        <v>0</v>
      </c>
      <c r="N207" s="10">
        <v>2.6591711489704521E-2</v>
      </c>
      <c r="O207" s="11">
        <v>0.20036620455139942</v>
      </c>
      <c r="P207" s="10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 s="10">
        <v>0.30704225352112674</v>
      </c>
      <c r="W207" s="5">
        <v>1</v>
      </c>
      <c r="X207" s="5">
        <v>1</v>
      </c>
      <c r="Y207" s="5">
        <v>1</v>
      </c>
      <c r="Z207" s="5">
        <v>3</v>
      </c>
    </row>
    <row r="208" spans="1:26" x14ac:dyDescent="0.35">
      <c r="A208">
        <v>207</v>
      </c>
      <c r="B208" s="10">
        <v>0.41176470588235292</v>
      </c>
      <c r="C208">
        <v>0</v>
      </c>
      <c r="D208">
        <v>0</v>
      </c>
      <c r="E208">
        <v>0</v>
      </c>
      <c r="F208">
        <v>1</v>
      </c>
      <c r="G208">
        <v>0</v>
      </c>
      <c r="H208">
        <v>3</v>
      </c>
      <c r="I208">
        <v>0</v>
      </c>
      <c r="J208" s="10">
        <v>0.87749893662271372</v>
      </c>
      <c r="K208">
        <v>0</v>
      </c>
      <c r="L208">
        <v>1</v>
      </c>
      <c r="M208">
        <v>0</v>
      </c>
      <c r="N208" s="10">
        <v>0.52998898182593646</v>
      </c>
      <c r="O208" s="11">
        <v>0.45251665023441112</v>
      </c>
      <c r="P208" s="10">
        <v>0.875</v>
      </c>
      <c r="Q208">
        <v>0</v>
      </c>
      <c r="R208">
        <v>0</v>
      </c>
      <c r="S208">
        <v>0</v>
      </c>
      <c r="T208">
        <v>0</v>
      </c>
      <c r="U208">
        <v>0</v>
      </c>
      <c r="V208" s="10">
        <v>9.8591549295774641E-2</v>
      </c>
      <c r="W208" s="5">
        <v>2</v>
      </c>
      <c r="X208" s="5">
        <v>3</v>
      </c>
      <c r="Y208" s="5">
        <v>3</v>
      </c>
      <c r="Z208" s="5">
        <v>8</v>
      </c>
    </row>
    <row r="209" spans="1:26" x14ac:dyDescent="0.35">
      <c r="A209">
        <v>208</v>
      </c>
      <c r="B209" s="10">
        <v>0.60784313725490191</v>
      </c>
      <c r="C209">
        <v>0</v>
      </c>
      <c r="D209">
        <v>0</v>
      </c>
      <c r="E209">
        <v>0</v>
      </c>
      <c r="F209">
        <v>0</v>
      </c>
      <c r="G209">
        <v>1</v>
      </c>
      <c r="H209">
        <v>1</v>
      </c>
      <c r="I209">
        <v>0</v>
      </c>
      <c r="J209" s="10">
        <v>0.48957890259464065</v>
      </c>
      <c r="K209">
        <v>0</v>
      </c>
      <c r="L209">
        <v>0</v>
      </c>
      <c r="M209">
        <v>1</v>
      </c>
      <c r="N209" s="10">
        <v>0.12649870862260976</v>
      </c>
      <c r="O209" s="11">
        <v>0.43953600676069937</v>
      </c>
      <c r="P209" s="10">
        <v>0.125</v>
      </c>
      <c r="Q209">
        <v>0</v>
      </c>
      <c r="R209">
        <v>0</v>
      </c>
      <c r="S209">
        <v>0</v>
      </c>
      <c r="T209">
        <v>0</v>
      </c>
      <c r="U209">
        <v>0</v>
      </c>
      <c r="V209" s="10">
        <v>0.82535211267605635</v>
      </c>
      <c r="W209" s="5">
        <v>1</v>
      </c>
      <c r="X209" s="5">
        <v>1</v>
      </c>
      <c r="Y209" s="5">
        <v>1</v>
      </c>
      <c r="Z209" s="5">
        <v>3</v>
      </c>
    </row>
    <row r="210" spans="1:26" x14ac:dyDescent="0.35">
      <c r="A210">
        <v>209</v>
      </c>
      <c r="B210" s="10">
        <v>0.25490196078431371</v>
      </c>
      <c r="C210">
        <v>0</v>
      </c>
      <c r="D210">
        <v>0</v>
      </c>
      <c r="E210">
        <v>0</v>
      </c>
      <c r="F210">
        <v>1</v>
      </c>
      <c r="G210">
        <v>0</v>
      </c>
      <c r="H210">
        <v>3</v>
      </c>
      <c r="I210">
        <v>0</v>
      </c>
      <c r="J210" s="10">
        <v>0.24457677584006807</v>
      </c>
      <c r="K210">
        <v>1</v>
      </c>
      <c r="L210">
        <v>0</v>
      </c>
      <c r="M210">
        <v>0</v>
      </c>
      <c r="N210" s="10">
        <v>0.39045210056157142</v>
      </c>
      <c r="O210" s="11">
        <v>0.66805167105977981</v>
      </c>
      <c r="P210" s="10">
        <v>0.375</v>
      </c>
      <c r="Q210">
        <v>0</v>
      </c>
      <c r="R210">
        <v>0</v>
      </c>
      <c r="S210">
        <v>0</v>
      </c>
      <c r="T210">
        <v>0</v>
      </c>
      <c r="U210">
        <v>0</v>
      </c>
      <c r="V210" s="10">
        <v>7.3239436619718309E-2</v>
      </c>
      <c r="W210" s="5">
        <v>3</v>
      </c>
      <c r="X210" s="5">
        <v>2</v>
      </c>
      <c r="Y210" s="5">
        <v>2</v>
      </c>
      <c r="Z210" s="5">
        <v>7</v>
      </c>
    </row>
    <row r="211" spans="1:26" x14ac:dyDescent="0.35">
      <c r="A211">
        <v>210</v>
      </c>
      <c r="B211" s="10">
        <v>0.13725490196078433</v>
      </c>
      <c r="C211">
        <v>1</v>
      </c>
      <c r="D211">
        <v>0</v>
      </c>
      <c r="E211">
        <v>1</v>
      </c>
      <c r="F211">
        <v>0</v>
      </c>
      <c r="G211">
        <v>0</v>
      </c>
      <c r="H211">
        <v>3</v>
      </c>
      <c r="I211">
        <v>0</v>
      </c>
      <c r="J211" s="10">
        <v>0.59166312207571248</v>
      </c>
      <c r="K211">
        <v>0</v>
      </c>
      <c r="L211">
        <v>0</v>
      </c>
      <c r="M211">
        <v>1</v>
      </c>
      <c r="N211" s="10">
        <v>0.50869310238608623</v>
      </c>
      <c r="O211" s="11">
        <v>0.49649461184904553</v>
      </c>
      <c r="P211" s="10">
        <v>0.75</v>
      </c>
      <c r="Q211">
        <v>0</v>
      </c>
      <c r="R211">
        <v>0</v>
      </c>
      <c r="S211">
        <v>0</v>
      </c>
      <c r="T211">
        <v>0</v>
      </c>
      <c r="U211">
        <v>0</v>
      </c>
      <c r="V211" s="10">
        <v>0.20563380281690141</v>
      </c>
      <c r="W211" s="5">
        <v>2</v>
      </c>
      <c r="X211" s="5">
        <v>2</v>
      </c>
      <c r="Y211" s="5">
        <v>3</v>
      </c>
      <c r="Z211" s="5">
        <v>7</v>
      </c>
    </row>
    <row r="212" spans="1:26" x14ac:dyDescent="0.35">
      <c r="A212">
        <v>211</v>
      </c>
      <c r="B212" s="10">
        <v>0.47058823529411764</v>
      </c>
      <c r="C212">
        <v>1</v>
      </c>
      <c r="D212">
        <v>0</v>
      </c>
      <c r="E212">
        <v>0</v>
      </c>
      <c r="F212">
        <v>1</v>
      </c>
      <c r="G212">
        <v>0</v>
      </c>
      <c r="H212">
        <v>2</v>
      </c>
      <c r="I212">
        <v>0</v>
      </c>
      <c r="J212" s="10">
        <v>0.71416418545299876</v>
      </c>
      <c r="K212">
        <v>0</v>
      </c>
      <c r="L212">
        <v>0</v>
      </c>
      <c r="M212">
        <v>1</v>
      </c>
      <c r="N212" s="10">
        <v>0.35910065635144423</v>
      </c>
      <c r="O212" s="11">
        <v>0.40987075528011968</v>
      </c>
      <c r="P212" s="10">
        <v>0.625</v>
      </c>
      <c r="Q212">
        <v>0</v>
      </c>
      <c r="R212">
        <v>0</v>
      </c>
      <c r="S212">
        <v>0</v>
      </c>
      <c r="T212">
        <v>0</v>
      </c>
      <c r="U212">
        <v>0</v>
      </c>
      <c r="V212" s="10">
        <v>3.9436619718309862E-2</v>
      </c>
      <c r="W212" s="5">
        <v>3</v>
      </c>
      <c r="X212" s="5">
        <v>2</v>
      </c>
      <c r="Y212" s="5">
        <v>2</v>
      </c>
      <c r="Z212" s="5">
        <v>7</v>
      </c>
    </row>
    <row r="213" spans="1:26" x14ac:dyDescent="0.35">
      <c r="A213">
        <v>212</v>
      </c>
      <c r="B213" s="10">
        <v>0.29411764705882354</v>
      </c>
      <c r="C213">
        <v>0</v>
      </c>
      <c r="D213">
        <v>0</v>
      </c>
      <c r="E213">
        <v>1</v>
      </c>
      <c r="F213">
        <v>0</v>
      </c>
      <c r="G213">
        <v>0</v>
      </c>
      <c r="H213">
        <v>2</v>
      </c>
      <c r="I213">
        <v>0</v>
      </c>
      <c r="J213" s="10">
        <v>0.75499787324542744</v>
      </c>
      <c r="K213">
        <v>0</v>
      </c>
      <c r="L213">
        <v>1</v>
      </c>
      <c r="M213">
        <v>0</v>
      </c>
      <c r="N213" s="10">
        <v>0.30738632324716253</v>
      </c>
      <c r="O213" s="11">
        <v>0.30112994512680624</v>
      </c>
      <c r="P213" s="10">
        <v>0.75</v>
      </c>
      <c r="Q213">
        <v>1</v>
      </c>
      <c r="R213">
        <v>0</v>
      </c>
      <c r="S213">
        <v>0</v>
      </c>
      <c r="T213">
        <v>0</v>
      </c>
      <c r="U213">
        <v>1</v>
      </c>
      <c r="V213" s="10">
        <v>8.4507042253521118E-3</v>
      </c>
      <c r="W213" s="5">
        <v>3</v>
      </c>
      <c r="X213" s="5">
        <v>2</v>
      </c>
      <c r="Y213" s="5">
        <v>2</v>
      </c>
      <c r="Z213" s="5">
        <v>7</v>
      </c>
    </row>
    <row r="214" spans="1:26" x14ac:dyDescent="0.35">
      <c r="A214">
        <v>213</v>
      </c>
      <c r="B214" s="10">
        <v>0.80392156862745101</v>
      </c>
      <c r="C214">
        <v>0</v>
      </c>
      <c r="D214">
        <v>0</v>
      </c>
      <c r="E214">
        <v>0</v>
      </c>
      <c r="F214">
        <v>0</v>
      </c>
      <c r="G214">
        <v>1</v>
      </c>
      <c r="H214">
        <v>2</v>
      </c>
      <c r="I214">
        <v>1</v>
      </c>
      <c r="J214" s="10">
        <v>0.61207996597192693</v>
      </c>
      <c r="K214">
        <v>0</v>
      </c>
      <c r="L214">
        <v>1</v>
      </c>
      <c r="M214">
        <v>0</v>
      </c>
      <c r="N214" s="10">
        <v>0.61698516693126071</v>
      </c>
      <c r="O214" s="11">
        <v>0.60159014409602951</v>
      </c>
      <c r="P214" s="10">
        <v>0.75</v>
      </c>
      <c r="Q214">
        <v>1</v>
      </c>
      <c r="R214">
        <v>0</v>
      </c>
      <c r="S214">
        <v>1</v>
      </c>
      <c r="T214">
        <v>0</v>
      </c>
      <c r="U214">
        <v>0</v>
      </c>
      <c r="V214" s="10">
        <v>1.6901408450704224E-2</v>
      </c>
      <c r="W214" s="5">
        <v>3</v>
      </c>
      <c r="X214" s="5">
        <v>2</v>
      </c>
      <c r="Y214" s="5">
        <v>3</v>
      </c>
      <c r="Z214" s="5">
        <v>8</v>
      </c>
    </row>
    <row r="215" spans="1:26" x14ac:dyDescent="0.35">
      <c r="A215">
        <v>214</v>
      </c>
      <c r="B215" s="10">
        <v>0.35294117647058826</v>
      </c>
      <c r="C215">
        <v>0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</v>
      </c>
      <c r="J215" s="10">
        <v>0.83666524883028492</v>
      </c>
      <c r="K215">
        <v>0</v>
      </c>
      <c r="L215">
        <v>0</v>
      </c>
      <c r="M215">
        <v>1</v>
      </c>
      <c r="N215" s="10">
        <v>0.21452858801507002</v>
      </c>
      <c r="O215" s="11">
        <v>0.73854604720416905</v>
      </c>
      <c r="P215" s="10">
        <v>0.125</v>
      </c>
      <c r="Q215">
        <v>0</v>
      </c>
      <c r="R215">
        <v>0</v>
      </c>
      <c r="S215">
        <v>0</v>
      </c>
      <c r="T215">
        <v>0</v>
      </c>
      <c r="U215">
        <v>0</v>
      </c>
      <c r="V215" s="10">
        <v>0.83098591549295775</v>
      </c>
      <c r="W215" s="5">
        <v>1</v>
      </c>
      <c r="X215" s="5">
        <v>1</v>
      </c>
      <c r="Y215" s="5">
        <v>1</v>
      </c>
      <c r="Z215" s="5">
        <v>3</v>
      </c>
    </row>
    <row r="216" spans="1:26" x14ac:dyDescent="0.35">
      <c r="A216">
        <v>215</v>
      </c>
      <c r="B216" s="10">
        <v>0.78431372549019607</v>
      </c>
      <c r="C216">
        <v>0</v>
      </c>
      <c r="D216">
        <v>0</v>
      </c>
      <c r="E216">
        <v>0</v>
      </c>
      <c r="F216">
        <v>1</v>
      </c>
      <c r="G216">
        <v>0</v>
      </c>
      <c r="H216">
        <v>2</v>
      </c>
      <c r="I216">
        <v>0</v>
      </c>
      <c r="J216" s="10">
        <v>0.85708209272649938</v>
      </c>
      <c r="K216">
        <v>0</v>
      </c>
      <c r="L216">
        <v>0</v>
      </c>
      <c r="M216">
        <v>1</v>
      </c>
      <c r="N216" s="10">
        <v>0.39508447266781976</v>
      </c>
      <c r="O216" s="11">
        <v>0.45061268838407204</v>
      </c>
      <c r="P216" s="10">
        <v>0.625</v>
      </c>
      <c r="Q216">
        <v>2</v>
      </c>
      <c r="R216">
        <v>1</v>
      </c>
      <c r="S216">
        <v>1</v>
      </c>
      <c r="T216">
        <v>1</v>
      </c>
      <c r="U216">
        <v>0</v>
      </c>
      <c r="V216" s="10">
        <v>4.507042253521127E-2</v>
      </c>
      <c r="W216" s="5">
        <v>3</v>
      </c>
      <c r="X216" s="5">
        <v>2</v>
      </c>
      <c r="Y216" s="5">
        <v>2</v>
      </c>
      <c r="Z216" s="5">
        <v>7</v>
      </c>
    </row>
    <row r="217" spans="1:26" x14ac:dyDescent="0.35">
      <c r="A217">
        <v>216</v>
      </c>
      <c r="B217" s="10">
        <v>0.29411764705882354</v>
      </c>
      <c r="C217">
        <v>0</v>
      </c>
      <c r="D217">
        <v>0</v>
      </c>
      <c r="E217">
        <v>0</v>
      </c>
      <c r="F217">
        <v>0</v>
      </c>
      <c r="G217">
        <v>1</v>
      </c>
      <c r="H217">
        <v>3</v>
      </c>
      <c r="I217">
        <v>0</v>
      </c>
      <c r="J217" s="10">
        <v>0.71416418545299876</v>
      </c>
      <c r="K217">
        <v>1</v>
      </c>
      <c r="L217">
        <v>0</v>
      </c>
      <c r="M217">
        <v>0</v>
      </c>
      <c r="N217" s="10">
        <v>0.46236641944885437</v>
      </c>
      <c r="O217" s="11">
        <v>0.63214954023219783</v>
      </c>
      <c r="P217" s="10">
        <v>0.5</v>
      </c>
      <c r="Q217">
        <v>2</v>
      </c>
      <c r="R217">
        <v>0</v>
      </c>
      <c r="S217">
        <v>0</v>
      </c>
      <c r="T217">
        <v>0</v>
      </c>
      <c r="U217">
        <v>1</v>
      </c>
      <c r="V217" s="10">
        <v>0.20845070422535211</v>
      </c>
      <c r="W217" s="5">
        <v>2</v>
      </c>
      <c r="X217" s="5">
        <v>2</v>
      </c>
      <c r="Y217" s="5">
        <v>2</v>
      </c>
      <c r="Z217" s="5">
        <v>6</v>
      </c>
    </row>
    <row r="218" spans="1:26" x14ac:dyDescent="0.35">
      <c r="A218">
        <v>217</v>
      </c>
      <c r="B218" s="10">
        <v>0.21568627450980393</v>
      </c>
      <c r="C218">
        <v>1</v>
      </c>
      <c r="D218">
        <v>0</v>
      </c>
      <c r="E218">
        <v>1</v>
      </c>
      <c r="F218">
        <v>0</v>
      </c>
      <c r="G218">
        <v>0</v>
      </c>
      <c r="H218">
        <v>1</v>
      </c>
      <c r="I218">
        <v>1</v>
      </c>
      <c r="J218" s="10">
        <v>1.9991492981709911E-2</v>
      </c>
      <c r="K218">
        <v>0</v>
      </c>
      <c r="L218">
        <v>0</v>
      </c>
      <c r="M218">
        <v>1</v>
      </c>
      <c r="N218" s="10">
        <v>0.76030732412387736</v>
      </c>
      <c r="O218" s="11">
        <v>0.64809654117789095</v>
      </c>
      <c r="P218" s="10">
        <v>0.875</v>
      </c>
      <c r="Q218">
        <v>1</v>
      </c>
      <c r="R218">
        <v>1</v>
      </c>
      <c r="S218">
        <v>0</v>
      </c>
      <c r="T218">
        <v>0</v>
      </c>
      <c r="U218">
        <v>1</v>
      </c>
      <c r="V218" s="10">
        <v>0.10140845070422536</v>
      </c>
      <c r="W218" s="5">
        <v>2</v>
      </c>
      <c r="X218" s="5">
        <v>3</v>
      </c>
      <c r="Y218" s="5">
        <v>3</v>
      </c>
      <c r="Z218" s="5">
        <v>8</v>
      </c>
    </row>
    <row r="219" spans="1:26" x14ac:dyDescent="0.35">
      <c r="A219">
        <v>218</v>
      </c>
      <c r="B219" s="10">
        <v>0.74509803921568629</v>
      </c>
      <c r="C219">
        <v>0</v>
      </c>
      <c r="D219">
        <v>0</v>
      </c>
      <c r="E219">
        <v>1</v>
      </c>
      <c r="F219">
        <v>0</v>
      </c>
      <c r="G219">
        <v>0</v>
      </c>
      <c r="H219">
        <v>3</v>
      </c>
      <c r="I219">
        <v>0</v>
      </c>
      <c r="J219" s="10">
        <v>0.81624840493407058</v>
      </c>
      <c r="K219">
        <v>1</v>
      </c>
      <c r="L219">
        <v>0</v>
      </c>
      <c r="M219">
        <v>0</v>
      </c>
      <c r="N219" s="10">
        <v>0.52033327014667197</v>
      </c>
      <c r="O219" s="11">
        <v>0.50779118867007955</v>
      </c>
      <c r="P219" s="10">
        <v>0.75</v>
      </c>
      <c r="Q219">
        <v>0</v>
      </c>
      <c r="R219">
        <v>0</v>
      </c>
      <c r="S219">
        <v>0</v>
      </c>
      <c r="T219">
        <v>0</v>
      </c>
      <c r="U219">
        <v>0</v>
      </c>
      <c r="V219" s="10">
        <v>3.6619718309859155E-2</v>
      </c>
      <c r="W219" s="5">
        <v>3</v>
      </c>
      <c r="X219" s="5">
        <v>2</v>
      </c>
      <c r="Y219" s="5">
        <v>3</v>
      </c>
      <c r="Z219" s="5">
        <v>8</v>
      </c>
    </row>
    <row r="220" spans="1:26" x14ac:dyDescent="0.35">
      <c r="A220">
        <v>219</v>
      </c>
      <c r="B220" s="10">
        <v>0.92156862745098034</v>
      </c>
      <c r="C220">
        <v>1</v>
      </c>
      <c r="D220">
        <v>1</v>
      </c>
      <c r="E220">
        <v>0</v>
      </c>
      <c r="F220">
        <v>0</v>
      </c>
      <c r="G220">
        <v>0</v>
      </c>
      <c r="H220">
        <v>1</v>
      </c>
      <c r="I220">
        <v>0</v>
      </c>
      <c r="J220" s="10">
        <v>0.53041259038706934</v>
      </c>
      <c r="K220">
        <v>0</v>
      </c>
      <c r="L220">
        <v>0</v>
      </c>
      <c r="M220">
        <v>1</v>
      </c>
      <c r="N220" s="10">
        <v>0.47820060185294883</v>
      </c>
      <c r="O220" s="11">
        <v>0.81707881446306763</v>
      </c>
      <c r="P220" s="10">
        <v>0.375</v>
      </c>
      <c r="Q220">
        <v>0</v>
      </c>
      <c r="R220">
        <v>0</v>
      </c>
      <c r="S220">
        <v>0</v>
      </c>
      <c r="T220">
        <v>0</v>
      </c>
      <c r="U220">
        <v>0</v>
      </c>
      <c r="V220" s="10">
        <v>0.24225352112676057</v>
      </c>
      <c r="W220" s="5">
        <v>1</v>
      </c>
      <c r="X220" s="5">
        <v>2</v>
      </c>
      <c r="Y220" s="5">
        <v>3</v>
      </c>
      <c r="Z220" s="5">
        <v>6</v>
      </c>
    </row>
    <row r="221" spans="1:26" x14ac:dyDescent="0.35">
      <c r="A221">
        <v>220</v>
      </c>
      <c r="B221" s="10">
        <v>0.56862745098039214</v>
      </c>
      <c r="C221">
        <v>1</v>
      </c>
      <c r="D221">
        <v>1</v>
      </c>
      <c r="E221">
        <v>0</v>
      </c>
      <c r="F221">
        <v>0</v>
      </c>
      <c r="G221">
        <v>0</v>
      </c>
      <c r="H221">
        <v>3</v>
      </c>
      <c r="I221">
        <v>0</v>
      </c>
      <c r="J221" s="10">
        <v>0.71416418545299876</v>
      </c>
      <c r="K221">
        <v>0</v>
      </c>
      <c r="L221">
        <v>0</v>
      </c>
      <c r="M221">
        <v>1</v>
      </c>
      <c r="N221" s="10">
        <v>0.30230670805392984</v>
      </c>
      <c r="O221" s="11">
        <v>0.69113395977115566</v>
      </c>
      <c r="P221" s="10">
        <v>0.25</v>
      </c>
      <c r="Q221">
        <v>0</v>
      </c>
      <c r="R221">
        <v>0</v>
      </c>
      <c r="S221">
        <v>0</v>
      </c>
      <c r="T221">
        <v>0</v>
      </c>
      <c r="U221">
        <v>0</v>
      </c>
      <c r="V221" s="10">
        <v>0.44507042253521129</v>
      </c>
      <c r="W221" s="5">
        <v>1</v>
      </c>
      <c r="X221" s="5">
        <v>2</v>
      </c>
      <c r="Y221" s="5">
        <v>2</v>
      </c>
      <c r="Z221" s="5">
        <v>5</v>
      </c>
    </row>
    <row r="222" spans="1:26" x14ac:dyDescent="0.35">
      <c r="A222">
        <v>221</v>
      </c>
      <c r="B222" s="10">
        <v>1.9607843137254902E-2</v>
      </c>
      <c r="C222">
        <v>0</v>
      </c>
      <c r="D222">
        <v>1</v>
      </c>
      <c r="E222">
        <v>0</v>
      </c>
      <c r="F222">
        <v>0</v>
      </c>
      <c r="G222">
        <v>0</v>
      </c>
      <c r="H222">
        <v>1</v>
      </c>
      <c r="I222">
        <v>1</v>
      </c>
      <c r="J222" s="10">
        <v>0.85708209272649938</v>
      </c>
      <c r="K222">
        <v>1</v>
      </c>
      <c r="L222">
        <v>0</v>
      </c>
      <c r="M222">
        <v>0</v>
      </c>
      <c r="N222" s="10">
        <v>0.37541466246475369</v>
      </c>
      <c r="O222" s="11">
        <v>0.64251292782550951</v>
      </c>
      <c r="P222" s="10">
        <v>0.375</v>
      </c>
      <c r="Q222">
        <v>1</v>
      </c>
      <c r="R222">
        <v>0</v>
      </c>
      <c r="S222">
        <v>1</v>
      </c>
      <c r="T222">
        <v>0</v>
      </c>
      <c r="U222">
        <v>0</v>
      </c>
      <c r="V222" s="10">
        <v>0.6788732394366197</v>
      </c>
      <c r="W222" s="5">
        <v>1</v>
      </c>
      <c r="X222" s="5">
        <v>2</v>
      </c>
      <c r="Y222" s="5">
        <v>2</v>
      </c>
      <c r="Z222" s="5">
        <v>5</v>
      </c>
    </row>
    <row r="223" spans="1:26" x14ac:dyDescent="0.35">
      <c r="A223">
        <v>222</v>
      </c>
      <c r="B223" s="10">
        <v>0.60784313725490191</v>
      </c>
      <c r="C223">
        <v>1</v>
      </c>
      <c r="D223">
        <v>0</v>
      </c>
      <c r="E223">
        <v>0</v>
      </c>
      <c r="F223">
        <v>1</v>
      </c>
      <c r="G223">
        <v>0</v>
      </c>
      <c r="H223">
        <v>3</v>
      </c>
      <c r="I223">
        <v>0</v>
      </c>
      <c r="J223" s="10">
        <v>0.14249255635899619</v>
      </c>
      <c r="K223">
        <v>0</v>
      </c>
      <c r="L223">
        <v>1</v>
      </c>
      <c r="M223">
        <v>0</v>
      </c>
      <c r="N223" s="10">
        <v>0.501341729260953</v>
      </c>
      <c r="O223" s="11">
        <v>0.48936023432492171</v>
      </c>
      <c r="P223" s="10">
        <v>0.75</v>
      </c>
      <c r="Q223">
        <v>0</v>
      </c>
      <c r="R223">
        <v>0</v>
      </c>
      <c r="S223">
        <v>0</v>
      </c>
      <c r="T223">
        <v>0</v>
      </c>
      <c r="U223">
        <v>0</v>
      </c>
      <c r="V223" s="10">
        <v>5.3521126760563378E-2</v>
      </c>
      <c r="W223" s="5">
        <v>3</v>
      </c>
      <c r="X223" s="5">
        <v>2</v>
      </c>
      <c r="Y223" s="5">
        <v>3</v>
      </c>
      <c r="Z223" s="5">
        <v>8</v>
      </c>
    </row>
    <row r="224" spans="1:26" x14ac:dyDescent="0.35">
      <c r="A224">
        <v>223</v>
      </c>
      <c r="B224" s="10">
        <v>0.86274509803921573</v>
      </c>
      <c r="C224">
        <v>0</v>
      </c>
      <c r="D224">
        <v>0</v>
      </c>
      <c r="E224">
        <v>0</v>
      </c>
      <c r="F224">
        <v>1</v>
      </c>
      <c r="G224">
        <v>0</v>
      </c>
      <c r="H224">
        <v>2</v>
      </c>
      <c r="I224">
        <v>0</v>
      </c>
      <c r="J224" s="10">
        <v>8.1242024670353047E-2</v>
      </c>
      <c r="K224">
        <v>0</v>
      </c>
      <c r="L224">
        <v>0</v>
      </c>
      <c r="M224">
        <v>1</v>
      </c>
      <c r="N224" s="10">
        <v>0.51135582778475464</v>
      </c>
      <c r="O224" s="11">
        <v>0.58225852968201908</v>
      </c>
      <c r="P224" s="10">
        <v>0.625</v>
      </c>
      <c r="Q224">
        <v>1</v>
      </c>
      <c r="R224">
        <v>0</v>
      </c>
      <c r="S224">
        <v>0</v>
      </c>
      <c r="T224">
        <v>1</v>
      </c>
      <c r="U224">
        <v>0</v>
      </c>
      <c r="V224" s="10">
        <v>0.13802816901408452</v>
      </c>
      <c r="W224" s="5">
        <v>2</v>
      </c>
      <c r="X224" s="5">
        <v>2</v>
      </c>
      <c r="Y224" s="5">
        <v>3</v>
      </c>
      <c r="Z224" s="5">
        <v>7</v>
      </c>
    </row>
    <row r="225" spans="1:26" x14ac:dyDescent="0.35">
      <c r="A225">
        <v>224</v>
      </c>
      <c r="B225" s="10">
        <v>0.47058823529411764</v>
      </c>
      <c r="C225">
        <v>1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</v>
      </c>
      <c r="J225" s="10">
        <v>0.10165886856656743</v>
      </c>
      <c r="K225">
        <v>0</v>
      </c>
      <c r="L225">
        <v>1</v>
      </c>
      <c r="M225">
        <v>0</v>
      </c>
      <c r="N225" s="10">
        <v>0.74358457929531074</v>
      </c>
      <c r="O225" s="11">
        <v>0.63389605424656437</v>
      </c>
      <c r="P225" s="10">
        <v>0.875</v>
      </c>
      <c r="Q225">
        <v>0</v>
      </c>
      <c r="R225">
        <v>0</v>
      </c>
      <c r="S225">
        <v>0</v>
      </c>
      <c r="T225">
        <v>0</v>
      </c>
      <c r="U225">
        <v>0</v>
      </c>
      <c r="V225" s="10">
        <v>0.10985915492957747</v>
      </c>
      <c r="W225" s="5">
        <v>2</v>
      </c>
      <c r="X225" s="5">
        <v>3</v>
      </c>
      <c r="Y225" s="5">
        <v>3</v>
      </c>
      <c r="Z225" s="5">
        <v>8</v>
      </c>
    </row>
    <row r="226" spans="1:26" x14ac:dyDescent="0.35">
      <c r="A226">
        <v>225</v>
      </c>
      <c r="B226" s="10">
        <v>0.47058823529411764</v>
      </c>
      <c r="C226">
        <v>1</v>
      </c>
      <c r="D226">
        <v>0</v>
      </c>
      <c r="E226">
        <v>0</v>
      </c>
      <c r="F226">
        <v>0</v>
      </c>
      <c r="G226">
        <v>1</v>
      </c>
      <c r="H226">
        <v>3</v>
      </c>
      <c r="I226">
        <v>0</v>
      </c>
      <c r="J226" s="10">
        <v>0.79583156103785624</v>
      </c>
      <c r="K226">
        <v>0</v>
      </c>
      <c r="L226">
        <v>0</v>
      </c>
      <c r="M226">
        <v>1</v>
      </c>
      <c r="N226" s="10">
        <v>0.78208006539819419</v>
      </c>
      <c r="O226" s="11">
        <v>0.66658534376949219</v>
      </c>
      <c r="P226" s="10">
        <v>0.875</v>
      </c>
      <c r="Q226">
        <v>2</v>
      </c>
      <c r="R226">
        <v>1</v>
      </c>
      <c r="S226">
        <v>0</v>
      </c>
      <c r="T226">
        <v>0</v>
      </c>
      <c r="U226">
        <v>1</v>
      </c>
      <c r="V226" s="10">
        <v>1.9718309859154931E-2</v>
      </c>
      <c r="W226" s="5">
        <v>3</v>
      </c>
      <c r="X226" s="5">
        <v>3</v>
      </c>
      <c r="Y226" s="5">
        <v>3</v>
      </c>
      <c r="Z226" s="5">
        <v>9</v>
      </c>
    </row>
    <row r="227" spans="1:26" x14ac:dyDescent="0.35">
      <c r="A227">
        <v>226</v>
      </c>
      <c r="B227" s="10">
        <v>5.8823529411764705E-2</v>
      </c>
      <c r="C227">
        <v>0</v>
      </c>
      <c r="D227">
        <v>1</v>
      </c>
      <c r="E227">
        <v>0</v>
      </c>
      <c r="F227">
        <v>0</v>
      </c>
      <c r="G227">
        <v>0</v>
      </c>
      <c r="H227">
        <v>3</v>
      </c>
      <c r="I227">
        <v>0</v>
      </c>
      <c r="J227" s="10">
        <v>0.22415993194385367</v>
      </c>
      <c r="K227">
        <v>1</v>
      </c>
      <c r="L227">
        <v>0</v>
      </c>
      <c r="M227">
        <v>0</v>
      </c>
      <c r="N227" s="10">
        <v>0.42988057721015088</v>
      </c>
      <c r="O227" s="11">
        <v>0.42000845087426303</v>
      </c>
      <c r="P227" s="10">
        <v>0.75</v>
      </c>
      <c r="Q227">
        <v>1</v>
      </c>
      <c r="R227">
        <v>1</v>
      </c>
      <c r="S227">
        <v>0</v>
      </c>
      <c r="T227">
        <v>0</v>
      </c>
      <c r="U227">
        <v>1</v>
      </c>
      <c r="V227" s="10">
        <v>4.2253521126760563E-2</v>
      </c>
      <c r="W227" s="5">
        <v>3</v>
      </c>
      <c r="X227" s="5">
        <v>2</v>
      </c>
      <c r="Y227" s="5">
        <v>2</v>
      </c>
      <c r="Z227" s="5">
        <v>7</v>
      </c>
    </row>
    <row r="228" spans="1:26" x14ac:dyDescent="0.35">
      <c r="A228">
        <v>227</v>
      </c>
      <c r="B228" s="10">
        <v>0.35294117647058826</v>
      </c>
      <c r="C228">
        <v>1</v>
      </c>
      <c r="D228">
        <v>0</v>
      </c>
      <c r="E228">
        <v>0</v>
      </c>
      <c r="F228">
        <v>0</v>
      </c>
      <c r="G228">
        <v>1</v>
      </c>
      <c r="H228">
        <v>3</v>
      </c>
      <c r="I228">
        <v>1</v>
      </c>
      <c r="J228" s="10">
        <v>0.30582730752871118</v>
      </c>
      <c r="K228">
        <v>0</v>
      </c>
      <c r="L228">
        <v>0</v>
      </c>
      <c r="M228">
        <v>1</v>
      </c>
      <c r="N228" s="10">
        <v>0.36743537189299336</v>
      </c>
      <c r="O228" s="11">
        <v>0.35940648417760629</v>
      </c>
      <c r="P228" s="10">
        <v>0.75</v>
      </c>
      <c r="Q228">
        <v>0</v>
      </c>
      <c r="R228">
        <v>0</v>
      </c>
      <c r="S228">
        <v>0</v>
      </c>
      <c r="T228">
        <v>0</v>
      </c>
      <c r="U228">
        <v>0</v>
      </c>
      <c r="V228" s="10">
        <v>3.0985915492957747E-2</v>
      </c>
      <c r="W228" s="5">
        <v>3</v>
      </c>
      <c r="X228" s="5">
        <v>2</v>
      </c>
      <c r="Y228" s="5">
        <v>2</v>
      </c>
      <c r="Z228" s="5">
        <v>7</v>
      </c>
    </row>
    <row r="229" spans="1:26" x14ac:dyDescent="0.35">
      <c r="A229">
        <v>228</v>
      </c>
      <c r="B229" s="10">
        <v>0.92156862745098034</v>
      </c>
      <c r="C229">
        <v>0</v>
      </c>
      <c r="D229">
        <v>1</v>
      </c>
      <c r="E229">
        <v>0</v>
      </c>
      <c r="F229">
        <v>0</v>
      </c>
      <c r="G229">
        <v>0</v>
      </c>
      <c r="H229">
        <v>3</v>
      </c>
      <c r="I229">
        <v>0</v>
      </c>
      <c r="J229" s="10">
        <v>0.65291365376435562</v>
      </c>
      <c r="K229">
        <v>0</v>
      </c>
      <c r="L229">
        <v>1</v>
      </c>
      <c r="M229">
        <v>0</v>
      </c>
      <c r="N229" s="10">
        <v>0.64437362272824206</v>
      </c>
      <c r="O229" s="11">
        <v>0.73286518172733195</v>
      </c>
      <c r="P229" s="10">
        <v>0.625</v>
      </c>
      <c r="Q229">
        <v>2</v>
      </c>
      <c r="R229">
        <v>1</v>
      </c>
      <c r="S229">
        <v>0</v>
      </c>
      <c r="T229">
        <v>1</v>
      </c>
      <c r="U229">
        <v>1</v>
      </c>
      <c r="V229" s="10">
        <v>0.50140845070422535</v>
      </c>
      <c r="W229" s="5">
        <v>1</v>
      </c>
      <c r="X229" s="5">
        <v>2</v>
      </c>
      <c r="Y229" s="5">
        <v>3</v>
      </c>
      <c r="Z229" s="5">
        <v>6</v>
      </c>
    </row>
    <row r="230" spans="1:26" x14ac:dyDescent="0.35">
      <c r="A230">
        <v>229</v>
      </c>
      <c r="B230" s="10">
        <v>5.8823529411764705E-2</v>
      </c>
      <c r="C230">
        <v>0</v>
      </c>
      <c r="D230">
        <v>1</v>
      </c>
      <c r="E230">
        <v>0</v>
      </c>
      <c r="F230">
        <v>0</v>
      </c>
      <c r="G230">
        <v>0</v>
      </c>
      <c r="H230">
        <v>2</v>
      </c>
      <c r="I230">
        <v>0</v>
      </c>
      <c r="J230" s="10">
        <v>0.75499787324542744</v>
      </c>
      <c r="K230">
        <v>0</v>
      </c>
      <c r="L230">
        <v>1</v>
      </c>
      <c r="M230">
        <v>0</v>
      </c>
      <c r="N230" s="10">
        <v>0.7550499964457501</v>
      </c>
      <c r="O230" s="11">
        <v>0.57211748056634271</v>
      </c>
      <c r="P230" s="10">
        <v>1</v>
      </c>
      <c r="Q230">
        <v>1</v>
      </c>
      <c r="R230">
        <v>1</v>
      </c>
      <c r="S230">
        <v>0</v>
      </c>
      <c r="T230">
        <v>1</v>
      </c>
      <c r="U230">
        <v>0</v>
      </c>
      <c r="V230" s="10">
        <v>0.3126760563380282</v>
      </c>
      <c r="W230" s="5">
        <v>1</v>
      </c>
      <c r="X230" s="5">
        <v>3</v>
      </c>
      <c r="Y230" s="5">
        <v>3</v>
      </c>
      <c r="Z230" s="5">
        <v>7</v>
      </c>
    </row>
    <row r="231" spans="1:26" x14ac:dyDescent="0.35">
      <c r="A231">
        <v>230</v>
      </c>
      <c r="B231" s="10">
        <v>0.82352941176470584</v>
      </c>
      <c r="C231">
        <v>0</v>
      </c>
      <c r="D231">
        <v>0</v>
      </c>
      <c r="E231">
        <v>0</v>
      </c>
      <c r="F231">
        <v>1</v>
      </c>
      <c r="G231">
        <v>0</v>
      </c>
      <c r="H231">
        <v>2</v>
      </c>
      <c r="I231">
        <v>1</v>
      </c>
      <c r="J231" s="10">
        <v>0.18332624415142493</v>
      </c>
      <c r="K231">
        <v>0</v>
      </c>
      <c r="L231">
        <v>0</v>
      </c>
      <c r="M231">
        <v>1</v>
      </c>
      <c r="N231" s="10">
        <v>0.43192130891168873</v>
      </c>
      <c r="O231" s="11">
        <v>0.4923204356895175</v>
      </c>
      <c r="P231" s="10">
        <v>0.625</v>
      </c>
      <c r="Q231">
        <v>2</v>
      </c>
      <c r="R231">
        <v>1</v>
      </c>
      <c r="S231">
        <v>1</v>
      </c>
      <c r="T231">
        <v>0</v>
      </c>
      <c r="U231">
        <v>0</v>
      </c>
      <c r="V231" s="10">
        <v>9.8591549295774641E-2</v>
      </c>
      <c r="W231" s="5">
        <v>2</v>
      </c>
      <c r="X231" s="5">
        <v>2</v>
      </c>
      <c r="Y231" s="5">
        <v>2</v>
      </c>
      <c r="Z231" s="5">
        <v>6</v>
      </c>
    </row>
    <row r="232" spans="1:26" x14ac:dyDescent="0.35">
      <c r="A232">
        <v>231</v>
      </c>
      <c r="B232" s="10">
        <v>0.23529411764705882</v>
      </c>
      <c r="C232">
        <v>0</v>
      </c>
      <c r="D232">
        <v>0</v>
      </c>
      <c r="E232">
        <v>1</v>
      </c>
      <c r="F232">
        <v>0</v>
      </c>
      <c r="G232">
        <v>0</v>
      </c>
      <c r="H232">
        <v>1</v>
      </c>
      <c r="I232">
        <v>1</v>
      </c>
      <c r="J232" s="10">
        <v>0.9591663122075712</v>
      </c>
      <c r="K232">
        <v>0</v>
      </c>
      <c r="L232">
        <v>0</v>
      </c>
      <c r="M232">
        <v>1</v>
      </c>
      <c r="N232" s="10">
        <v>0.39796341492310966</v>
      </c>
      <c r="O232" s="11">
        <v>0.68080846697116637</v>
      </c>
      <c r="P232" s="10">
        <v>0.375</v>
      </c>
      <c r="Q232">
        <v>0</v>
      </c>
      <c r="R232">
        <v>0</v>
      </c>
      <c r="S232">
        <v>0</v>
      </c>
      <c r="T232">
        <v>0</v>
      </c>
      <c r="U232">
        <v>0</v>
      </c>
      <c r="V232" s="10">
        <v>1.4084507042253521E-2</v>
      </c>
      <c r="W232" s="5">
        <v>3</v>
      </c>
      <c r="X232" s="5">
        <v>2</v>
      </c>
      <c r="Y232" s="5">
        <v>2</v>
      </c>
      <c r="Z232" s="5">
        <v>7</v>
      </c>
    </row>
    <row r="233" spans="1:26" x14ac:dyDescent="0.35">
      <c r="A233">
        <v>232</v>
      </c>
      <c r="B233" s="10">
        <v>0.74509803921568629</v>
      </c>
      <c r="C233">
        <v>0</v>
      </c>
      <c r="D233">
        <v>1</v>
      </c>
      <c r="E233">
        <v>0</v>
      </c>
      <c r="F233">
        <v>0</v>
      </c>
      <c r="G233">
        <v>0</v>
      </c>
      <c r="H233">
        <v>1</v>
      </c>
      <c r="I233">
        <v>0</v>
      </c>
      <c r="J233" s="10">
        <v>0.65291365376435562</v>
      </c>
      <c r="K233">
        <v>0</v>
      </c>
      <c r="L233">
        <v>0</v>
      </c>
      <c r="M233">
        <v>1</v>
      </c>
      <c r="N233" s="10">
        <v>0.61381596095064328</v>
      </c>
      <c r="O233" s="11">
        <v>0.52370017505382405</v>
      </c>
      <c r="P233" s="10">
        <v>0.875</v>
      </c>
      <c r="Q233">
        <v>2</v>
      </c>
      <c r="R233">
        <v>1</v>
      </c>
      <c r="S233">
        <v>0</v>
      </c>
      <c r="T233">
        <v>0</v>
      </c>
      <c r="U233">
        <v>1</v>
      </c>
      <c r="V233" s="10">
        <v>0.15492957746478872</v>
      </c>
      <c r="W233" s="5">
        <v>2</v>
      </c>
      <c r="X233" s="5">
        <v>3</v>
      </c>
      <c r="Y233" s="5">
        <v>3</v>
      </c>
      <c r="Z233" s="5">
        <v>8</v>
      </c>
    </row>
    <row r="234" spans="1:26" x14ac:dyDescent="0.35">
      <c r="A234">
        <v>233</v>
      </c>
      <c r="B234" s="10">
        <v>0.68627450980392157</v>
      </c>
      <c r="C234">
        <v>0</v>
      </c>
      <c r="D234">
        <v>0</v>
      </c>
      <c r="E234">
        <v>1</v>
      </c>
      <c r="F234">
        <v>0</v>
      </c>
      <c r="G234">
        <v>0</v>
      </c>
      <c r="H234">
        <v>3</v>
      </c>
      <c r="I234">
        <v>0</v>
      </c>
      <c r="J234" s="10">
        <v>0.67333049766056996</v>
      </c>
      <c r="K234">
        <v>0</v>
      </c>
      <c r="L234">
        <v>1</v>
      </c>
      <c r="M234">
        <v>0</v>
      </c>
      <c r="N234" s="10">
        <v>0.23920692841741109</v>
      </c>
      <c r="O234" s="11">
        <v>0.54824711429472095</v>
      </c>
      <c r="P234" s="10">
        <v>0.25</v>
      </c>
      <c r="Q234">
        <v>2</v>
      </c>
      <c r="R234">
        <v>0</v>
      </c>
      <c r="S234">
        <v>0</v>
      </c>
      <c r="T234">
        <v>1</v>
      </c>
      <c r="U234">
        <v>0</v>
      </c>
      <c r="V234" s="10">
        <v>0.13239436619718309</v>
      </c>
      <c r="W234" s="5">
        <v>2</v>
      </c>
      <c r="X234" s="5">
        <v>2</v>
      </c>
      <c r="Y234" s="5">
        <v>1</v>
      </c>
      <c r="Z234" s="5">
        <v>5</v>
      </c>
    </row>
    <row r="235" spans="1:26" x14ac:dyDescent="0.35">
      <c r="A235">
        <v>234</v>
      </c>
      <c r="B235" s="10">
        <v>0.43137254901960786</v>
      </c>
      <c r="C235">
        <v>1</v>
      </c>
      <c r="D235">
        <v>0</v>
      </c>
      <c r="E235">
        <v>0</v>
      </c>
      <c r="F235">
        <v>0</v>
      </c>
      <c r="G235">
        <v>1</v>
      </c>
      <c r="H235">
        <v>1</v>
      </c>
      <c r="I235">
        <v>1</v>
      </c>
      <c r="J235" s="10">
        <v>0.46916205869842625</v>
      </c>
      <c r="K235">
        <v>0</v>
      </c>
      <c r="L235">
        <v>0</v>
      </c>
      <c r="M235">
        <v>1</v>
      </c>
      <c r="N235" s="10">
        <v>0.46409615430182688</v>
      </c>
      <c r="O235" s="11">
        <v>0.39656230507656093</v>
      </c>
      <c r="P235" s="10">
        <v>0.875</v>
      </c>
      <c r="Q235">
        <v>0</v>
      </c>
      <c r="R235">
        <v>0</v>
      </c>
      <c r="S235">
        <v>0</v>
      </c>
      <c r="T235">
        <v>0</v>
      </c>
      <c r="U235">
        <v>0</v>
      </c>
      <c r="V235" s="10">
        <v>0.25633802816901408</v>
      </c>
      <c r="W235" s="5">
        <v>1</v>
      </c>
      <c r="X235" s="5">
        <v>3</v>
      </c>
      <c r="Y235" s="5">
        <v>2</v>
      </c>
      <c r="Z235" s="5">
        <v>6</v>
      </c>
    </row>
    <row r="236" spans="1:26" x14ac:dyDescent="0.35">
      <c r="A236">
        <v>235</v>
      </c>
      <c r="B236" s="10">
        <v>9.8039215686274508E-2</v>
      </c>
      <c r="C236">
        <v>1</v>
      </c>
      <c r="D236">
        <v>0</v>
      </c>
      <c r="E236">
        <v>0</v>
      </c>
      <c r="F236">
        <v>1</v>
      </c>
      <c r="G236">
        <v>0</v>
      </c>
      <c r="H236">
        <v>3</v>
      </c>
      <c r="I236">
        <v>0</v>
      </c>
      <c r="J236" s="10">
        <v>0.30582730752871118</v>
      </c>
      <c r="K236">
        <v>1</v>
      </c>
      <c r="L236">
        <v>0</v>
      </c>
      <c r="M236">
        <v>0</v>
      </c>
      <c r="N236" s="10">
        <v>0.22530981209866596</v>
      </c>
      <c r="O236" s="11">
        <v>0.51677766822940763</v>
      </c>
      <c r="P236" s="10">
        <v>0.25</v>
      </c>
      <c r="Q236">
        <v>2</v>
      </c>
      <c r="R236">
        <v>1</v>
      </c>
      <c r="S236">
        <v>0</v>
      </c>
      <c r="T236">
        <v>0</v>
      </c>
      <c r="U236">
        <v>1</v>
      </c>
      <c r="V236" s="10">
        <v>0.26478873239436618</v>
      </c>
      <c r="W236" s="5">
        <v>1</v>
      </c>
      <c r="X236" s="5">
        <v>2</v>
      </c>
      <c r="Y236" s="5">
        <v>1</v>
      </c>
      <c r="Z236" s="5">
        <v>4</v>
      </c>
    </row>
    <row r="237" spans="1:26" x14ac:dyDescent="0.35">
      <c r="A237">
        <v>236</v>
      </c>
      <c r="B237" s="10">
        <v>0.45098039215686275</v>
      </c>
      <c r="C237">
        <v>0</v>
      </c>
      <c r="D237">
        <v>1</v>
      </c>
      <c r="E237">
        <v>0</v>
      </c>
      <c r="F237">
        <v>0</v>
      </c>
      <c r="G237">
        <v>0</v>
      </c>
      <c r="H237">
        <v>1</v>
      </c>
      <c r="I237">
        <v>1</v>
      </c>
      <c r="J237" s="10">
        <v>0.61207996597192693</v>
      </c>
      <c r="K237">
        <v>0</v>
      </c>
      <c r="L237">
        <v>0</v>
      </c>
      <c r="M237">
        <v>1</v>
      </c>
      <c r="N237" s="10">
        <v>0.43634042603606382</v>
      </c>
      <c r="O237" s="11">
        <v>0.49732388981669662</v>
      </c>
      <c r="P237" s="10">
        <v>0.625</v>
      </c>
      <c r="Q237">
        <v>2</v>
      </c>
      <c r="R237">
        <v>0</v>
      </c>
      <c r="S237">
        <v>1</v>
      </c>
      <c r="T237">
        <v>0</v>
      </c>
      <c r="U237">
        <v>1</v>
      </c>
      <c r="V237" s="10">
        <v>3.6619718309859155E-2</v>
      </c>
      <c r="W237" s="5">
        <v>3</v>
      </c>
      <c r="X237" s="5">
        <v>2</v>
      </c>
      <c r="Y237" s="5">
        <v>2</v>
      </c>
      <c r="Z237" s="5">
        <v>7</v>
      </c>
    </row>
    <row r="238" spans="1:26" x14ac:dyDescent="0.35">
      <c r="A238">
        <v>237</v>
      </c>
      <c r="B238" s="10">
        <v>0.84313725490196079</v>
      </c>
      <c r="C238">
        <v>1</v>
      </c>
      <c r="D238">
        <v>0</v>
      </c>
      <c r="E238">
        <v>0</v>
      </c>
      <c r="F238">
        <v>1</v>
      </c>
      <c r="G238">
        <v>0</v>
      </c>
      <c r="H238">
        <v>1</v>
      </c>
      <c r="I238">
        <v>1</v>
      </c>
      <c r="J238" s="10">
        <v>0.32624415142492558</v>
      </c>
      <c r="K238">
        <v>0</v>
      </c>
      <c r="L238">
        <v>0</v>
      </c>
      <c r="M238">
        <v>1</v>
      </c>
      <c r="N238" s="10">
        <v>0.11527320332677771</v>
      </c>
      <c r="O238" s="11">
        <v>0.80281293386184838</v>
      </c>
      <c r="P238" s="10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 s="10">
        <v>0.93802816901408448</v>
      </c>
      <c r="W238" s="5">
        <v>1</v>
      </c>
      <c r="X238" s="5">
        <v>1</v>
      </c>
      <c r="Y238" s="5">
        <v>1</v>
      </c>
      <c r="Z238" s="5">
        <v>3</v>
      </c>
    </row>
    <row r="239" spans="1:26" x14ac:dyDescent="0.35">
      <c r="A239">
        <v>238</v>
      </c>
      <c r="B239" s="10">
        <v>0.62745098039215685</v>
      </c>
      <c r="C239">
        <v>1</v>
      </c>
      <c r="D239">
        <v>0</v>
      </c>
      <c r="E239">
        <v>0</v>
      </c>
      <c r="F239">
        <v>0</v>
      </c>
      <c r="G239">
        <v>1</v>
      </c>
      <c r="H239">
        <v>3</v>
      </c>
      <c r="I239">
        <v>1</v>
      </c>
      <c r="J239" s="10">
        <v>0.44874521480221186</v>
      </c>
      <c r="K239">
        <v>1</v>
      </c>
      <c r="L239">
        <v>0</v>
      </c>
      <c r="M239">
        <v>0</v>
      </c>
      <c r="N239" s="10">
        <v>0.22292254105158399</v>
      </c>
      <c r="O239" s="11">
        <v>0.51137179151827328</v>
      </c>
      <c r="P239" s="10">
        <v>0.25</v>
      </c>
      <c r="Q239">
        <v>1</v>
      </c>
      <c r="R239">
        <v>1</v>
      </c>
      <c r="S239">
        <v>0</v>
      </c>
      <c r="T239">
        <v>1</v>
      </c>
      <c r="U239">
        <v>0</v>
      </c>
      <c r="V239" s="10">
        <v>0.17746478873239438</v>
      </c>
      <c r="W239" s="5">
        <v>2</v>
      </c>
      <c r="X239" s="5">
        <v>2</v>
      </c>
      <c r="Y239" s="5">
        <v>1</v>
      </c>
      <c r="Z239" s="5">
        <v>5</v>
      </c>
    </row>
    <row r="240" spans="1:26" x14ac:dyDescent="0.35">
      <c r="A240">
        <v>239</v>
      </c>
      <c r="B240" s="10">
        <v>0.21568627450980393</v>
      </c>
      <c r="C240">
        <v>0</v>
      </c>
      <c r="D240">
        <v>0</v>
      </c>
      <c r="E240">
        <v>1</v>
      </c>
      <c r="F240">
        <v>0</v>
      </c>
      <c r="G240">
        <v>0</v>
      </c>
      <c r="H240">
        <v>2</v>
      </c>
      <c r="I240">
        <v>1</v>
      </c>
      <c r="J240" s="10">
        <v>0.87749893662271372</v>
      </c>
      <c r="K240">
        <v>1</v>
      </c>
      <c r="L240">
        <v>0</v>
      </c>
      <c r="M240">
        <v>0</v>
      </c>
      <c r="N240" s="10">
        <v>0.78342771840864389</v>
      </c>
      <c r="O240" s="11">
        <v>0.59353754043788043</v>
      </c>
      <c r="P240" s="10">
        <v>1</v>
      </c>
      <c r="Q240">
        <v>1</v>
      </c>
      <c r="R240">
        <v>1</v>
      </c>
      <c r="S240">
        <v>1</v>
      </c>
      <c r="T240">
        <v>0</v>
      </c>
      <c r="U240">
        <v>0</v>
      </c>
      <c r="V240" s="10">
        <v>5.3521126760563378E-2</v>
      </c>
      <c r="W240" s="5">
        <v>3</v>
      </c>
      <c r="X240" s="5">
        <v>3</v>
      </c>
      <c r="Y240" s="5">
        <v>3</v>
      </c>
      <c r="Z240" s="5">
        <v>9</v>
      </c>
    </row>
    <row r="241" spans="1:26" x14ac:dyDescent="0.35">
      <c r="A241">
        <v>240</v>
      </c>
      <c r="B241" s="10">
        <v>0.78431372549019607</v>
      </c>
      <c r="C241">
        <v>1</v>
      </c>
      <c r="D241">
        <v>0</v>
      </c>
      <c r="E241">
        <v>0</v>
      </c>
      <c r="F241">
        <v>1</v>
      </c>
      <c r="G241">
        <v>0</v>
      </c>
      <c r="H241">
        <v>3</v>
      </c>
      <c r="I241">
        <v>0</v>
      </c>
      <c r="J241" s="10">
        <v>0.61207996597192693</v>
      </c>
      <c r="K241">
        <v>0</v>
      </c>
      <c r="L241">
        <v>0</v>
      </c>
      <c r="M241">
        <v>1</v>
      </c>
      <c r="N241" s="10">
        <v>0.251661611733763</v>
      </c>
      <c r="O241" s="11">
        <v>0.86467534558039394</v>
      </c>
      <c r="P241" s="10">
        <v>0.125</v>
      </c>
      <c r="Q241">
        <v>1</v>
      </c>
      <c r="R241">
        <v>0</v>
      </c>
      <c r="S241">
        <v>1</v>
      </c>
      <c r="T241">
        <v>0</v>
      </c>
      <c r="U241">
        <v>0</v>
      </c>
      <c r="V241" s="10">
        <v>9.8591549295774641E-2</v>
      </c>
      <c r="W241" s="5">
        <v>2</v>
      </c>
      <c r="X241" s="5">
        <v>1</v>
      </c>
      <c r="Y241" s="5">
        <v>2</v>
      </c>
      <c r="Z241" s="5">
        <v>5</v>
      </c>
    </row>
    <row r="242" spans="1:26" x14ac:dyDescent="0.35">
      <c r="A242">
        <v>241</v>
      </c>
      <c r="B242" s="10">
        <v>0.39215686274509803</v>
      </c>
      <c r="C242">
        <v>0</v>
      </c>
      <c r="D242">
        <v>0</v>
      </c>
      <c r="E242">
        <v>0</v>
      </c>
      <c r="F242">
        <v>1</v>
      </c>
      <c r="G242">
        <v>0</v>
      </c>
      <c r="H242">
        <v>2</v>
      </c>
      <c r="I242">
        <v>0</v>
      </c>
      <c r="J242" s="10">
        <v>1.9991492981709911E-2</v>
      </c>
      <c r="K242">
        <v>1</v>
      </c>
      <c r="L242">
        <v>0</v>
      </c>
      <c r="M242">
        <v>0</v>
      </c>
      <c r="N242" s="10">
        <v>0.64454244958889173</v>
      </c>
      <c r="O242" s="11">
        <v>0.48870422163647387</v>
      </c>
      <c r="P242" s="10">
        <v>1</v>
      </c>
      <c r="Q242">
        <v>1</v>
      </c>
      <c r="R242">
        <v>0</v>
      </c>
      <c r="S242">
        <v>1</v>
      </c>
      <c r="T242">
        <v>0</v>
      </c>
      <c r="U242">
        <v>0</v>
      </c>
      <c r="V242" s="10">
        <v>0.27042253521126758</v>
      </c>
      <c r="W242" s="5">
        <v>1</v>
      </c>
      <c r="X242" s="5">
        <v>3</v>
      </c>
      <c r="Y242" s="5">
        <v>3</v>
      </c>
      <c r="Z242" s="5">
        <v>7</v>
      </c>
    </row>
    <row r="243" spans="1:26" x14ac:dyDescent="0.35">
      <c r="A243">
        <v>242</v>
      </c>
      <c r="B243" s="10">
        <v>0.19607843137254902</v>
      </c>
      <c r="C243">
        <v>0</v>
      </c>
      <c r="D243">
        <v>1</v>
      </c>
      <c r="E243">
        <v>0</v>
      </c>
      <c r="F243">
        <v>0</v>
      </c>
      <c r="G243">
        <v>0</v>
      </c>
      <c r="H243">
        <v>1</v>
      </c>
      <c r="I243">
        <v>1</v>
      </c>
      <c r="J243" s="10">
        <v>0.71416418545299876</v>
      </c>
      <c r="K243">
        <v>0</v>
      </c>
      <c r="L243">
        <v>0</v>
      </c>
      <c r="M243">
        <v>1</v>
      </c>
      <c r="N243" s="10">
        <v>0.21234568632561668</v>
      </c>
      <c r="O243" s="11">
        <v>0.48742094072986042</v>
      </c>
      <c r="P243" s="10">
        <v>0.25</v>
      </c>
      <c r="Q243">
        <v>2</v>
      </c>
      <c r="R243">
        <v>1</v>
      </c>
      <c r="S243">
        <v>1</v>
      </c>
      <c r="T243">
        <v>0</v>
      </c>
      <c r="U243">
        <v>1</v>
      </c>
      <c r="V243" s="10">
        <v>0.12957746478873239</v>
      </c>
      <c r="W243" s="5">
        <v>2</v>
      </c>
      <c r="X243" s="5">
        <v>2</v>
      </c>
      <c r="Y243" s="5">
        <v>1</v>
      </c>
      <c r="Z243" s="5">
        <v>5</v>
      </c>
    </row>
    <row r="244" spans="1:26" x14ac:dyDescent="0.35">
      <c r="A244">
        <v>243</v>
      </c>
      <c r="B244" s="10">
        <v>0.84313725490196079</v>
      </c>
      <c r="C244">
        <v>1</v>
      </c>
      <c r="D244">
        <v>0</v>
      </c>
      <c r="E244">
        <v>1</v>
      </c>
      <c r="F244">
        <v>0</v>
      </c>
      <c r="G244">
        <v>0</v>
      </c>
      <c r="H244">
        <v>2</v>
      </c>
      <c r="I244">
        <v>0</v>
      </c>
      <c r="J244" s="10">
        <v>0.36707783921735437</v>
      </c>
      <c r="K244">
        <v>0</v>
      </c>
      <c r="L244">
        <v>1</v>
      </c>
      <c r="M244">
        <v>0</v>
      </c>
      <c r="N244" s="10">
        <v>0.69674549202663316</v>
      </c>
      <c r="O244" s="11">
        <v>0.52810809964877459</v>
      </c>
      <c r="P244" s="10">
        <v>1</v>
      </c>
      <c r="Q244">
        <v>1</v>
      </c>
      <c r="R244">
        <v>1</v>
      </c>
      <c r="S244">
        <v>0</v>
      </c>
      <c r="T244">
        <v>1</v>
      </c>
      <c r="U244">
        <v>0</v>
      </c>
      <c r="V244" s="10">
        <v>0.11267605633802817</v>
      </c>
      <c r="W244" s="5">
        <v>2</v>
      </c>
      <c r="X244" s="5">
        <v>3</v>
      </c>
      <c r="Y244" s="5">
        <v>3</v>
      </c>
      <c r="Z244" s="5">
        <v>8</v>
      </c>
    </row>
    <row r="245" spans="1:26" x14ac:dyDescent="0.35">
      <c r="A245">
        <v>244</v>
      </c>
      <c r="B245" s="10">
        <v>0.72549019607843135</v>
      </c>
      <c r="C245">
        <v>0</v>
      </c>
      <c r="D245">
        <v>0</v>
      </c>
      <c r="E245">
        <v>0</v>
      </c>
      <c r="F245">
        <v>0</v>
      </c>
      <c r="G245">
        <v>1</v>
      </c>
      <c r="H245">
        <v>3</v>
      </c>
      <c r="I245">
        <v>0</v>
      </c>
      <c r="J245" s="10">
        <v>0.30582730752871118</v>
      </c>
      <c r="K245">
        <v>0</v>
      </c>
      <c r="L245">
        <v>0</v>
      </c>
      <c r="M245">
        <v>1</v>
      </c>
      <c r="N245" s="10">
        <v>0.48577707745894838</v>
      </c>
      <c r="O245" s="11">
        <v>0.47425501519145252</v>
      </c>
      <c r="P245" s="10">
        <v>0.75</v>
      </c>
      <c r="Q245">
        <v>2</v>
      </c>
      <c r="R245">
        <v>1</v>
      </c>
      <c r="S245">
        <v>1</v>
      </c>
      <c r="T245">
        <v>0</v>
      </c>
      <c r="U245">
        <v>0</v>
      </c>
      <c r="V245" s="10">
        <v>6.4788732394366194E-2</v>
      </c>
      <c r="W245" s="5">
        <v>3</v>
      </c>
      <c r="X245" s="5">
        <v>2</v>
      </c>
      <c r="Y245" s="5">
        <v>3</v>
      </c>
      <c r="Z245" s="5">
        <v>8</v>
      </c>
    </row>
    <row r="246" spans="1:26" x14ac:dyDescent="0.35">
      <c r="A246">
        <v>245</v>
      </c>
      <c r="B246" s="10">
        <v>0.5490196078431373</v>
      </c>
      <c r="C246">
        <v>0</v>
      </c>
      <c r="D246">
        <v>1</v>
      </c>
      <c r="E246">
        <v>0</v>
      </c>
      <c r="F246">
        <v>0</v>
      </c>
      <c r="G246">
        <v>0</v>
      </c>
      <c r="H246">
        <v>1</v>
      </c>
      <c r="I246">
        <v>0</v>
      </c>
      <c r="J246" s="10">
        <v>0.42832837090599751</v>
      </c>
      <c r="K246">
        <v>0</v>
      </c>
      <c r="L246">
        <v>0</v>
      </c>
      <c r="M246">
        <v>1</v>
      </c>
      <c r="N246" s="10">
        <v>0.8753198824728099</v>
      </c>
      <c r="O246" s="11">
        <v>0.66289954414463959</v>
      </c>
      <c r="P246" s="10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 s="10">
        <v>0.14084507042253522</v>
      </c>
      <c r="W246" s="5">
        <v>2</v>
      </c>
      <c r="X246" s="5">
        <v>3</v>
      </c>
      <c r="Y246" s="5">
        <v>3</v>
      </c>
      <c r="Z246" s="5">
        <v>8</v>
      </c>
    </row>
    <row r="247" spans="1:26" x14ac:dyDescent="0.35">
      <c r="A247">
        <v>246</v>
      </c>
      <c r="B247" s="10">
        <v>0.92156862745098034</v>
      </c>
      <c r="C247">
        <v>0</v>
      </c>
      <c r="D247">
        <v>0</v>
      </c>
      <c r="E247">
        <v>0</v>
      </c>
      <c r="F247">
        <v>1</v>
      </c>
      <c r="G247">
        <v>0</v>
      </c>
      <c r="H247">
        <v>2</v>
      </c>
      <c r="I247">
        <v>0</v>
      </c>
      <c r="J247" s="10">
        <v>0.81624840493407058</v>
      </c>
      <c r="K247">
        <v>1</v>
      </c>
      <c r="L247">
        <v>0</v>
      </c>
      <c r="M247">
        <v>0</v>
      </c>
      <c r="N247" s="10">
        <v>0.34397436201217918</v>
      </c>
      <c r="O247" s="11">
        <v>0.58911648121692584</v>
      </c>
      <c r="P247" s="10">
        <v>0.375</v>
      </c>
      <c r="Q247">
        <v>1</v>
      </c>
      <c r="R247">
        <v>0</v>
      </c>
      <c r="S247">
        <v>0</v>
      </c>
      <c r="T247">
        <v>1</v>
      </c>
      <c r="U247">
        <v>0</v>
      </c>
      <c r="V247" s="10">
        <v>9.5774647887323941E-2</v>
      </c>
      <c r="W247" s="5">
        <v>2</v>
      </c>
      <c r="X247" s="5">
        <v>2</v>
      </c>
      <c r="Y247" s="5">
        <v>2</v>
      </c>
      <c r="Z247" s="5">
        <v>6</v>
      </c>
    </row>
    <row r="248" spans="1:26" x14ac:dyDescent="0.35">
      <c r="A248">
        <v>247</v>
      </c>
      <c r="B248" s="10">
        <v>0.78431372549019607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2</v>
      </c>
      <c r="I248">
        <v>0</v>
      </c>
      <c r="J248" s="10">
        <v>4.0408336877924292E-2</v>
      </c>
      <c r="K248">
        <v>0</v>
      </c>
      <c r="L248">
        <v>0</v>
      </c>
      <c r="M248">
        <v>1</v>
      </c>
      <c r="N248" s="10">
        <v>0.55620453522261448</v>
      </c>
      <c r="O248" s="11">
        <v>0.54260361662925083</v>
      </c>
      <c r="P248" s="10">
        <v>0.75</v>
      </c>
      <c r="Q248">
        <v>2</v>
      </c>
      <c r="R248">
        <v>0</v>
      </c>
      <c r="S248">
        <v>1</v>
      </c>
      <c r="T248">
        <v>0</v>
      </c>
      <c r="U248">
        <v>1</v>
      </c>
      <c r="V248" s="10">
        <v>0.24225352112676057</v>
      </c>
      <c r="W248" s="5">
        <v>1</v>
      </c>
      <c r="X248" s="5">
        <v>2</v>
      </c>
      <c r="Y248" s="5">
        <v>3</v>
      </c>
      <c r="Z248" s="5">
        <v>6</v>
      </c>
    </row>
    <row r="249" spans="1:26" x14ac:dyDescent="0.35">
      <c r="A249">
        <v>248</v>
      </c>
      <c r="B249" s="10">
        <v>3.9215686274509803E-2</v>
      </c>
      <c r="C249">
        <v>1</v>
      </c>
      <c r="D249">
        <v>0</v>
      </c>
      <c r="E249">
        <v>1</v>
      </c>
      <c r="F249">
        <v>0</v>
      </c>
      <c r="G249">
        <v>0</v>
      </c>
      <c r="H249">
        <v>3</v>
      </c>
      <c r="I249">
        <v>1</v>
      </c>
      <c r="J249" s="10">
        <v>0.61207996597192693</v>
      </c>
      <c r="K249">
        <v>0</v>
      </c>
      <c r="L249">
        <v>0</v>
      </c>
      <c r="M249">
        <v>1</v>
      </c>
      <c r="N249" s="10">
        <v>0.44704760325095366</v>
      </c>
      <c r="O249" s="11">
        <v>0.61133624419002386</v>
      </c>
      <c r="P249" s="10">
        <v>0.5</v>
      </c>
      <c r="Q249">
        <v>1</v>
      </c>
      <c r="R249">
        <v>1</v>
      </c>
      <c r="S249">
        <v>1</v>
      </c>
      <c r="T249">
        <v>0</v>
      </c>
      <c r="U249">
        <v>0</v>
      </c>
      <c r="V249" s="10">
        <v>0.11267605633802817</v>
      </c>
      <c r="W249" s="5">
        <v>2</v>
      </c>
      <c r="X249" s="5">
        <v>2</v>
      </c>
      <c r="Y249" s="5">
        <v>2</v>
      </c>
      <c r="Z249" s="5">
        <v>6</v>
      </c>
    </row>
    <row r="250" spans="1:26" x14ac:dyDescent="0.35">
      <c r="A250">
        <v>249</v>
      </c>
      <c r="B250" s="10">
        <v>0.52941176470588236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1</v>
      </c>
      <c r="I250">
        <v>0</v>
      </c>
      <c r="J250" s="10">
        <v>0.81624840493407058</v>
      </c>
      <c r="K250">
        <v>0</v>
      </c>
      <c r="L250">
        <v>1</v>
      </c>
      <c r="M250">
        <v>0</v>
      </c>
      <c r="N250" s="10">
        <v>0.10265561689927255</v>
      </c>
      <c r="O250" s="11">
        <v>0.71709692347934562</v>
      </c>
      <c r="P250" s="10">
        <v>0</v>
      </c>
      <c r="Q250">
        <v>1</v>
      </c>
      <c r="R250">
        <v>1</v>
      </c>
      <c r="S250">
        <v>1</v>
      </c>
      <c r="T250">
        <v>0</v>
      </c>
      <c r="U250">
        <v>0</v>
      </c>
      <c r="V250" s="10">
        <v>0.95211267605633798</v>
      </c>
      <c r="W250" s="5">
        <v>1</v>
      </c>
      <c r="X250" s="5">
        <v>1</v>
      </c>
      <c r="Y250" s="5">
        <v>1</v>
      </c>
      <c r="Z250" s="5">
        <v>3</v>
      </c>
    </row>
    <row r="251" spans="1:26" x14ac:dyDescent="0.35">
      <c r="A251">
        <v>250</v>
      </c>
      <c r="B251" s="10">
        <v>0.37254901960784315</v>
      </c>
      <c r="C251">
        <v>1</v>
      </c>
      <c r="D251">
        <v>0</v>
      </c>
      <c r="E251">
        <v>0</v>
      </c>
      <c r="F251">
        <v>0</v>
      </c>
      <c r="G251">
        <v>1</v>
      </c>
      <c r="H251">
        <v>1</v>
      </c>
      <c r="I251">
        <v>0</v>
      </c>
      <c r="J251" s="10">
        <v>0.65291365376435562</v>
      </c>
      <c r="K251">
        <v>0</v>
      </c>
      <c r="L251">
        <v>1</v>
      </c>
      <c r="M251">
        <v>0</v>
      </c>
      <c r="N251" s="10">
        <v>0.47317726227993273</v>
      </c>
      <c r="O251" s="11">
        <v>0.46202711753326453</v>
      </c>
      <c r="P251" s="10">
        <v>0.75</v>
      </c>
      <c r="Q251">
        <v>1</v>
      </c>
      <c r="R251">
        <v>0</v>
      </c>
      <c r="S251">
        <v>0</v>
      </c>
      <c r="T251">
        <v>1</v>
      </c>
      <c r="U251">
        <v>0</v>
      </c>
      <c r="V251" s="10">
        <v>8.4507042253521118E-3</v>
      </c>
      <c r="W251" s="5">
        <v>3</v>
      </c>
      <c r="X251" s="5">
        <v>2</v>
      </c>
      <c r="Y251" s="5">
        <v>3</v>
      </c>
      <c r="Z251" s="5">
        <v>8</v>
      </c>
    </row>
    <row r="252" spans="1:26" x14ac:dyDescent="0.35">
      <c r="A252">
        <v>251</v>
      </c>
      <c r="B252" s="10">
        <v>0.49019607843137253</v>
      </c>
      <c r="C252">
        <v>0</v>
      </c>
      <c r="D252">
        <v>0</v>
      </c>
      <c r="E252">
        <v>0</v>
      </c>
      <c r="F252">
        <v>1</v>
      </c>
      <c r="G252">
        <v>0</v>
      </c>
      <c r="H252">
        <v>2</v>
      </c>
      <c r="I252">
        <v>1</v>
      </c>
      <c r="J252" s="10">
        <v>0.57124627817949813</v>
      </c>
      <c r="K252">
        <v>0</v>
      </c>
      <c r="L252">
        <v>1</v>
      </c>
      <c r="M252">
        <v>0</v>
      </c>
      <c r="N252" s="10">
        <v>0.58022830130559433</v>
      </c>
      <c r="O252" s="11">
        <v>0.5659182564754105</v>
      </c>
      <c r="P252" s="10">
        <v>0.75</v>
      </c>
      <c r="Q252">
        <v>1</v>
      </c>
      <c r="R252">
        <v>0</v>
      </c>
      <c r="S252">
        <v>1</v>
      </c>
      <c r="T252">
        <v>0</v>
      </c>
      <c r="U252">
        <v>0</v>
      </c>
      <c r="V252" s="10">
        <v>7.3239436619718309E-2</v>
      </c>
      <c r="W252" s="5">
        <v>3</v>
      </c>
      <c r="X252" s="5">
        <v>2</v>
      </c>
      <c r="Y252" s="5">
        <v>3</v>
      </c>
      <c r="Z252" s="5">
        <v>8</v>
      </c>
    </row>
    <row r="253" spans="1:26" x14ac:dyDescent="0.35">
      <c r="A253">
        <v>252</v>
      </c>
      <c r="B253" s="10">
        <v>0.45098039215686275</v>
      </c>
      <c r="C253">
        <v>1</v>
      </c>
      <c r="D253">
        <v>0</v>
      </c>
      <c r="E253">
        <v>0</v>
      </c>
      <c r="F253">
        <v>0</v>
      </c>
      <c r="G253">
        <v>1</v>
      </c>
      <c r="H253">
        <v>2</v>
      </c>
      <c r="I253">
        <v>1</v>
      </c>
      <c r="J253" s="10">
        <v>0.22415993194385367</v>
      </c>
      <c r="K253">
        <v>0</v>
      </c>
      <c r="L253">
        <v>0</v>
      </c>
      <c r="M253">
        <v>1</v>
      </c>
      <c r="N253" s="10">
        <v>0.28757138118143255</v>
      </c>
      <c r="O253" s="11">
        <v>0.49332481538863954</v>
      </c>
      <c r="P253" s="10">
        <v>0.375</v>
      </c>
      <c r="Q253">
        <v>0</v>
      </c>
      <c r="R253">
        <v>0</v>
      </c>
      <c r="S253">
        <v>0</v>
      </c>
      <c r="T253">
        <v>0</v>
      </c>
      <c r="U253">
        <v>0</v>
      </c>
      <c r="V253" s="10">
        <v>0.43943661971830988</v>
      </c>
      <c r="W253" s="5">
        <v>1</v>
      </c>
      <c r="X253" s="5">
        <v>2</v>
      </c>
      <c r="Y253" s="5">
        <v>2</v>
      </c>
      <c r="Z253" s="5">
        <v>5</v>
      </c>
    </row>
    <row r="254" spans="1:26" x14ac:dyDescent="0.35">
      <c r="A254">
        <v>253</v>
      </c>
      <c r="B254" s="10">
        <v>1</v>
      </c>
      <c r="C254">
        <v>1</v>
      </c>
      <c r="D254">
        <v>1</v>
      </c>
      <c r="E254">
        <v>0</v>
      </c>
      <c r="F254">
        <v>0</v>
      </c>
      <c r="G254">
        <v>0</v>
      </c>
      <c r="H254">
        <v>2</v>
      </c>
      <c r="I254">
        <v>0</v>
      </c>
      <c r="J254" s="10">
        <v>0.14249255635899619</v>
      </c>
      <c r="K254">
        <v>0</v>
      </c>
      <c r="L254">
        <v>0</v>
      </c>
      <c r="M254">
        <v>1</v>
      </c>
      <c r="N254" s="10">
        <v>0.38780122266189604</v>
      </c>
      <c r="O254" s="11">
        <v>0.53083965472142292</v>
      </c>
      <c r="P254" s="10">
        <v>0.5</v>
      </c>
      <c r="Q254">
        <v>1</v>
      </c>
      <c r="R254">
        <v>0</v>
      </c>
      <c r="S254">
        <v>1</v>
      </c>
      <c r="T254">
        <v>0</v>
      </c>
      <c r="U254">
        <v>0</v>
      </c>
      <c r="V254" s="10">
        <v>8.4507042253521125E-2</v>
      </c>
      <c r="W254" s="5">
        <v>2</v>
      </c>
      <c r="X254" s="5">
        <v>2</v>
      </c>
      <c r="Y254" s="5">
        <v>2</v>
      </c>
      <c r="Z254" s="5">
        <v>6</v>
      </c>
    </row>
    <row r="255" spans="1:26" x14ac:dyDescent="0.35">
      <c r="A255">
        <v>254</v>
      </c>
      <c r="B255" s="10">
        <v>0.90196078431372551</v>
      </c>
      <c r="C255">
        <v>0</v>
      </c>
      <c r="D255">
        <v>0</v>
      </c>
      <c r="E255">
        <v>1</v>
      </c>
      <c r="F255">
        <v>0</v>
      </c>
      <c r="G255">
        <v>0</v>
      </c>
      <c r="H255">
        <v>1</v>
      </c>
      <c r="I255">
        <v>1</v>
      </c>
      <c r="J255" s="10">
        <v>1.9991492981709911E-2</v>
      </c>
      <c r="K255">
        <v>1</v>
      </c>
      <c r="L255">
        <v>0</v>
      </c>
      <c r="M255">
        <v>0</v>
      </c>
      <c r="N255" s="10">
        <v>0.65471056559960172</v>
      </c>
      <c r="O255" s="11">
        <v>0.49637931458491225</v>
      </c>
      <c r="P255" s="10">
        <v>1</v>
      </c>
      <c r="Q255">
        <v>2</v>
      </c>
      <c r="R255">
        <v>1</v>
      </c>
      <c r="S255">
        <v>1</v>
      </c>
      <c r="T255">
        <v>1</v>
      </c>
      <c r="U255">
        <v>0</v>
      </c>
      <c r="V255" s="10">
        <v>6.1971830985915494E-2</v>
      </c>
      <c r="W255" s="5">
        <v>3</v>
      </c>
      <c r="X255" s="5">
        <v>3</v>
      </c>
      <c r="Y255" s="5">
        <v>3</v>
      </c>
      <c r="Z255" s="5">
        <v>9</v>
      </c>
    </row>
    <row r="256" spans="1:26" x14ac:dyDescent="0.35">
      <c r="A256">
        <v>255</v>
      </c>
      <c r="B256" s="10">
        <v>0.39215686274509803</v>
      </c>
      <c r="C256">
        <v>1</v>
      </c>
      <c r="D256">
        <v>0</v>
      </c>
      <c r="E256">
        <v>0</v>
      </c>
      <c r="F256">
        <v>1</v>
      </c>
      <c r="G256">
        <v>0</v>
      </c>
      <c r="H256">
        <v>2</v>
      </c>
      <c r="I256">
        <v>0</v>
      </c>
      <c r="J256" s="10">
        <v>0.87749893662271372</v>
      </c>
      <c r="K256">
        <v>1</v>
      </c>
      <c r="L256">
        <v>0</v>
      </c>
      <c r="M256">
        <v>0</v>
      </c>
      <c r="N256" s="10">
        <v>0.78871466483425323</v>
      </c>
      <c r="O256" s="11">
        <v>0.76825058279413483</v>
      </c>
      <c r="P256" s="10">
        <v>0.75</v>
      </c>
      <c r="Q256">
        <v>1</v>
      </c>
      <c r="R256">
        <v>1</v>
      </c>
      <c r="S256">
        <v>1</v>
      </c>
      <c r="T256">
        <v>0</v>
      </c>
      <c r="U256">
        <v>0</v>
      </c>
      <c r="V256" s="10">
        <v>8.4507042253521118E-3</v>
      </c>
      <c r="W256" s="5">
        <v>3</v>
      </c>
      <c r="X256" s="5">
        <v>2</v>
      </c>
      <c r="Y256" s="5">
        <v>3</v>
      </c>
      <c r="Z256" s="5">
        <v>8</v>
      </c>
    </row>
    <row r="257" spans="1:26" x14ac:dyDescent="0.35">
      <c r="A257">
        <v>256</v>
      </c>
      <c r="B257" s="10">
        <v>0.56862745098039214</v>
      </c>
      <c r="C257">
        <v>0</v>
      </c>
      <c r="D257">
        <v>0</v>
      </c>
      <c r="E257">
        <v>0</v>
      </c>
      <c r="F257">
        <v>0</v>
      </c>
      <c r="G257">
        <v>1</v>
      </c>
      <c r="H257">
        <v>2</v>
      </c>
      <c r="I257">
        <v>0</v>
      </c>
      <c r="J257" s="10">
        <v>0.57124627817949813</v>
      </c>
      <c r="K257">
        <v>1</v>
      </c>
      <c r="L257">
        <v>0</v>
      </c>
      <c r="M257">
        <v>0</v>
      </c>
      <c r="N257" s="10">
        <v>5.8902803118261723E-2</v>
      </c>
      <c r="O257" s="11">
        <v>0.41986760296987863</v>
      </c>
      <c r="P257" s="10">
        <v>0</v>
      </c>
      <c r="Q257">
        <v>2</v>
      </c>
      <c r="R257">
        <v>1</v>
      </c>
      <c r="S257">
        <v>0</v>
      </c>
      <c r="T257">
        <v>1</v>
      </c>
      <c r="U257">
        <v>1</v>
      </c>
      <c r="V257" s="10">
        <v>0.23943661971830985</v>
      </c>
      <c r="W257" s="5">
        <v>1</v>
      </c>
      <c r="X257" s="5">
        <v>1</v>
      </c>
      <c r="Y257" s="5">
        <v>1</v>
      </c>
      <c r="Z257" s="5">
        <v>3</v>
      </c>
    </row>
    <row r="258" spans="1:26" x14ac:dyDescent="0.35">
      <c r="A258">
        <v>257</v>
      </c>
      <c r="B258" s="10">
        <v>5.8823529411764705E-2</v>
      </c>
      <c r="C258">
        <v>0</v>
      </c>
      <c r="D258">
        <v>0</v>
      </c>
      <c r="E258">
        <v>0</v>
      </c>
      <c r="F258">
        <v>0</v>
      </c>
      <c r="G258">
        <v>1</v>
      </c>
      <c r="H258">
        <v>1</v>
      </c>
      <c r="I258">
        <v>0</v>
      </c>
      <c r="J258" s="10">
        <v>0.79583156103785624</v>
      </c>
      <c r="K258">
        <v>0</v>
      </c>
      <c r="L258">
        <v>1</v>
      </c>
      <c r="M258">
        <v>0</v>
      </c>
      <c r="N258" s="10">
        <v>2.4530246664929034E-2</v>
      </c>
      <c r="O258" s="11">
        <v>0.18636189862975111</v>
      </c>
      <c r="P258" s="10">
        <v>0</v>
      </c>
      <c r="Q258">
        <v>1</v>
      </c>
      <c r="R258">
        <v>0</v>
      </c>
      <c r="S258">
        <v>0</v>
      </c>
      <c r="T258">
        <v>1</v>
      </c>
      <c r="U258">
        <v>0</v>
      </c>
      <c r="V258" s="10">
        <v>0.96619718309859159</v>
      </c>
      <c r="W258" s="5">
        <v>1</v>
      </c>
      <c r="X258" s="5">
        <v>1</v>
      </c>
      <c r="Y258" s="5">
        <v>1</v>
      </c>
      <c r="Z258" s="5">
        <v>3</v>
      </c>
    </row>
    <row r="259" spans="1:26" x14ac:dyDescent="0.35">
      <c r="A259">
        <v>258</v>
      </c>
      <c r="B259" s="10">
        <v>0.68627450980392157</v>
      </c>
      <c r="C259">
        <v>1</v>
      </c>
      <c r="D259">
        <v>1</v>
      </c>
      <c r="E259">
        <v>0</v>
      </c>
      <c r="F259">
        <v>0</v>
      </c>
      <c r="G259">
        <v>0</v>
      </c>
      <c r="H259">
        <v>1</v>
      </c>
      <c r="I259">
        <v>0</v>
      </c>
      <c r="J259" s="10">
        <v>0.38749468311356872</v>
      </c>
      <c r="K259">
        <v>1</v>
      </c>
      <c r="L259">
        <v>0</v>
      </c>
      <c r="M259">
        <v>0</v>
      </c>
      <c r="N259" s="10">
        <v>0.24377710115394643</v>
      </c>
      <c r="O259" s="11">
        <v>0.41894706130908071</v>
      </c>
      <c r="P259" s="10">
        <v>0.375</v>
      </c>
      <c r="Q259">
        <v>2</v>
      </c>
      <c r="R259">
        <v>1</v>
      </c>
      <c r="S259">
        <v>1</v>
      </c>
      <c r="T259">
        <v>0</v>
      </c>
      <c r="U259">
        <v>1</v>
      </c>
      <c r="V259" s="10">
        <v>0.15492957746478872</v>
      </c>
      <c r="W259" s="5">
        <v>2</v>
      </c>
      <c r="X259" s="5">
        <v>2</v>
      </c>
      <c r="Y259" s="5">
        <v>1</v>
      </c>
      <c r="Z259" s="5">
        <v>5</v>
      </c>
    </row>
    <row r="260" spans="1:26" x14ac:dyDescent="0.35">
      <c r="A260">
        <v>259</v>
      </c>
      <c r="B260" s="10">
        <v>0.76470588235294112</v>
      </c>
      <c r="C260">
        <v>1</v>
      </c>
      <c r="D260">
        <v>0</v>
      </c>
      <c r="E260">
        <v>0</v>
      </c>
      <c r="F260">
        <v>0</v>
      </c>
      <c r="G260">
        <v>1</v>
      </c>
      <c r="H260">
        <v>3</v>
      </c>
      <c r="I260">
        <v>0</v>
      </c>
      <c r="J260" s="10">
        <v>0.79583156103785624</v>
      </c>
      <c r="K260">
        <v>0</v>
      </c>
      <c r="L260">
        <v>0</v>
      </c>
      <c r="M260">
        <v>1</v>
      </c>
      <c r="N260" s="10">
        <v>0.4323952088714072</v>
      </c>
      <c r="O260" s="11">
        <v>0.49285699913479136</v>
      </c>
      <c r="P260" s="10">
        <v>0.625</v>
      </c>
      <c r="Q260">
        <v>1</v>
      </c>
      <c r="R260">
        <v>0</v>
      </c>
      <c r="S260">
        <v>0</v>
      </c>
      <c r="T260">
        <v>0</v>
      </c>
      <c r="U260">
        <v>1</v>
      </c>
      <c r="V260" s="10">
        <v>0.19718309859154928</v>
      </c>
      <c r="W260" s="5">
        <v>2</v>
      </c>
      <c r="X260" s="5">
        <v>2</v>
      </c>
      <c r="Y260" s="5">
        <v>2</v>
      </c>
      <c r="Z260" s="5">
        <v>6</v>
      </c>
    </row>
    <row r="261" spans="1:26" x14ac:dyDescent="0.35">
      <c r="A261">
        <v>260</v>
      </c>
      <c r="B261" s="10">
        <v>0.17647058823529413</v>
      </c>
      <c r="C261">
        <v>1</v>
      </c>
      <c r="D261">
        <v>1</v>
      </c>
      <c r="E261">
        <v>0</v>
      </c>
      <c r="F261">
        <v>0</v>
      </c>
      <c r="G261">
        <v>0</v>
      </c>
      <c r="H261">
        <v>1</v>
      </c>
      <c r="I261">
        <v>1</v>
      </c>
      <c r="J261" s="10">
        <v>0.65291365376435562</v>
      </c>
      <c r="K261">
        <v>0</v>
      </c>
      <c r="L261">
        <v>1</v>
      </c>
      <c r="M261">
        <v>0</v>
      </c>
      <c r="N261" s="10">
        <v>0.70667961993223227</v>
      </c>
      <c r="O261" s="11">
        <v>0.60255739552103671</v>
      </c>
      <c r="P261" s="10">
        <v>0.875</v>
      </c>
      <c r="Q261">
        <v>1</v>
      </c>
      <c r="R261">
        <v>0</v>
      </c>
      <c r="S261">
        <v>0</v>
      </c>
      <c r="T261">
        <v>1</v>
      </c>
      <c r="U261">
        <v>0</v>
      </c>
      <c r="V261" s="10">
        <v>0.17183098591549295</v>
      </c>
      <c r="W261" s="5">
        <v>2</v>
      </c>
      <c r="X261" s="5">
        <v>3</v>
      </c>
      <c r="Y261" s="5">
        <v>3</v>
      </c>
      <c r="Z261" s="5">
        <v>8</v>
      </c>
    </row>
    <row r="262" spans="1:26" x14ac:dyDescent="0.35">
      <c r="A262">
        <v>261</v>
      </c>
      <c r="B262" s="10">
        <v>0.17647058823529413</v>
      </c>
      <c r="C262">
        <v>1</v>
      </c>
      <c r="D262">
        <v>0</v>
      </c>
      <c r="E262">
        <v>1</v>
      </c>
      <c r="F262">
        <v>0</v>
      </c>
      <c r="G262">
        <v>0</v>
      </c>
      <c r="H262">
        <v>1</v>
      </c>
      <c r="I262">
        <v>1</v>
      </c>
      <c r="J262" s="10">
        <v>1</v>
      </c>
      <c r="K262">
        <v>0</v>
      </c>
      <c r="L262">
        <v>0</v>
      </c>
      <c r="M262">
        <v>1</v>
      </c>
      <c r="N262" s="10">
        <v>0.14195377105892945</v>
      </c>
      <c r="O262" s="11">
        <v>0.98406406567536564</v>
      </c>
      <c r="P262" s="10">
        <v>0</v>
      </c>
      <c r="Q262">
        <v>1</v>
      </c>
      <c r="R262">
        <v>1</v>
      </c>
      <c r="S262">
        <v>1</v>
      </c>
      <c r="T262">
        <v>0</v>
      </c>
      <c r="U262">
        <v>0</v>
      </c>
      <c r="V262" s="10">
        <v>0.60281690140845068</v>
      </c>
      <c r="W262" s="5">
        <v>1</v>
      </c>
      <c r="X262" s="5">
        <v>1</v>
      </c>
      <c r="Y262" s="5">
        <v>1</v>
      </c>
      <c r="Z262" s="5">
        <v>3</v>
      </c>
    </row>
    <row r="263" spans="1:26" x14ac:dyDescent="0.35">
      <c r="A263">
        <v>262</v>
      </c>
      <c r="B263" s="10">
        <v>0.80392156862745101</v>
      </c>
      <c r="C263">
        <v>0</v>
      </c>
      <c r="D263">
        <v>0</v>
      </c>
      <c r="E263">
        <v>0</v>
      </c>
      <c r="F263">
        <v>1</v>
      </c>
      <c r="G263">
        <v>0</v>
      </c>
      <c r="H263">
        <v>3</v>
      </c>
      <c r="I263">
        <v>1</v>
      </c>
      <c r="J263" s="10">
        <v>0.61207996597192693</v>
      </c>
      <c r="K263">
        <v>0</v>
      </c>
      <c r="L263">
        <v>1</v>
      </c>
      <c r="M263">
        <v>0</v>
      </c>
      <c r="N263" s="10">
        <v>0.86806328933962029</v>
      </c>
      <c r="O263" s="11">
        <v>0.65742212564080205</v>
      </c>
      <c r="P263" s="10">
        <v>1</v>
      </c>
      <c r="Q263">
        <v>2</v>
      </c>
      <c r="R263">
        <v>1</v>
      </c>
      <c r="S263">
        <v>0</v>
      </c>
      <c r="T263">
        <v>0</v>
      </c>
      <c r="U263">
        <v>1</v>
      </c>
      <c r="V263" s="10">
        <v>7.3239436619718309E-2</v>
      </c>
      <c r="W263" s="5">
        <v>3</v>
      </c>
      <c r="X263" s="5">
        <v>3</v>
      </c>
      <c r="Y263" s="5">
        <v>3</v>
      </c>
      <c r="Z263" s="5">
        <v>9</v>
      </c>
    </row>
    <row r="264" spans="1:26" x14ac:dyDescent="0.35">
      <c r="A264">
        <v>263</v>
      </c>
      <c r="B264" s="10">
        <v>0.45098039215686275</v>
      </c>
      <c r="C264">
        <v>1</v>
      </c>
      <c r="D264">
        <v>1</v>
      </c>
      <c r="E264">
        <v>0</v>
      </c>
      <c r="F264">
        <v>0</v>
      </c>
      <c r="G264">
        <v>0</v>
      </c>
      <c r="H264">
        <v>1</v>
      </c>
      <c r="I264">
        <v>0</v>
      </c>
      <c r="J264" s="10">
        <v>4.0408336877924292E-2</v>
      </c>
      <c r="K264">
        <v>0</v>
      </c>
      <c r="L264">
        <v>1</v>
      </c>
      <c r="M264">
        <v>0</v>
      </c>
      <c r="N264" s="10">
        <v>9.5964741842996895E-4</v>
      </c>
      <c r="O264" s="11">
        <v>2.6237952473892833E-2</v>
      </c>
      <c r="P264" s="10">
        <v>0</v>
      </c>
      <c r="Q264">
        <v>2</v>
      </c>
      <c r="R264">
        <v>0</v>
      </c>
      <c r="S264">
        <v>1</v>
      </c>
      <c r="T264">
        <v>0</v>
      </c>
      <c r="U264">
        <v>1</v>
      </c>
      <c r="V264" s="10">
        <v>0.14366197183098592</v>
      </c>
      <c r="W264" s="5">
        <v>2</v>
      </c>
      <c r="X264" s="5">
        <v>1</v>
      </c>
      <c r="Y264" s="5">
        <v>1</v>
      </c>
      <c r="Z264" s="5">
        <v>4</v>
      </c>
    </row>
    <row r="265" spans="1:26" x14ac:dyDescent="0.35">
      <c r="A265">
        <v>264</v>
      </c>
      <c r="B265" s="10">
        <v>5.8823529411764705E-2</v>
      </c>
      <c r="C265">
        <v>0</v>
      </c>
      <c r="D265">
        <v>0</v>
      </c>
      <c r="E265">
        <v>0</v>
      </c>
      <c r="F265">
        <v>0</v>
      </c>
      <c r="G265">
        <v>1</v>
      </c>
      <c r="H265">
        <v>3</v>
      </c>
      <c r="I265">
        <v>0</v>
      </c>
      <c r="J265" s="10">
        <v>0.89791578051892806</v>
      </c>
      <c r="K265">
        <v>0</v>
      </c>
      <c r="L265">
        <v>0</v>
      </c>
      <c r="M265">
        <v>1</v>
      </c>
      <c r="N265" s="10">
        <v>0.15260171077885459</v>
      </c>
      <c r="O265" s="11">
        <v>0.52819976257067547</v>
      </c>
      <c r="P265" s="10">
        <v>0.125</v>
      </c>
      <c r="Q265">
        <v>1</v>
      </c>
      <c r="R265">
        <v>0</v>
      </c>
      <c r="S265">
        <v>0</v>
      </c>
      <c r="T265">
        <v>1</v>
      </c>
      <c r="U265">
        <v>0</v>
      </c>
      <c r="V265" s="10">
        <v>0.45352112676056339</v>
      </c>
      <c r="W265" s="5">
        <v>1</v>
      </c>
      <c r="X265" s="5">
        <v>1</v>
      </c>
      <c r="Y265" s="5">
        <v>1</v>
      </c>
      <c r="Z265" s="5">
        <v>3</v>
      </c>
    </row>
    <row r="266" spans="1:26" x14ac:dyDescent="0.35">
      <c r="A266">
        <v>265</v>
      </c>
      <c r="B266" s="10">
        <v>0.90196078431372551</v>
      </c>
      <c r="C266">
        <v>1</v>
      </c>
      <c r="D266">
        <v>0</v>
      </c>
      <c r="E266">
        <v>0</v>
      </c>
      <c r="F266">
        <v>0</v>
      </c>
      <c r="G266">
        <v>1</v>
      </c>
      <c r="H266">
        <v>1</v>
      </c>
      <c r="I266">
        <v>0</v>
      </c>
      <c r="J266" s="10">
        <v>0.87749893662271372</v>
      </c>
      <c r="K266">
        <v>0</v>
      </c>
      <c r="L266">
        <v>0</v>
      </c>
      <c r="M266">
        <v>1</v>
      </c>
      <c r="N266" s="10">
        <v>0.44489432030898274</v>
      </c>
      <c r="O266" s="11">
        <v>0.60841063200466805</v>
      </c>
      <c r="P266" s="10">
        <v>0.5</v>
      </c>
      <c r="Q266">
        <v>0</v>
      </c>
      <c r="R266">
        <v>0</v>
      </c>
      <c r="S266">
        <v>0</v>
      </c>
      <c r="T266">
        <v>0</v>
      </c>
      <c r="U266">
        <v>0</v>
      </c>
      <c r="V266" s="10">
        <v>0.352112676056338</v>
      </c>
      <c r="W266" s="5">
        <v>1</v>
      </c>
      <c r="X266" s="5">
        <v>2</v>
      </c>
      <c r="Y266" s="5">
        <v>2</v>
      </c>
      <c r="Z266" s="5">
        <v>5</v>
      </c>
    </row>
    <row r="267" spans="1:26" x14ac:dyDescent="0.35">
      <c r="A267">
        <v>266</v>
      </c>
      <c r="B267" s="10">
        <v>0.50980392156862742</v>
      </c>
      <c r="C267">
        <v>1</v>
      </c>
      <c r="D267">
        <v>0</v>
      </c>
      <c r="E267">
        <v>1</v>
      </c>
      <c r="F267">
        <v>0</v>
      </c>
      <c r="G267">
        <v>0</v>
      </c>
      <c r="H267">
        <v>3</v>
      </c>
      <c r="I267">
        <v>0</v>
      </c>
      <c r="J267" s="10">
        <v>0.75499787324542744</v>
      </c>
      <c r="K267">
        <v>0</v>
      </c>
      <c r="L267">
        <v>0</v>
      </c>
      <c r="M267">
        <v>1</v>
      </c>
      <c r="N267" s="10">
        <v>0.13316292680615122</v>
      </c>
      <c r="O267" s="11">
        <v>0.92434455421638262</v>
      </c>
      <c r="P267" s="10">
        <v>0</v>
      </c>
      <c r="Q267">
        <v>1</v>
      </c>
      <c r="R267">
        <v>0</v>
      </c>
      <c r="S267">
        <v>0</v>
      </c>
      <c r="T267">
        <v>1</v>
      </c>
      <c r="U267">
        <v>0</v>
      </c>
      <c r="V267" s="10">
        <v>0.71549295774647892</v>
      </c>
      <c r="W267" s="5">
        <v>1</v>
      </c>
      <c r="X267" s="5">
        <v>1</v>
      </c>
      <c r="Y267" s="5">
        <v>1</v>
      </c>
      <c r="Z267" s="5">
        <v>3</v>
      </c>
    </row>
    <row r="268" spans="1:26" x14ac:dyDescent="0.35">
      <c r="A268">
        <v>267</v>
      </c>
      <c r="B268" s="10">
        <v>0.98039215686274506</v>
      </c>
      <c r="C268">
        <v>0</v>
      </c>
      <c r="D268">
        <v>1</v>
      </c>
      <c r="E268">
        <v>0</v>
      </c>
      <c r="F268">
        <v>0</v>
      </c>
      <c r="G268">
        <v>0</v>
      </c>
      <c r="H268">
        <v>2</v>
      </c>
      <c r="I268">
        <v>0</v>
      </c>
      <c r="J268" s="10">
        <v>0.38749468311356872</v>
      </c>
      <c r="K268">
        <v>0</v>
      </c>
      <c r="L268">
        <v>0</v>
      </c>
      <c r="M268">
        <v>1</v>
      </c>
      <c r="N268" s="10">
        <v>0.13374641613155461</v>
      </c>
      <c r="O268" s="11">
        <v>0.30943613888944782</v>
      </c>
      <c r="P268" s="10">
        <v>0.25</v>
      </c>
      <c r="Q268">
        <v>1</v>
      </c>
      <c r="R268">
        <v>1</v>
      </c>
      <c r="S268">
        <v>0</v>
      </c>
      <c r="T268">
        <v>1</v>
      </c>
      <c r="U268">
        <v>0</v>
      </c>
      <c r="V268" s="10">
        <v>0.10704225352112676</v>
      </c>
      <c r="W268" s="5">
        <v>2</v>
      </c>
      <c r="X268" s="5">
        <v>2</v>
      </c>
      <c r="Y268" s="5">
        <v>1</v>
      </c>
      <c r="Z268" s="5">
        <v>5</v>
      </c>
    </row>
    <row r="269" spans="1:26" x14ac:dyDescent="0.35">
      <c r="A269">
        <v>268</v>
      </c>
      <c r="B269" s="10">
        <v>0.86274509803921573</v>
      </c>
      <c r="C269">
        <v>1</v>
      </c>
      <c r="D269">
        <v>0</v>
      </c>
      <c r="E269">
        <v>0</v>
      </c>
      <c r="F269">
        <v>1</v>
      </c>
      <c r="G269">
        <v>0</v>
      </c>
      <c r="H269">
        <v>2</v>
      </c>
      <c r="I269">
        <v>0</v>
      </c>
      <c r="J269" s="10">
        <v>0.53041259038706934</v>
      </c>
      <c r="K269">
        <v>1</v>
      </c>
      <c r="L269">
        <v>0</v>
      </c>
      <c r="M269">
        <v>0</v>
      </c>
      <c r="N269" s="10">
        <v>0.32176622514987085</v>
      </c>
      <c r="O269" s="11">
        <v>0.44111953962856398</v>
      </c>
      <c r="P269" s="10">
        <v>0.5</v>
      </c>
      <c r="Q269">
        <v>0</v>
      </c>
      <c r="R269">
        <v>0</v>
      </c>
      <c r="S269">
        <v>0</v>
      </c>
      <c r="T269">
        <v>0</v>
      </c>
      <c r="U269">
        <v>0</v>
      </c>
      <c r="V269" s="10">
        <v>0.13521126760563379</v>
      </c>
      <c r="W269" s="5">
        <v>2</v>
      </c>
      <c r="X269" s="5">
        <v>2</v>
      </c>
      <c r="Y269" s="5">
        <v>2</v>
      </c>
      <c r="Z269" s="5">
        <v>6</v>
      </c>
    </row>
    <row r="270" spans="1:26" x14ac:dyDescent="0.35">
      <c r="A270">
        <v>269</v>
      </c>
      <c r="B270" s="10">
        <v>5.8823529411764705E-2</v>
      </c>
      <c r="C270">
        <v>0</v>
      </c>
      <c r="D270">
        <v>0</v>
      </c>
      <c r="E270">
        <v>0</v>
      </c>
      <c r="F270">
        <v>0</v>
      </c>
      <c r="G270">
        <v>1</v>
      </c>
      <c r="H270">
        <v>2</v>
      </c>
      <c r="I270">
        <v>0</v>
      </c>
      <c r="J270" s="10">
        <v>1.9991492981709911E-2</v>
      </c>
      <c r="K270">
        <v>1</v>
      </c>
      <c r="L270">
        <v>0</v>
      </c>
      <c r="M270">
        <v>0</v>
      </c>
      <c r="N270" s="10">
        <v>0.62616105490131024</v>
      </c>
      <c r="O270" s="11">
        <v>0.47482958521409996</v>
      </c>
      <c r="P270" s="10">
        <v>1</v>
      </c>
      <c r="Q270">
        <v>2</v>
      </c>
      <c r="R270">
        <v>1</v>
      </c>
      <c r="S270">
        <v>0</v>
      </c>
      <c r="T270">
        <v>0</v>
      </c>
      <c r="U270">
        <v>1</v>
      </c>
      <c r="V270" s="10">
        <v>5.3521126760563378E-2</v>
      </c>
      <c r="W270" s="5">
        <v>3</v>
      </c>
      <c r="X270" s="5">
        <v>3</v>
      </c>
      <c r="Y270" s="5">
        <v>3</v>
      </c>
      <c r="Z270" s="5">
        <v>9</v>
      </c>
    </row>
    <row r="271" spans="1:26" x14ac:dyDescent="0.35">
      <c r="A271">
        <v>270</v>
      </c>
      <c r="B271" s="10">
        <v>0.60784313725490191</v>
      </c>
      <c r="C271">
        <v>1</v>
      </c>
      <c r="D271">
        <v>1</v>
      </c>
      <c r="E271">
        <v>0</v>
      </c>
      <c r="F271">
        <v>0</v>
      </c>
      <c r="G271">
        <v>0</v>
      </c>
      <c r="H271">
        <v>3</v>
      </c>
      <c r="I271">
        <v>0</v>
      </c>
      <c r="J271" s="10">
        <v>0.85708209272649938</v>
      </c>
      <c r="K271">
        <v>1</v>
      </c>
      <c r="L271">
        <v>0</v>
      </c>
      <c r="M271">
        <v>0</v>
      </c>
      <c r="N271" s="10">
        <v>0.21471814799895741</v>
      </c>
      <c r="O271" s="11">
        <v>0.49279328222566515</v>
      </c>
      <c r="P271" s="10">
        <v>0.25</v>
      </c>
      <c r="Q271">
        <v>1</v>
      </c>
      <c r="R271">
        <v>1</v>
      </c>
      <c r="S271">
        <v>0</v>
      </c>
      <c r="T271">
        <v>1</v>
      </c>
      <c r="U271">
        <v>0</v>
      </c>
      <c r="V271" s="10">
        <v>0.10422535211267606</v>
      </c>
      <c r="W271" s="5">
        <v>2</v>
      </c>
      <c r="X271" s="5">
        <v>2</v>
      </c>
      <c r="Y271" s="5">
        <v>1</v>
      </c>
      <c r="Z271" s="5">
        <v>5</v>
      </c>
    </row>
    <row r="272" spans="1:26" x14ac:dyDescent="0.35">
      <c r="A272">
        <v>271</v>
      </c>
      <c r="B272" s="10">
        <v>0.17647058823529413</v>
      </c>
      <c r="C272">
        <v>1</v>
      </c>
      <c r="D272">
        <v>0</v>
      </c>
      <c r="E272">
        <v>0</v>
      </c>
      <c r="F272">
        <v>0</v>
      </c>
      <c r="G272">
        <v>1</v>
      </c>
      <c r="H272">
        <v>2</v>
      </c>
      <c r="I272">
        <v>1</v>
      </c>
      <c r="J272" s="10">
        <v>0.57124627817949813</v>
      </c>
      <c r="K272">
        <v>0</v>
      </c>
      <c r="L272">
        <v>0</v>
      </c>
      <c r="M272">
        <v>1</v>
      </c>
      <c r="N272" s="10">
        <v>0.25358683032011942</v>
      </c>
      <c r="O272" s="11">
        <v>0.58080980837977969</v>
      </c>
      <c r="P272" s="10">
        <v>0.25</v>
      </c>
      <c r="Q272">
        <v>0</v>
      </c>
      <c r="R272">
        <v>0</v>
      </c>
      <c r="S272">
        <v>0</v>
      </c>
      <c r="T272">
        <v>0</v>
      </c>
      <c r="U272">
        <v>0</v>
      </c>
      <c r="V272" s="10">
        <v>1.6901408450704224E-2</v>
      </c>
      <c r="W272" s="5">
        <v>3</v>
      </c>
      <c r="X272" s="5">
        <v>2</v>
      </c>
      <c r="Y272" s="5">
        <v>2</v>
      </c>
      <c r="Z272" s="5">
        <v>7</v>
      </c>
    </row>
    <row r="273" spans="1:26" x14ac:dyDescent="0.35">
      <c r="A273">
        <v>272</v>
      </c>
      <c r="B273" s="10">
        <v>0.19607843137254902</v>
      </c>
      <c r="C273">
        <v>0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1</v>
      </c>
      <c r="J273" s="10">
        <v>0.53041259038706934</v>
      </c>
      <c r="K273">
        <v>0</v>
      </c>
      <c r="L273">
        <v>0</v>
      </c>
      <c r="M273">
        <v>1</v>
      </c>
      <c r="N273" s="10">
        <v>0.34364855578987274</v>
      </c>
      <c r="O273" s="11">
        <v>0.2942815750819936</v>
      </c>
      <c r="P273" s="10">
        <v>0.875</v>
      </c>
      <c r="Q273">
        <v>2</v>
      </c>
      <c r="R273">
        <v>1</v>
      </c>
      <c r="S273">
        <v>0</v>
      </c>
      <c r="T273">
        <v>1</v>
      </c>
      <c r="U273">
        <v>1</v>
      </c>
      <c r="V273" s="10">
        <v>0.29014084507042254</v>
      </c>
      <c r="W273" s="5">
        <v>1</v>
      </c>
      <c r="X273" s="5">
        <v>3</v>
      </c>
      <c r="Y273" s="5">
        <v>2</v>
      </c>
      <c r="Z273" s="5">
        <v>6</v>
      </c>
    </row>
    <row r="274" spans="1:26" x14ac:dyDescent="0.35">
      <c r="A274">
        <v>273</v>
      </c>
      <c r="B274" s="10">
        <v>0.52941176470588236</v>
      </c>
      <c r="C274">
        <v>0</v>
      </c>
      <c r="D274">
        <v>1</v>
      </c>
      <c r="E274">
        <v>0</v>
      </c>
      <c r="F274">
        <v>0</v>
      </c>
      <c r="G274">
        <v>0</v>
      </c>
      <c r="H274">
        <v>3</v>
      </c>
      <c r="I274">
        <v>0</v>
      </c>
      <c r="J274" s="10">
        <v>0.81624840493407058</v>
      </c>
      <c r="K274">
        <v>1</v>
      </c>
      <c r="L274">
        <v>0</v>
      </c>
      <c r="M274">
        <v>0</v>
      </c>
      <c r="N274" s="10">
        <v>0.45998803402601707</v>
      </c>
      <c r="O274" s="11">
        <v>0.44922720491645413</v>
      </c>
      <c r="P274" s="10">
        <v>0.75</v>
      </c>
      <c r="Q274">
        <v>0</v>
      </c>
      <c r="R274">
        <v>0</v>
      </c>
      <c r="S274">
        <v>0</v>
      </c>
      <c r="T274">
        <v>0</v>
      </c>
      <c r="U274">
        <v>0</v>
      </c>
      <c r="V274" s="10">
        <v>7.8873239436619724E-2</v>
      </c>
      <c r="W274" s="5">
        <v>3</v>
      </c>
      <c r="X274" s="5">
        <v>2</v>
      </c>
      <c r="Y274" s="5">
        <v>2</v>
      </c>
      <c r="Z274" s="5">
        <v>7</v>
      </c>
    </row>
    <row r="275" spans="1:26" x14ac:dyDescent="0.35">
      <c r="A275">
        <v>274</v>
      </c>
      <c r="B275" s="10">
        <v>0.88235294117647056</v>
      </c>
      <c r="C275">
        <v>0</v>
      </c>
      <c r="D275">
        <v>0</v>
      </c>
      <c r="E275">
        <v>0</v>
      </c>
      <c r="F275">
        <v>0</v>
      </c>
      <c r="G275">
        <v>1</v>
      </c>
      <c r="H275">
        <v>1</v>
      </c>
      <c r="I275">
        <v>0</v>
      </c>
      <c r="J275" s="10">
        <v>0.71416418545299876</v>
      </c>
      <c r="K275">
        <v>0</v>
      </c>
      <c r="L275">
        <v>0</v>
      </c>
      <c r="M275">
        <v>1</v>
      </c>
      <c r="N275" s="10">
        <v>0.32803651399189626</v>
      </c>
      <c r="O275" s="11">
        <v>0.56204853216362494</v>
      </c>
      <c r="P275" s="10">
        <v>0.375</v>
      </c>
      <c r="Q275">
        <v>1</v>
      </c>
      <c r="R275">
        <v>1</v>
      </c>
      <c r="S275">
        <v>0</v>
      </c>
      <c r="T275">
        <v>0</v>
      </c>
      <c r="U275">
        <v>1</v>
      </c>
      <c r="V275" s="10">
        <v>0.37183098591549296</v>
      </c>
      <c r="W275" s="5">
        <v>1</v>
      </c>
      <c r="X275" s="5">
        <v>2</v>
      </c>
      <c r="Y275" s="5">
        <v>2</v>
      </c>
      <c r="Z275" s="5">
        <v>5</v>
      </c>
    </row>
    <row r="276" spans="1:26" x14ac:dyDescent="0.35">
      <c r="A276">
        <v>275</v>
      </c>
      <c r="B276" s="10">
        <v>0.13725490196078433</v>
      </c>
      <c r="C276">
        <v>0</v>
      </c>
      <c r="D276">
        <v>0</v>
      </c>
      <c r="E276">
        <v>0</v>
      </c>
      <c r="F276">
        <v>1</v>
      </c>
      <c r="G276">
        <v>0</v>
      </c>
      <c r="H276">
        <v>1</v>
      </c>
      <c r="I276">
        <v>0</v>
      </c>
      <c r="J276" s="10">
        <v>6.0825180774138662E-2</v>
      </c>
      <c r="K276">
        <v>0</v>
      </c>
      <c r="L276">
        <v>1</v>
      </c>
      <c r="M276">
        <v>0</v>
      </c>
      <c r="N276" s="10">
        <v>0.17652477312039427</v>
      </c>
      <c r="O276" s="11">
        <v>0.40630596189058127</v>
      </c>
      <c r="P276" s="10">
        <v>0.25</v>
      </c>
      <c r="Q276">
        <v>2</v>
      </c>
      <c r="R276">
        <v>1</v>
      </c>
      <c r="S276">
        <v>0</v>
      </c>
      <c r="T276">
        <v>1</v>
      </c>
      <c r="U276">
        <v>1</v>
      </c>
      <c r="V276" s="10">
        <v>0.58591549295774648</v>
      </c>
      <c r="W276" s="5">
        <v>1</v>
      </c>
      <c r="X276" s="5">
        <v>2</v>
      </c>
      <c r="Y276" s="5">
        <v>1</v>
      </c>
      <c r="Z276" s="5">
        <v>4</v>
      </c>
    </row>
    <row r="277" spans="1:26" x14ac:dyDescent="0.35">
      <c r="A277">
        <v>276</v>
      </c>
      <c r="B277" s="10">
        <v>0.76470588235294112</v>
      </c>
      <c r="C277">
        <v>0</v>
      </c>
      <c r="D277">
        <v>1</v>
      </c>
      <c r="E277">
        <v>0</v>
      </c>
      <c r="F277">
        <v>0</v>
      </c>
      <c r="G277">
        <v>0</v>
      </c>
      <c r="H277">
        <v>1</v>
      </c>
      <c r="I277">
        <v>1</v>
      </c>
      <c r="J277" s="10">
        <v>0.53041259038706934</v>
      </c>
      <c r="K277">
        <v>0</v>
      </c>
      <c r="L277">
        <v>0</v>
      </c>
      <c r="M277">
        <v>1</v>
      </c>
      <c r="N277" s="10">
        <v>0.61011657939009056</v>
      </c>
      <c r="O277" s="11">
        <v>0.59492430143751085</v>
      </c>
      <c r="P277" s="10">
        <v>0.75</v>
      </c>
      <c r="Q277">
        <v>0</v>
      </c>
      <c r="R277">
        <v>0</v>
      </c>
      <c r="S277">
        <v>0</v>
      </c>
      <c r="T277">
        <v>0</v>
      </c>
      <c r="U277">
        <v>0</v>
      </c>
      <c r="V277" s="10">
        <v>0.25915492957746478</v>
      </c>
      <c r="W277" s="5">
        <v>1</v>
      </c>
      <c r="X277" s="5">
        <v>2</v>
      </c>
      <c r="Y277" s="5">
        <v>3</v>
      </c>
      <c r="Z277" s="5">
        <v>6</v>
      </c>
    </row>
    <row r="278" spans="1:26" x14ac:dyDescent="0.35">
      <c r="A278">
        <v>277</v>
      </c>
      <c r="B278" s="10">
        <v>0.41176470588235292</v>
      </c>
      <c r="C278">
        <v>0</v>
      </c>
      <c r="D278">
        <v>1</v>
      </c>
      <c r="E278">
        <v>0</v>
      </c>
      <c r="F278">
        <v>0</v>
      </c>
      <c r="G278">
        <v>0</v>
      </c>
      <c r="H278">
        <v>3</v>
      </c>
      <c r="I278">
        <v>0</v>
      </c>
      <c r="J278" s="10">
        <v>0.67333049766056996</v>
      </c>
      <c r="K278">
        <v>1</v>
      </c>
      <c r="L278">
        <v>0</v>
      </c>
      <c r="M278">
        <v>0</v>
      </c>
      <c r="N278" s="10">
        <v>0.35778854583797359</v>
      </c>
      <c r="O278" s="11">
        <v>0.4083851452410176</v>
      </c>
      <c r="P278" s="10">
        <v>0.625</v>
      </c>
      <c r="Q278">
        <v>0</v>
      </c>
      <c r="R278">
        <v>0</v>
      </c>
      <c r="S278">
        <v>0</v>
      </c>
      <c r="T278">
        <v>0</v>
      </c>
      <c r="U278">
        <v>0</v>
      </c>
      <c r="V278" s="10">
        <v>0.15492957746478872</v>
      </c>
      <c r="W278" s="5">
        <v>2</v>
      </c>
      <c r="X278" s="5">
        <v>2</v>
      </c>
      <c r="Y278" s="5">
        <v>2</v>
      </c>
      <c r="Z278" s="5">
        <v>6</v>
      </c>
    </row>
    <row r="279" spans="1:26" x14ac:dyDescent="0.35">
      <c r="A279">
        <v>278</v>
      </c>
      <c r="B279" s="10">
        <v>0.6470588235294118</v>
      </c>
      <c r="C279">
        <v>0</v>
      </c>
      <c r="D279">
        <v>0</v>
      </c>
      <c r="E279">
        <v>1</v>
      </c>
      <c r="F279">
        <v>0</v>
      </c>
      <c r="G279">
        <v>0</v>
      </c>
      <c r="H279">
        <v>1</v>
      </c>
      <c r="I279">
        <v>0</v>
      </c>
      <c r="J279" s="10">
        <v>0.44874521480221186</v>
      </c>
      <c r="K279">
        <v>0</v>
      </c>
      <c r="L279">
        <v>0</v>
      </c>
      <c r="M279">
        <v>1</v>
      </c>
      <c r="N279" s="10">
        <v>0.41860175816885054</v>
      </c>
      <c r="O279" s="11">
        <v>0.57268757922694624</v>
      </c>
      <c r="P279" s="10">
        <v>0.5</v>
      </c>
      <c r="Q279">
        <v>1</v>
      </c>
      <c r="R279">
        <v>1</v>
      </c>
      <c r="S279">
        <v>0</v>
      </c>
      <c r="T279">
        <v>0</v>
      </c>
      <c r="U279">
        <v>1</v>
      </c>
      <c r="V279" s="10">
        <v>0.36619718309859156</v>
      </c>
      <c r="W279" s="5">
        <v>1</v>
      </c>
      <c r="X279" s="5">
        <v>2</v>
      </c>
      <c r="Y279" s="5">
        <v>2</v>
      </c>
      <c r="Z279" s="5">
        <v>5</v>
      </c>
    </row>
    <row r="280" spans="1:26" x14ac:dyDescent="0.35">
      <c r="A280">
        <v>279</v>
      </c>
      <c r="B280" s="10">
        <v>0.86274509803921573</v>
      </c>
      <c r="C280">
        <v>1</v>
      </c>
      <c r="D280">
        <v>0</v>
      </c>
      <c r="E280">
        <v>0</v>
      </c>
      <c r="F280">
        <v>1</v>
      </c>
      <c r="G280">
        <v>0</v>
      </c>
      <c r="H280">
        <v>2</v>
      </c>
      <c r="I280">
        <v>0</v>
      </c>
      <c r="J280" s="10">
        <v>0.1220757124627818</v>
      </c>
      <c r="K280">
        <v>1</v>
      </c>
      <c r="L280">
        <v>0</v>
      </c>
      <c r="M280">
        <v>0</v>
      </c>
      <c r="N280" s="10">
        <v>0.35546643603535294</v>
      </c>
      <c r="O280" s="11">
        <v>0.60863397653876339</v>
      </c>
      <c r="P280" s="10">
        <v>0.375</v>
      </c>
      <c r="Q280">
        <v>1</v>
      </c>
      <c r="R280">
        <v>0</v>
      </c>
      <c r="S280">
        <v>0</v>
      </c>
      <c r="T280">
        <v>1</v>
      </c>
      <c r="U280">
        <v>0</v>
      </c>
      <c r="V280" s="10">
        <v>0.54084507042253516</v>
      </c>
      <c r="W280" s="5">
        <v>1</v>
      </c>
      <c r="X280" s="5">
        <v>2</v>
      </c>
      <c r="Y280" s="5">
        <v>2</v>
      </c>
      <c r="Z280" s="5">
        <v>5</v>
      </c>
    </row>
    <row r="281" spans="1:26" x14ac:dyDescent="0.35">
      <c r="A281">
        <v>280</v>
      </c>
      <c r="B281" s="10">
        <v>0.66666666666666663</v>
      </c>
      <c r="C281">
        <v>0</v>
      </c>
      <c r="D281">
        <v>1</v>
      </c>
      <c r="E281">
        <v>0</v>
      </c>
      <c r="F281">
        <v>0</v>
      </c>
      <c r="G281">
        <v>0</v>
      </c>
      <c r="H281">
        <v>3</v>
      </c>
      <c r="I281">
        <v>0</v>
      </c>
      <c r="J281" s="10">
        <v>0.85708209272649938</v>
      </c>
      <c r="K281">
        <v>0</v>
      </c>
      <c r="L281">
        <v>0</v>
      </c>
      <c r="M281">
        <v>1</v>
      </c>
      <c r="N281" s="10">
        <v>0.24480783356633412</v>
      </c>
      <c r="O281" s="11">
        <v>0.42069759954928665</v>
      </c>
      <c r="P281" s="10">
        <v>0.375</v>
      </c>
      <c r="Q281">
        <v>2</v>
      </c>
      <c r="R281">
        <v>1</v>
      </c>
      <c r="S281">
        <v>1</v>
      </c>
      <c r="T281">
        <v>1</v>
      </c>
      <c r="U281">
        <v>0</v>
      </c>
      <c r="V281" s="10">
        <v>0.12676056338028169</v>
      </c>
      <c r="W281" s="5">
        <v>2</v>
      </c>
      <c r="X281" s="5">
        <v>2</v>
      </c>
      <c r="Y281" s="5">
        <v>2</v>
      </c>
      <c r="Z281" s="5">
        <v>6</v>
      </c>
    </row>
    <row r="282" spans="1:26" x14ac:dyDescent="0.35">
      <c r="A282">
        <v>281</v>
      </c>
      <c r="B282" s="10">
        <v>0.66666666666666663</v>
      </c>
      <c r="C282">
        <v>1</v>
      </c>
      <c r="D282">
        <v>0</v>
      </c>
      <c r="E282">
        <v>1</v>
      </c>
      <c r="F282">
        <v>0</v>
      </c>
      <c r="G282">
        <v>0</v>
      </c>
      <c r="H282">
        <v>2</v>
      </c>
      <c r="I282">
        <v>0</v>
      </c>
      <c r="J282" s="10">
        <v>0.6937473415567843</v>
      </c>
      <c r="K282">
        <v>0</v>
      </c>
      <c r="L282">
        <v>0</v>
      </c>
      <c r="M282">
        <v>1</v>
      </c>
      <c r="N282" s="10">
        <v>0.46031976399782004</v>
      </c>
      <c r="O282" s="11">
        <v>0.39335550011066622</v>
      </c>
      <c r="P282" s="10">
        <v>0.875</v>
      </c>
      <c r="Q282">
        <v>1</v>
      </c>
      <c r="R282">
        <v>0</v>
      </c>
      <c r="S282">
        <v>0</v>
      </c>
      <c r="T282">
        <v>1</v>
      </c>
      <c r="U282">
        <v>0</v>
      </c>
      <c r="V282" s="10">
        <v>0.29577464788732394</v>
      </c>
      <c r="W282" s="5">
        <v>1</v>
      </c>
      <c r="X282" s="5">
        <v>3</v>
      </c>
      <c r="Y282" s="5">
        <v>2</v>
      </c>
      <c r="Z282" s="5">
        <v>6</v>
      </c>
    </row>
    <row r="283" spans="1:26" x14ac:dyDescent="0.35">
      <c r="A283">
        <v>282</v>
      </c>
      <c r="B283" s="10">
        <v>0.47058823529411764</v>
      </c>
      <c r="C283">
        <v>1</v>
      </c>
      <c r="D283">
        <v>1</v>
      </c>
      <c r="E283">
        <v>0</v>
      </c>
      <c r="F283">
        <v>0</v>
      </c>
      <c r="G283">
        <v>0</v>
      </c>
      <c r="H283">
        <v>3</v>
      </c>
      <c r="I283">
        <v>1</v>
      </c>
      <c r="J283" s="10">
        <v>6.0825180774138662E-2</v>
      </c>
      <c r="K283">
        <v>0</v>
      </c>
      <c r="L283">
        <v>0</v>
      </c>
      <c r="M283">
        <v>1</v>
      </c>
      <c r="N283" s="10">
        <v>0.5944127194749188</v>
      </c>
      <c r="O283" s="11">
        <v>0.81155757661119943</v>
      </c>
      <c r="P283" s="10">
        <v>0.5</v>
      </c>
      <c r="Q283">
        <v>1</v>
      </c>
      <c r="R283">
        <v>0</v>
      </c>
      <c r="S283">
        <v>0</v>
      </c>
      <c r="T283">
        <v>0</v>
      </c>
      <c r="U283">
        <v>1</v>
      </c>
      <c r="V283" s="10">
        <v>7.605633802816901E-2</v>
      </c>
      <c r="W283" s="5">
        <v>3</v>
      </c>
      <c r="X283" s="5">
        <v>2</v>
      </c>
      <c r="Y283" s="5">
        <v>3</v>
      </c>
      <c r="Z283" s="5">
        <v>8</v>
      </c>
    </row>
    <row r="284" spans="1:26" x14ac:dyDescent="0.35">
      <c r="A284">
        <v>283</v>
      </c>
      <c r="B284" s="10">
        <v>0.6470588235294118</v>
      </c>
      <c r="C284">
        <v>0</v>
      </c>
      <c r="D284">
        <v>0</v>
      </c>
      <c r="E284">
        <v>0</v>
      </c>
      <c r="F284">
        <v>0</v>
      </c>
      <c r="G284">
        <v>1</v>
      </c>
      <c r="H284">
        <v>1</v>
      </c>
      <c r="I284">
        <v>1</v>
      </c>
      <c r="J284" s="10">
        <v>0.34666099532113998</v>
      </c>
      <c r="K284">
        <v>0</v>
      </c>
      <c r="L284">
        <v>0</v>
      </c>
      <c r="M284">
        <v>1</v>
      </c>
      <c r="N284" s="10">
        <v>0.40075942468544884</v>
      </c>
      <c r="O284" s="11">
        <v>0.54844564276947216</v>
      </c>
      <c r="P284" s="10">
        <v>0.5</v>
      </c>
      <c r="Q284">
        <v>0</v>
      </c>
      <c r="R284">
        <v>0</v>
      </c>
      <c r="S284">
        <v>0</v>
      </c>
      <c r="T284">
        <v>0</v>
      </c>
      <c r="U284">
        <v>0</v>
      </c>
      <c r="V284" s="10">
        <v>5.9154929577464786E-2</v>
      </c>
      <c r="W284" s="5">
        <v>3</v>
      </c>
      <c r="X284" s="5">
        <v>2</v>
      </c>
      <c r="Y284" s="5">
        <v>2</v>
      </c>
      <c r="Z284" s="5">
        <v>7</v>
      </c>
    </row>
    <row r="285" spans="1:26" x14ac:dyDescent="0.35">
      <c r="A285">
        <v>284</v>
      </c>
      <c r="B285" s="10">
        <v>9.8039215686274508E-2</v>
      </c>
      <c r="C285">
        <v>1</v>
      </c>
      <c r="D285">
        <v>0</v>
      </c>
      <c r="E285">
        <v>1</v>
      </c>
      <c r="F285">
        <v>0</v>
      </c>
      <c r="G285">
        <v>0</v>
      </c>
      <c r="H285">
        <v>2</v>
      </c>
      <c r="I285">
        <v>0</v>
      </c>
      <c r="J285" s="10">
        <v>0.1220757124627818</v>
      </c>
      <c r="K285">
        <v>1</v>
      </c>
      <c r="L285">
        <v>0</v>
      </c>
      <c r="M285">
        <v>0</v>
      </c>
      <c r="N285" s="10">
        <v>0.49561938724735211</v>
      </c>
      <c r="O285" s="11">
        <v>0.56444126977739328</v>
      </c>
      <c r="P285" s="10">
        <v>0.625</v>
      </c>
      <c r="Q285">
        <v>0</v>
      </c>
      <c r="R285">
        <v>0</v>
      </c>
      <c r="S285">
        <v>0</v>
      </c>
      <c r="T285">
        <v>0</v>
      </c>
      <c r="U285">
        <v>0</v>
      </c>
      <c r="V285" s="10">
        <v>0.43661971830985913</v>
      </c>
      <c r="W285" s="5">
        <v>1</v>
      </c>
      <c r="X285" s="5">
        <v>2</v>
      </c>
      <c r="Y285" s="5">
        <v>3</v>
      </c>
      <c r="Z285" s="5">
        <v>6</v>
      </c>
    </row>
    <row r="286" spans="1:26" x14ac:dyDescent="0.35">
      <c r="A286">
        <v>285</v>
      </c>
      <c r="B286" s="10">
        <v>0.78431372549019607</v>
      </c>
      <c r="C286">
        <v>1</v>
      </c>
      <c r="D286">
        <v>1</v>
      </c>
      <c r="E286">
        <v>0</v>
      </c>
      <c r="F286">
        <v>0</v>
      </c>
      <c r="G286">
        <v>0</v>
      </c>
      <c r="H286">
        <v>3</v>
      </c>
      <c r="I286">
        <v>0</v>
      </c>
      <c r="J286" s="10">
        <v>0.85708209272649938</v>
      </c>
      <c r="K286">
        <v>1</v>
      </c>
      <c r="L286">
        <v>0</v>
      </c>
      <c r="M286">
        <v>0</v>
      </c>
      <c r="N286" s="10">
        <v>0.30116046252636064</v>
      </c>
      <c r="O286" s="11">
        <v>0.41312300046278594</v>
      </c>
      <c r="P286" s="10">
        <v>0.5</v>
      </c>
      <c r="Q286">
        <v>0</v>
      </c>
      <c r="R286">
        <v>0</v>
      </c>
      <c r="S286">
        <v>0</v>
      </c>
      <c r="T286">
        <v>0</v>
      </c>
      <c r="U286">
        <v>0</v>
      </c>
      <c r="V286" s="10">
        <v>4.507042253521127E-2</v>
      </c>
      <c r="W286" s="5">
        <v>3</v>
      </c>
      <c r="X286" s="5">
        <v>2</v>
      </c>
      <c r="Y286" s="5">
        <v>2</v>
      </c>
      <c r="Z286" s="5">
        <v>7</v>
      </c>
    </row>
    <row r="287" spans="1:26" x14ac:dyDescent="0.35">
      <c r="A287">
        <v>286</v>
      </c>
      <c r="B287" s="10">
        <v>0.70588235294117652</v>
      </c>
      <c r="C287">
        <v>0</v>
      </c>
      <c r="D287">
        <v>0</v>
      </c>
      <c r="E287">
        <v>0</v>
      </c>
      <c r="F287">
        <v>0</v>
      </c>
      <c r="G287">
        <v>1</v>
      </c>
      <c r="H287">
        <v>1</v>
      </c>
      <c r="I287">
        <v>1</v>
      </c>
      <c r="J287" s="10">
        <v>0.10165886856656743</v>
      </c>
      <c r="K287">
        <v>0</v>
      </c>
      <c r="L287">
        <v>1</v>
      </c>
      <c r="M287">
        <v>0</v>
      </c>
      <c r="N287" s="10">
        <v>0.14880162547686179</v>
      </c>
      <c r="O287" s="11">
        <v>0.51529205819030555</v>
      </c>
      <c r="P287" s="10">
        <v>0.125</v>
      </c>
      <c r="Q287">
        <v>2</v>
      </c>
      <c r="R287">
        <v>1</v>
      </c>
      <c r="S287">
        <v>0</v>
      </c>
      <c r="T287">
        <v>0</v>
      </c>
      <c r="U287">
        <v>1</v>
      </c>
      <c r="V287" s="10">
        <v>6.7605633802816895E-2</v>
      </c>
      <c r="W287" s="5">
        <v>3</v>
      </c>
      <c r="X287" s="5">
        <v>1</v>
      </c>
      <c r="Y287" s="5">
        <v>1</v>
      </c>
      <c r="Z287" s="5">
        <v>5</v>
      </c>
    </row>
    <row r="288" spans="1:26" x14ac:dyDescent="0.35">
      <c r="A288">
        <v>287</v>
      </c>
      <c r="B288" s="10">
        <v>0</v>
      </c>
      <c r="C288">
        <v>1</v>
      </c>
      <c r="D288">
        <v>0</v>
      </c>
      <c r="E288">
        <v>0</v>
      </c>
      <c r="F288">
        <v>0</v>
      </c>
      <c r="G288">
        <v>1</v>
      </c>
      <c r="H288">
        <v>1</v>
      </c>
      <c r="I288">
        <v>0</v>
      </c>
      <c r="J288" s="10">
        <v>0.40791152700978311</v>
      </c>
      <c r="K288">
        <v>0</v>
      </c>
      <c r="L288">
        <v>1</v>
      </c>
      <c r="M288">
        <v>0</v>
      </c>
      <c r="N288" s="10">
        <v>0.17927339288676158</v>
      </c>
      <c r="O288" s="11">
        <v>0.61879514678363745</v>
      </c>
      <c r="P288" s="10">
        <v>0.125</v>
      </c>
      <c r="Q288">
        <v>2</v>
      </c>
      <c r="R288">
        <v>1</v>
      </c>
      <c r="S288">
        <v>0</v>
      </c>
      <c r="T288">
        <v>1</v>
      </c>
      <c r="U288">
        <v>0</v>
      </c>
      <c r="V288" s="10">
        <v>4.788732394366197E-2</v>
      </c>
      <c r="W288" s="5">
        <v>3</v>
      </c>
      <c r="X288" s="5">
        <v>1</v>
      </c>
      <c r="Y288" s="5">
        <v>1</v>
      </c>
      <c r="Z288" s="5">
        <v>5</v>
      </c>
    </row>
    <row r="289" spans="1:26" x14ac:dyDescent="0.35">
      <c r="A289">
        <v>288</v>
      </c>
      <c r="B289" s="10">
        <v>0.21568627450980393</v>
      </c>
      <c r="C289">
        <v>0</v>
      </c>
      <c r="D289">
        <v>0</v>
      </c>
      <c r="E289">
        <v>0</v>
      </c>
      <c r="F289">
        <v>0</v>
      </c>
      <c r="G289">
        <v>1</v>
      </c>
      <c r="H289">
        <v>3</v>
      </c>
      <c r="I289">
        <v>0</v>
      </c>
      <c r="J289" s="10">
        <v>1.9991492981709911E-2</v>
      </c>
      <c r="K289">
        <v>0</v>
      </c>
      <c r="L289">
        <v>1</v>
      </c>
      <c r="M289">
        <v>0</v>
      </c>
      <c r="N289" s="10">
        <v>0.65399675378527578</v>
      </c>
      <c r="O289" s="11">
        <v>0.55782057989094347</v>
      </c>
      <c r="P289" s="10">
        <v>0.875</v>
      </c>
      <c r="Q289">
        <v>2</v>
      </c>
      <c r="R289">
        <v>1</v>
      </c>
      <c r="S289">
        <v>1</v>
      </c>
      <c r="T289">
        <v>1</v>
      </c>
      <c r="U289">
        <v>0</v>
      </c>
      <c r="V289" s="10">
        <v>9.295774647887324E-2</v>
      </c>
      <c r="W289" s="5">
        <v>2</v>
      </c>
      <c r="X289" s="5">
        <v>3</v>
      </c>
      <c r="Y289" s="5">
        <v>3</v>
      </c>
      <c r="Z289" s="5">
        <v>8</v>
      </c>
    </row>
    <row r="290" spans="1:26" x14ac:dyDescent="0.35">
      <c r="A290">
        <v>289</v>
      </c>
      <c r="B290" s="10">
        <v>0.66666666666666663</v>
      </c>
      <c r="C290">
        <v>1</v>
      </c>
      <c r="D290">
        <v>0</v>
      </c>
      <c r="E290">
        <v>1</v>
      </c>
      <c r="F290">
        <v>0</v>
      </c>
      <c r="G290">
        <v>0</v>
      </c>
      <c r="H290">
        <v>3</v>
      </c>
      <c r="I290">
        <v>0</v>
      </c>
      <c r="J290" s="10">
        <v>0.48957890259464065</v>
      </c>
      <c r="K290">
        <v>1</v>
      </c>
      <c r="L290">
        <v>0</v>
      </c>
      <c r="M290">
        <v>0</v>
      </c>
      <c r="N290" s="10">
        <v>6.1251569793616565E-3</v>
      </c>
      <c r="O290" s="11">
        <v>6.1329201794804722E-2</v>
      </c>
      <c r="P290" s="1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 s="10">
        <v>0.58028169014084507</v>
      </c>
      <c r="W290" s="5">
        <v>1</v>
      </c>
      <c r="X290" s="5">
        <v>1</v>
      </c>
      <c r="Y290" s="5">
        <v>1</v>
      </c>
      <c r="Z290" s="5">
        <v>3</v>
      </c>
    </row>
    <row r="291" spans="1:26" x14ac:dyDescent="0.35">
      <c r="A291">
        <v>290</v>
      </c>
      <c r="B291" s="10">
        <v>9.8039215686274508E-2</v>
      </c>
      <c r="C291">
        <v>1</v>
      </c>
      <c r="D291">
        <v>0</v>
      </c>
      <c r="E291">
        <v>0</v>
      </c>
      <c r="F291">
        <v>0</v>
      </c>
      <c r="G291">
        <v>1</v>
      </c>
      <c r="H291">
        <v>3</v>
      </c>
      <c r="I291">
        <v>0</v>
      </c>
      <c r="J291" s="10">
        <v>0.18332624415142493</v>
      </c>
      <c r="K291">
        <v>1</v>
      </c>
      <c r="L291">
        <v>0</v>
      </c>
      <c r="M291">
        <v>0</v>
      </c>
      <c r="N291" s="10">
        <v>0.11655865696751413</v>
      </c>
      <c r="O291" s="11">
        <v>0.81154550393368075</v>
      </c>
      <c r="P291" s="10">
        <v>0</v>
      </c>
      <c r="Q291">
        <v>1</v>
      </c>
      <c r="R291">
        <v>1</v>
      </c>
      <c r="S291">
        <v>0</v>
      </c>
      <c r="T291">
        <v>1</v>
      </c>
      <c r="U291">
        <v>0</v>
      </c>
      <c r="V291" s="10">
        <v>1.6901408450704224E-2</v>
      </c>
      <c r="W291" s="5">
        <v>3</v>
      </c>
      <c r="X291" s="5">
        <v>1</v>
      </c>
      <c r="Y291" s="5">
        <v>1</v>
      </c>
      <c r="Z291" s="5">
        <v>5</v>
      </c>
    </row>
    <row r="292" spans="1:26" x14ac:dyDescent="0.35">
      <c r="A292">
        <v>291</v>
      </c>
      <c r="B292" s="10">
        <v>0.31372549019607843</v>
      </c>
      <c r="C292">
        <v>0</v>
      </c>
      <c r="D292">
        <v>0</v>
      </c>
      <c r="E292">
        <v>0</v>
      </c>
      <c r="F292">
        <v>1</v>
      </c>
      <c r="G292">
        <v>0</v>
      </c>
      <c r="H292">
        <v>3</v>
      </c>
      <c r="I292">
        <v>0</v>
      </c>
      <c r="J292" s="10">
        <v>0.30582730752871118</v>
      </c>
      <c r="K292">
        <v>0</v>
      </c>
      <c r="L292">
        <v>1</v>
      </c>
      <c r="M292">
        <v>0</v>
      </c>
      <c r="N292" s="10">
        <v>0.46292325190152361</v>
      </c>
      <c r="O292" s="11">
        <v>0.52742174557502841</v>
      </c>
      <c r="P292" s="10">
        <v>0.625</v>
      </c>
      <c r="Q292">
        <v>2</v>
      </c>
      <c r="R292">
        <v>1</v>
      </c>
      <c r="S292">
        <v>1</v>
      </c>
      <c r="T292">
        <v>0</v>
      </c>
      <c r="U292">
        <v>1</v>
      </c>
      <c r="V292" s="10">
        <v>0.21408450704225351</v>
      </c>
      <c r="W292" s="5">
        <v>2</v>
      </c>
      <c r="X292" s="5">
        <v>2</v>
      </c>
      <c r="Y292" s="5">
        <v>2</v>
      </c>
      <c r="Z292" s="5">
        <v>6</v>
      </c>
    </row>
    <row r="293" spans="1:26" x14ac:dyDescent="0.35">
      <c r="A293">
        <v>292</v>
      </c>
      <c r="B293" s="10">
        <v>0.15686274509803921</v>
      </c>
      <c r="C293">
        <v>1</v>
      </c>
      <c r="D293">
        <v>1</v>
      </c>
      <c r="E293">
        <v>0</v>
      </c>
      <c r="F293">
        <v>0</v>
      </c>
      <c r="G293">
        <v>0</v>
      </c>
      <c r="H293">
        <v>2</v>
      </c>
      <c r="I293">
        <v>0</v>
      </c>
      <c r="J293" s="10">
        <v>0.75499787324542744</v>
      </c>
      <c r="K293">
        <v>0</v>
      </c>
      <c r="L293">
        <v>1</v>
      </c>
      <c r="M293">
        <v>0</v>
      </c>
      <c r="N293" s="10">
        <v>0.71674407032675391</v>
      </c>
      <c r="O293" s="11">
        <v>0.61110384514778959</v>
      </c>
      <c r="P293" s="10">
        <v>0.875</v>
      </c>
      <c r="Q293">
        <v>2</v>
      </c>
      <c r="R293">
        <v>1</v>
      </c>
      <c r="S293">
        <v>0</v>
      </c>
      <c r="T293">
        <v>0</v>
      </c>
      <c r="U293">
        <v>1</v>
      </c>
      <c r="V293" s="10">
        <v>3.0985915492957747E-2</v>
      </c>
      <c r="W293" s="5">
        <v>3</v>
      </c>
      <c r="X293" s="5">
        <v>3</v>
      </c>
      <c r="Y293" s="5">
        <v>3</v>
      </c>
      <c r="Z293" s="5">
        <v>9</v>
      </c>
    </row>
    <row r="294" spans="1:26" x14ac:dyDescent="0.35">
      <c r="A294">
        <v>293</v>
      </c>
      <c r="B294" s="10">
        <v>1.9607843137254902E-2</v>
      </c>
      <c r="C294">
        <v>1</v>
      </c>
      <c r="D294">
        <v>0</v>
      </c>
      <c r="E294">
        <v>0</v>
      </c>
      <c r="F294">
        <v>1</v>
      </c>
      <c r="G294">
        <v>0</v>
      </c>
      <c r="H294">
        <v>3</v>
      </c>
      <c r="I294">
        <v>0</v>
      </c>
      <c r="J294" s="10">
        <v>0.36707783921735437</v>
      </c>
      <c r="K294">
        <v>1</v>
      </c>
      <c r="L294">
        <v>0</v>
      </c>
      <c r="M294">
        <v>0</v>
      </c>
      <c r="N294" s="10">
        <v>5.9201952467834038E-2</v>
      </c>
      <c r="O294" s="11">
        <v>0.42189983701885353</v>
      </c>
      <c r="P294" s="10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 s="10">
        <v>0.6929577464788732</v>
      </c>
      <c r="W294" s="5">
        <v>1</v>
      </c>
      <c r="X294" s="5">
        <v>1</v>
      </c>
      <c r="Y294" s="5">
        <v>1</v>
      </c>
      <c r="Z294" s="5">
        <v>3</v>
      </c>
    </row>
    <row r="295" spans="1:26" x14ac:dyDescent="0.35">
      <c r="A295">
        <v>294</v>
      </c>
      <c r="B295" s="10">
        <v>0.33333333333333331</v>
      </c>
      <c r="C295">
        <v>0</v>
      </c>
      <c r="D295">
        <v>0</v>
      </c>
      <c r="E295">
        <v>0</v>
      </c>
      <c r="F295">
        <v>0</v>
      </c>
      <c r="G295">
        <v>1</v>
      </c>
      <c r="H295">
        <v>1</v>
      </c>
      <c r="I295">
        <v>0</v>
      </c>
      <c r="J295" s="10">
        <v>0.44874521480221186</v>
      </c>
      <c r="K295">
        <v>0</v>
      </c>
      <c r="L295">
        <v>0</v>
      </c>
      <c r="M295">
        <v>1</v>
      </c>
      <c r="N295" s="10">
        <v>0.55454588536359972</v>
      </c>
      <c r="O295" s="11">
        <v>0.63115958067566758</v>
      </c>
      <c r="P295" s="10">
        <v>0.625</v>
      </c>
      <c r="Q295">
        <v>1</v>
      </c>
      <c r="R295">
        <v>0</v>
      </c>
      <c r="S295">
        <v>0</v>
      </c>
      <c r="T295">
        <v>1</v>
      </c>
      <c r="U295">
        <v>0</v>
      </c>
      <c r="V295" s="10">
        <v>8.4507042253521125E-2</v>
      </c>
      <c r="W295" s="5">
        <v>2</v>
      </c>
      <c r="X295" s="5">
        <v>2</v>
      </c>
      <c r="Y295" s="5">
        <v>3</v>
      </c>
      <c r="Z295" s="5">
        <v>7</v>
      </c>
    </row>
    <row r="296" spans="1:26" x14ac:dyDescent="0.35">
      <c r="A296">
        <v>295</v>
      </c>
      <c r="B296" s="10">
        <v>0.94117647058823528</v>
      </c>
      <c r="C296">
        <v>0</v>
      </c>
      <c r="D296">
        <v>0</v>
      </c>
      <c r="E296">
        <v>0</v>
      </c>
      <c r="F296">
        <v>0</v>
      </c>
      <c r="G296">
        <v>1</v>
      </c>
      <c r="H296">
        <v>2</v>
      </c>
      <c r="I296">
        <v>0</v>
      </c>
      <c r="J296" s="10">
        <v>0.22415993194385367</v>
      </c>
      <c r="K296">
        <v>0</v>
      </c>
      <c r="L296">
        <v>1</v>
      </c>
      <c r="M296">
        <v>0</v>
      </c>
      <c r="N296" s="10">
        <v>0.28173056417790204</v>
      </c>
      <c r="O296" s="11">
        <v>0.64454013159218493</v>
      </c>
      <c r="P296" s="10">
        <v>0.25</v>
      </c>
      <c r="Q296">
        <v>0</v>
      </c>
      <c r="R296">
        <v>0</v>
      </c>
      <c r="S296">
        <v>0</v>
      </c>
      <c r="T296">
        <v>0</v>
      </c>
      <c r="U296">
        <v>0</v>
      </c>
      <c r="V296" s="10">
        <v>0.3295774647887324</v>
      </c>
      <c r="W296" s="5">
        <v>1</v>
      </c>
      <c r="X296" s="5">
        <v>2</v>
      </c>
      <c r="Y296" s="5">
        <v>2</v>
      </c>
      <c r="Z296" s="5">
        <v>5</v>
      </c>
    </row>
    <row r="297" spans="1:26" x14ac:dyDescent="0.35">
      <c r="A297">
        <v>296</v>
      </c>
      <c r="B297" s="10">
        <v>0.68627450980392157</v>
      </c>
      <c r="C297">
        <v>1</v>
      </c>
      <c r="D297">
        <v>0</v>
      </c>
      <c r="E297">
        <v>0</v>
      </c>
      <c r="F297">
        <v>1</v>
      </c>
      <c r="G297">
        <v>0</v>
      </c>
      <c r="H297">
        <v>1</v>
      </c>
      <c r="I297">
        <v>0</v>
      </c>
      <c r="J297" s="10">
        <v>0.7754147171416419</v>
      </c>
      <c r="K297">
        <v>1</v>
      </c>
      <c r="L297">
        <v>0</v>
      </c>
      <c r="M297">
        <v>0</v>
      </c>
      <c r="N297" s="10">
        <v>7.4473378669762808E-2</v>
      </c>
      <c r="O297" s="11">
        <v>0.52564437916255857</v>
      </c>
      <c r="P297" s="10">
        <v>0</v>
      </c>
      <c r="Q297">
        <v>1</v>
      </c>
      <c r="R297">
        <v>1</v>
      </c>
      <c r="S297">
        <v>0</v>
      </c>
      <c r="T297">
        <v>1</v>
      </c>
      <c r="U297">
        <v>0</v>
      </c>
      <c r="V297" s="10">
        <v>0.58309859154929577</v>
      </c>
      <c r="W297" s="5">
        <v>1</v>
      </c>
      <c r="X297" s="5">
        <v>1</v>
      </c>
      <c r="Y297" s="5">
        <v>1</v>
      </c>
      <c r="Z297" s="5">
        <v>3</v>
      </c>
    </row>
    <row r="298" spans="1:26" x14ac:dyDescent="0.35">
      <c r="A298">
        <v>297</v>
      </c>
      <c r="B298" s="10">
        <v>0.52941176470588236</v>
      </c>
      <c r="C298">
        <v>1</v>
      </c>
      <c r="D298">
        <v>0</v>
      </c>
      <c r="E298">
        <v>1</v>
      </c>
      <c r="F298">
        <v>0</v>
      </c>
      <c r="G298">
        <v>0</v>
      </c>
      <c r="H298">
        <v>1</v>
      </c>
      <c r="I298">
        <v>0</v>
      </c>
      <c r="J298" s="10">
        <v>6.0825180774138662E-2</v>
      </c>
      <c r="K298">
        <v>1</v>
      </c>
      <c r="L298">
        <v>0</v>
      </c>
      <c r="M298">
        <v>0</v>
      </c>
      <c r="N298" s="10">
        <v>0.50478935146790505</v>
      </c>
      <c r="O298" s="11">
        <v>0.43111782933258214</v>
      </c>
      <c r="P298" s="10">
        <v>0.875</v>
      </c>
      <c r="Q298">
        <v>0</v>
      </c>
      <c r="R298">
        <v>0</v>
      </c>
      <c r="S298">
        <v>0</v>
      </c>
      <c r="T298">
        <v>0</v>
      </c>
      <c r="U298">
        <v>0</v>
      </c>
      <c r="V298" s="10">
        <v>0.27887323943661974</v>
      </c>
      <c r="W298" s="5">
        <v>1</v>
      </c>
      <c r="X298" s="5">
        <v>3</v>
      </c>
      <c r="Y298" s="5">
        <v>3</v>
      </c>
      <c r="Z298" s="5">
        <v>7</v>
      </c>
    </row>
    <row r="299" spans="1:26" x14ac:dyDescent="0.35">
      <c r="A299">
        <v>298</v>
      </c>
      <c r="B299" s="10">
        <v>0.78431372549019607</v>
      </c>
      <c r="C299">
        <v>0</v>
      </c>
      <c r="D299">
        <v>0</v>
      </c>
      <c r="E299">
        <v>0</v>
      </c>
      <c r="F299">
        <v>0</v>
      </c>
      <c r="G299">
        <v>1</v>
      </c>
      <c r="H299">
        <v>3</v>
      </c>
      <c r="I299">
        <v>0</v>
      </c>
      <c r="J299" s="10">
        <v>0.59166312207571248</v>
      </c>
      <c r="K299">
        <v>0</v>
      </c>
      <c r="L299">
        <v>1</v>
      </c>
      <c r="M299">
        <v>0</v>
      </c>
      <c r="N299" s="10">
        <v>0.38369606426083452</v>
      </c>
      <c r="O299" s="11">
        <v>0.43771839808983409</v>
      </c>
      <c r="P299" s="10">
        <v>0.625</v>
      </c>
      <c r="Q299">
        <v>1</v>
      </c>
      <c r="R299">
        <v>1</v>
      </c>
      <c r="S299">
        <v>0</v>
      </c>
      <c r="T299">
        <v>0</v>
      </c>
      <c r="U299">
        <v>1</v>
      </c>
      <c r="V299" s="10">
        <v>0.43943661971830988</v>
      </c>
      <c r="W299" s="5">
        <v>1</v>
      </c>
      <c r="X299" s="5">
        <v>2</v>
      </c>
      <c r="Y299" s="5">
        <v>2</v>
      </c>
      <c r="Z299" s="5">
        <v>5</v>
      </c>
    </row>
    <row r="300" spans="1:26" x14ac:dyDescent="0.35">
      <c r="A300">
        <v>299</v>
      </c>
      <c r="B300" s="10">
        <v>0.70588235294117652</v>
      </c>
      <c r="C300">
        <v>1</v>
      </c>
      <c r="D300">
        <v>0</v>
      </c>
      <c r="E300">
        <v>0</v>
      </c>
      <c r="F300">
        <v>0</v>
      </c>
      <c r="G300">
        <v>1</v>
      </c>
      <c r="H300">
        <v>2</v>
      </c>
      <c r="I300">
        <v>0</v>
      </c>
      <c r="J300" s="10">
        <v>0.93874946831135686</v>
      </c>
      <c r="K300">
        <v>1</v>
      </c>
      <c r="L300">
        <v>0</v>
      </c>
      <c r="M300">
        <v>0</v>
      </c>
      <c r="N300" s="10">
        <v>0</v>
      </c>
      <c r="O300" s="11">
        <v>1.9718706613815168E-2</v>
      </c>
      <c r="P300" s="10">
        <v>0</v>
      </c>
      <c r="Q300">
        <v>2</v>
      </c>
      <c r="R300">
        <v>1</v>
      </c>
      <c r="S300">
        <v>0</v>
      </c>
      <c r="T300">
        <v>1</v>
      </c>
      <c r="U300">
        <v>0</v>
      </c>
      <c r="V300" s="10">
        <v>0.11267605633802817</v>
      </c>
      <c r="W300" s="5">
        <v>2</v>
      </c>
      <c r="X300" s="5">
        <v>1</v>
      </c>
      <c r="Y300" s="5">
        <v>1</v>
      </c>
      <c r="Z300" s="5">
        <v>4</v>
      </c>
    </row>
    <row r="301" spans="1:26" x14ac:dyDescent="0.35">
      <c r="A301">
        <v>300</v>
      </c>
      <c r="B301" s="10">
        <v>0.94117647058823528</v>
      </c>
      <c r="C301">
        <v>0</v>
      </c>
      <c r="D301">
        <v>0</v>
      </c>
      <c r="E301">
        <v>0</v>
      </c>
      <c r="F301">
        <v>1</v>
      </c>
      <c r="G301">
        <v>0</v>
      </c>
      <c r="H301">
        <v>3</v>
      </c>
      <c r="I301">
        <v>0</v>
      </c>
      <c r="J301" s="10">
        <v>0.65291365376435562</v>
      </c>
      <c r="K301">
        <v>0</v>
      </c>
      <c r="L301">
        <v>1</v>
      </c>
      <c r="M301">
        <v>0</v>
      </c>
      <c r="N301" s="10">
        <v>0.27152394379546474</v>
      </c>
      <c r="O301" s="11">
        <v>0.46607074589025932</v>
      </c>
      <c r="P301" s="10">
        <v>0.375</v>
      </c>
      <c r="Q301">
        <v>2</v>
      </c>
      <c r="R301">
        <v>0</v>
      </c>
      <c r="S301">
        <v>0</v>
      </c>
      <c r="T301">
        <v>1</v>
      </c>
      <c r="U301">
        <v>1</v>
      </c>
      <c r="V301" s="10">
        <v>0.41690140845070423</v>
      </c>
      <c r="W301" s="5">
        <v>1</v>
      </c>
      <c r="X301" s="5">
        <v>2</v>
      </c>
      <c r="Y301" s="5">
        <v>2</v>
      </c>
      <c r="Z301" s="5">
        <v>5</v>
      </c>
    </row>
    <row r="302" spans="1:26" x14ac:dyDescent="0.35">
      <c r="A302">
        <v>301</v>
      </c>
      <c r="B302" s="10">
        <v>0.49019607843137253</v>
      </c>
      <c r="C302">
        <v>0</v>
      </c>
      <c r="D302">
        <v>0</v>
      </c>
      <c r="E302">
        <v>0</v>
      </c>
      <c r="F302">
        <v>0</v>
      </c>
      <c r="G302">
        <v>1</v>
      </c>
      <c r="H302">
        <v>1</v>
      </c>
      <c r="I302">
        <v>0</v>
      </c>
      <c r="J302" s="10">
        <v>0.6937473415567843</v>
      </c>
      <c r="K302">
        <v>0</v>
      </c>
      <c r="L302">
        <v>0</v>
      </c>
      <c r="M302">
        <v>1</v>
      </c>
      <c r="N302" s="10">
        <v>0.38183008316944289</v>
      </c>
      <c r="O302" s="11">
        <v>0.4356056795240682</v>
      </c>
      <c r="P302" s="10">
        <v>0.625</v>
      </c>
      <c r="Q302">
        <v>1</v>
      </c>
      <c r="R302">
        <v>0</v>
      </c>
      <c r="S302">
        <v>0</v>
      </c>
      <c r="T302">
        <v>1</v>
      </c>
      <c r="U302">
        <v>0</v>
      </c>
      <c r="V302" s="10">
        <v>5.3521126760563378E-2</v>
      </c>
      <c r="W302" s="5">
        <v>3</v>
      </c>
      <c r="X302" s="5">
        <v>2</v>
      </c>
      <c r="Y302" s="5">
        <v>2</v>
      </c>
      <c r="Z302" s="5">
        <v>7</v>
      </c>
    </row>
    <row r="303" spans="1:26" x14ac:dyDescent="0.35">
      <c r="A303">
        <v>302</v>
      </c>
      <c r="B303" s="10">
        <v>5.8823529411764705E-2</v>
      </c>
      <c r="C303">
        <v>1</v>
      </c>
      <c r="D303">
        <v>0</v>
      </c>
      <c r="E303">
        <v>0</v>
      </c>
      <c r="F303">
        <v>0</v>
      </c>
      <c r="G303">
        <v>1</v>
      </c>
      <c r="H303">
        <v>3</v>
      </c>
      <c r="I303">
        <v>0</v>
      </c>
      <c r="J303" s="10">
        <v>0.16290940025521056</v>
      </c>
      <c r="K303">
        <v>0</v>
      </c>
      <c r="L303">
        <v>1</v>
      </c>
      <c r="M303">
        <v>0</v>
      </c>
      <c r="N303" s="10">
        <v>0.27124256569438193</v>
      </c>
      <c r="O303" s="11">
        <v>0.4655928690718123</v>
      </c>
      <c r="P303" s="10">
        <v>0.375</v>
      </c>
      <c r="Q303">
        <v>2</v>
      </c>
      <c r="R303">
        <v>0</v>
      </c>
      <c r="S303">
        <v>0</v>
      </c>
      <c r="T303">
        <v>1</v>
      </c>
      <c r="U303">
        <v>1</v>
      </c>
      <c r="V303" s="10">
        <v>0.25633802816901408</v>
      </c>
      <c r="W303" s="5">
        <v>1</v>
      </c>
      <c r="X303" s="5">
        <v>2</v>
      </c>
      <c r="Y303" s="5">
        <v>2</v>
      </c>
      <c r="Z303" s="5">
        <v>5</v>
      </c>
    </row>
    <row r="304" spans="1:26" x14ac:dyDescent="0.35">
      <c r="A304">
        <v>303</v>
      </c>
      <c r="B304" s="10">
        <v>0.76470588235294112</v>
      </c>
      <c r="C304">
        <v>0</v>
      </c>
      <c r="D304">
        <v>0</v>
      </c>
      <c r="E304">
        <v>1</v>
      </c>
      <c r="F304">
        <v>0</v>
      </c>
      <c r="G304">
        <v>0</v>
      </c>
      <c r="H304">
        <v>3</v>
      </c>
      <c r="I304">
        <v>0</v>
      </c>
      <c r="J304" s="10">
        <v>0.6937473415567843</v>
      </c>
      <c r="K304">
        <v>0</v>
      </c>
      <c r="L304">
        <v>0</v>
      </c>
      <c r="M304">
        <v>1</v>
      </c>
      <c r="N304" s="10">
        <v>0.27816742885576856</v>
      </c>
      <c r="O304" s="11">
        <v>0.63647155878387895</v>
      </c>
      <c r="P304" s="10">
        <v>0.25</v>
      </c>
      <c r="Q304">
        <v>1</v>
      </c>
      <c r="R304">
        <v>0</v>
      </c>
      <c r="S304">
        <v>1</v>
      </c>
      <c r="T304">
        <v>0</v>
      </c>
      <c r="U304">
        <v>0</v>
      </c>
      <c r="V304" s="10">
        <v>0.6676056338028169</v>
      </c>
      <c r="W304" s="5">
        <v>1</v>
      </c>
      <c r="X304" s="5">
        <v>2</v>
      </c>
      <c r="Y304" s="5">
        <v>2</v>
      </c>
      <c r="Z304" s="5">
        <v>5</v>
      </c>
    </row>
    <row r="305" spans="1:26" x14ac:dyDescent="0.35">
      <c r="A305">
        <v>304</v>
      </c>
      <c r="B305" s="10">
        <v>0.68627450980392157</v>
      </c>
      <c r="C305">
        <v>0</v>
      </c>
      <c r="D305">
        <v>0</v>
      </c>
      <c r="E305">
        <v>1</v>
      </c>
      <c r="F305">
        <v>0</v>
      </c>
      <c r="G305">
        <v>0</v>
      </c>
      <c r="H305">
        <v>3</v>
      </c>
      <c r="I305">
        <v>0</v>
      </c>
      <c r="J305" s="10">
        <v>0.10165886856656743</v>
      </c>
      <c r="K305">
        <v>0</v>
      </c>
      <c r="L305">
        <v>0</v>
      </c>
      <c r="M305">
        <v>1</v>
      </c>
      <c r="N305" s="10">
        <v>0.20316387460607066</v>
      </c>
      <c r="O305" s="11">
        <v>0.4666291072254975</v>
      </c>
      <c r="P305" s="10">
        <v>0.25</v>
      </c>
      <c r="Q305">
        <v>1</v>
      </c>
      <c r="R305">
        <v>1</v>
      </c>
      <c r="S305">
        <v>0</v>
      </c>
      <c r="T305">
        <v>1</v>
      </c>
      <c r="U305">
        <v>0</v>
      </c>
      <c r="V305" s="10">
        <v>0.29577464788732394</v>
      </c>
      <c r="W305" s="5">
        <v>1</v>
      </c>
      <c r="X305" s="5">
        <v>2</v>
      </c>
      <c r="Y305" s="5">
        <v>1</v>
      </c>
      <c r="Z305" s="5">
        <v>4</v>
      </c>
    </row>
    <row r="306" spans="1:26" x14ac:dyDescent="0.35">
      <c r="A306">
        <v>305</v>
      </c>
      <c r="B306" s="10">
        <v>0.98039215686274506</v>
      </c>
      <c r="C306">
        <v>1</v>
      </c>
      <c r="D306">
        <v>0</v>
      </c>
      <c r="E306">
        <v>1</v>
      </c>
      <c r="F306">
        <v>0</v>
      </c>
      <c r="G306">
        <v>0</v>
      </c>
      <c r="H306">
        <v>3</v>
      </c>
      <c r="I306">
        <v>0</v>
      </c>
      <c r="J306" s="10">
        <v>0.18332624415142493</v>
      </c>
      <c r="K306">
        <v>1</v>
      </c>
      <c r="L306">
        <v>0</v>
      </c>
      <c r="M306">
        <v>0</v>
      </c>
      <c r="N306" s="10">
        <v>8.2476364239509034E-2</v>
      </c>
      <c r="O306" s="11">
        <v>0.58001167025493472</v>
      </c>
      <c r="P306" s="10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 s="10">
        <v>0.55492957746478877</v>
      </c>
      <c r="W306" s="5">
        <v>1</v>
      </c>
      <c r="X306" s="5">
        <v>1</v>
      </c>
      <c r="Y306" s="5">
        <v>1</v>
      </c>
      <c r="Z306" s="5">
        <v>3</v>
      </c>
    </row>
    <row r="307" spans="1:26" x14ac:dyDescent="0.35">
      <c r="A307">
        <v>306</v>
      </c>
      <c r="B307" s="10">
        <v>0.58823529411764708</v>
      </c>
      <c r="C307">
        <v>0</v>
      </c>
      <c r="D307">
        <v>0</v>
      </c>
      <c r="E307">
        <v>1</v>
      </c>
      <c r="F307">
        <v>0</v>
      </c>
      <c r="G307">
        <v>0</v>
      </c>
      <c r="H307">
        <v>3</v>
      </c>
      <c r="I307">
        <v>0</v>
      </c>
      <c r="J307" s="10">
        <v>0.34666099532113998</v>
      </c>
      <c r="K307">
        <v>1</v>
      </c>
      <c r="L307">
        <v>0</v>
      </c>
      <c r="M307">
        <v>0</v>
      </c>
      <c r="N307" s="10">
        <v>0.6740634552046062</v>
      </c>
      <c r="O307" s="11">
        <v>0.51098725438249371</v>
      </c>
      <c r="P307" s="10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 s="10">
        <v>7.0422535211267609E-2</v>
      </c>
      <c r="W307" s="5">
        <v>3</v>
      </c>
      <c r="X307" s="5">
        <v>3</v>
      </c>
      <c r="Y307" s="5">
        <v>3</v>
      </c>
      <c r="Z307" s="5">
        <v>9</v>
      </c>
    </row>
    <row r="308" spans="1:26" x14ac:dyDescent="0.35">
      <c r="A308">
        <v>307</v>
      </c>
      <c r="B308" s="10">
        <v>0.56862745098039214</v>
      </c>
      <c r="C308">
        <v>1</v>
      </c>
      <c r="D308">
        <v>0</v>
      </c>
      <c r="E308">
        <v>1</v>
      </c>
      <c r="F308">
        <v>0</v>
      </c>
      <c r="G308">
        <v>0</v>
      </c>
      <c r="H308">
        <v>3</v>
      </c>
      <c r="I308">
        <v>0</v>
      </c>
      <c r="J308" s="10">
        <v>0.40791152700978311</v>
      </c>
      <c r="K308">
        <v>1</v>
      </c>
      <c r="L308">
        <v>0</v>
      </c>
      <c r="M308">
        <v>0</v>
      </c>
      <c r="N308" s="10">
        <v>0.41670023458048006</v>
      </c>
      <c r="O308" s="11">
        <v>0.71263003279744064</v>
      </c>
      <c r="P308" s="10">
        <v>0.375</v>
      </c>
      <c r="Q308">
        <v>1</v>
      </c>
      <c r="R308">
        <v>0</v>
      </c>
      <c r="S308">
        <v>1</v>
      </c>
      <c r="T308">
        <v>0</v>
      </c>
      <c r="U308">
        <v>0</v>
      </c>
      <c r="V308" s="10">
        <v>3.3802816901408447E-2</v>
      </c>
      <c r="W308" s="5">
        <v>3</v>
      </c>
      <c r="X308" s="5">
        <v>2</v>
      </c>
      <c r="Y308" s="5">
        <v>2</v>
      </c>
      <c r="Z308" s="5">
        <v>7</v>
      </c>
    </row>
    <row r="309" spans="1:26" x14ac:dyDescent="0.35">
      <c r="A309">
        <v>308</v>
      </c>
      <c r="B309" s="10">
        <v>0.96078431372549022</v>
      </c>
      <c r="C309">
        <v>1</v>
      </c>
      <c r="D309">
        <v>0</v>
      </c>
      <c r="E309">
        <v>0</v>
      </c>
      <c r="F309">
        <v>0</v>
      </c>
      <c r="G309">
        <v>1</v>
      </c>
      <c r="H309">
        <v>2</v>
      </c>
      <c r="I309">
        <v>0</v>
      </c>
      <c r="J309" s="10">
        <v>0.85708209272649938</v>
      </c>
      <c r="K309">
        <v>1</v>
      </c>
      <c r="L309">
        <v>0</v>
      </c>
      <c r="M309">
        <v>0</v>
      </c>
      <c r="N309" s="10">
        <v>0.52777349951425256</v>
      </c>
      <c r="O309" s="11">
        <v>0.51501179960505095</v>
      </c>
      <c r="P309" s="10">
        <v>0.75</v>
      </c>
      <c r="Q309">
        <v>0</v>
      </c>
      <c r="R309">
        <v>0</v>
      </c>
      <c r="S309">
        <v>0</v>
      </c>
      <c r="T309">
        <v>0</v>
      </c>
      <c r="U309">
        <v>0</v>
      </c>
      <c r="V309" s="10">
        <v>3.6619718309859155E-2</v>
      </c>
      <c r="W309" s="5">
        <v>3</v>
      </c>
      <c r="X309" s="5">
        <v>2</v>
      </c>
      <c r="Y309" s="5">
        <v>3</v>
      </c>
      <c r="Z309" s="5">
        <v>8</v>
      </c>
    </row>
    <row r="310" spans="1:26" x14ac:dyDescent="0.35">
      <c r="A310">
        <v>309</v>
      </c>
      <c r="B310" s="10">
        <v>0.6470588235294118</v>
      </c>
      <c r="C310">
        <v>1</v>
      </c>
      <c r="D310">
        <v>1</v>
      </c>
      <c r="E310">
        <v>0</v>
      </c>
      <c r="F310">
        <v>0</v>
      </c>
      <c r="G310">
        <v>0</v>
      </c>
      <c r="H310">
        <v>3</v>
      </c>
      <c r="I310">
        <v>0</v>
      </c>
      <c r="J310" s="10">
        <v>0.55082943428328379</v>
      </c>
      <c r="K310">
        <v>0</v>
      </c>
      <c r="L310">
        <v>0</v>
      </c>
      <c r="M310">
        <v>1</v>
      </c>
      <c r="N310" s="10">
        <v>0.41190792123782666</v>
      </c>
      <c r="O310" s="11">
        <v>0.56359282882955397</v>
      </c>
      <c r="P310" s="10">
        <v>0.5</v>
      </c>
      <c r="Q310">
        <v>1</v>
      </c>
      <c r="R310">
        <v>0</v>
      </c>
      <c r="S310">
        <v>0</v>
      </c>
      <c r="T310">
        <v>1</v>
      </c>
      <c r="U310">
        <v>0</v>
      </c>
      <c r="V310" s="10">
        <v>0.17464788732394365</v>
      </c>
      <c r="W310" s="5">
        <v>2</v>
      </c>
      <c r="X310" s="5">
        <v>2</v>
      </c>
      <c r="Y310" s="5">
        <v>2</v>
      </c>
      <c r="Z310" s="5">
        <v>6</v>
      </c>
    </row>
    <row r="311" spans="1:26" x14ac:dyDescent="0.35">
      <c r="A311">
        <v>310</v>
      </c>
      <c r="B311" s="10">
        <v>0.35294117647058826</v>
      </c>
      <c r="C311">
        <v>0</v>
      </c>
      <c r="D311">
        <v>0</v>
      </c>
      <c r="E311">
        <v>0</v>
      </c>
      <c r="F311">
        <v>0</v>
      </c>
      <c r="G311">
        <v>1</v>
      </c>
      <c r="H311">
        <v>2</v>
      </c>
      <c r="I311">
        <v>0</v>
      </c>
      <c r="J311" s="10">
        <v>0.10165886856656743</v>
      </c>
      <c r="K311">
        <v>0</v>
      </c>
      <c r="L311">
        <v>0</v>
      </c>
      <c r="M311">
        <v>1</v>
      </c>
      <c r="N311" s="10">
        <v>0.3105051773570599</v>
      </c>
      <c r="O311" s="11">
        <v>0.5322742912332239</v>
      </c>
      <c r="P311" s="10">
        <v>0.375</v>
      </c>
      <c r="Q311">
        <v>0</v>
      </c>
      <c r="R311">
        <v>0</v>
      </c>
      <c r="S311">
        <v>0</v>
      </c>
      <c r="T311">
        <v>0</v>
      </c>
      <c r="U311">
        <v>0</v>
      </c>
      <c r="V311" s="10">
        <v>4.788732394366197E-2</v>
      </c>
      <c r="W311" s="5">
        <v>3</v>
      </c>
      <c r="X311" s="5">
        <v>2</v>
      </c>
      <c r="Y311" s="5">
        <v>2</v>
      </c>
      <c r="Z311" s="5">
        <v>7</v>
      </c>
    </row>
    <row r="312" spans="1:26" x14ac:dyDescent="0.35">
      <c r="A312">
        <v>311</v>
      </c>
      <c r="B312" s="10">
        <v>0.33333333333333331</v>
      </c>
      <c r="C312">
        <v>1</v>
      </c>
      <c r="D312">
        <v>0</v>
      </c>
      <c r="E312">
        <v>0</v>
      </c>
      <c r="F312">
        <v>0</v>
      </c>
      <c r="G312">
        <v>1</v>
      </c>
      <c r="H312">
        <v>3</v>
      </c>
      <c r="I312">
        <v>1</v>
      </c>
      <c r="J312" s="10">
        <v>0.93874946831135686</v>
      </c>
      <c r="K312">
        <v>1</v>
      </c>
      <c r="L312">
        <v>0</v>
      </c>
      <c r="M312">
        <v>0</v>
      </c>
      <c r="N312" s="10">
        <v>0.17270691656991208</v>
      </c>
      <c r="O312" s="11">
        <v>0.23859635002716351</v>
      </c>
      <c r="P312" s="10">
        <v>0.5</v>
      </c>
      <c r="Q312">
        <v>2</v>
      </c>
      <c r="R312">
        <v>0</v>
      </c>
      <c r="S312">
        <v>1</v>
      </c>
      <c r="T312">
        <v>0</v>
      </c>
      <c r="U312">
        <v>0</v>
      </c>
      <c r="V312" s="10">
        <v>0.27323943661971833</v>
      </c>
      <c r="W312" s="5">
        <v>1</v>
      </c>
      <c r="X312" s="5">
        <v>2</v>
      </c>
      <c r="Y312" s="5">
        <v>1</v>
      </c>
      <c r="Z312" s="5">
        <v>4</v>
      </c>
    </row>
    <row r="313" spans="1:26" x14ac:dyDescent="0.35">
      <c r="A313">
        <v>312</v>
      </c>
      <c r="B313" s="10">
        <v>0.56862745098039214</v>
      </c>
      <c r="C313">
        <v>1</v>
      </c>
      <c r="D313">
        <v>1</v>
      </c>
      <c r="E313">
        <v>0</v>
      </c>
      <c r="F313">
        <v>0</v>
      </c>
      <c r="G313">
        <v>0</v>
      </c>
      <c r="H313">
        <v>2</v>
      </c>
      <c r="I313">
        <v>0</v>
      </c>
      <c r="J313" s="10">
        <v>0.59166312207571248</v>
      </c>
      <c r="K313">
        <v>0</v>
      </c>
      <c r="L313">
        <v>1</v>
      </c>
      <c r="M313">
        <v>0</v>
      </c>
      <c r="N313" s="10">
        <v>8.096580811790631E-2</v>
      </c>
      <c r="O313" s="11">
        <v>0.28487494718203588</v>
      </c>
      <c r="P313" s="10">
        <v>0.125</v>
      </c>
      <c r="Q313">
        <v>2</v>
      </c>
      <c r="R313">
        <v>1</v>
      </c>
      <c r="S313">
        <v>0</v>
      </c>
      <c r="T313">
        <v>1</v>
      </c>
      <c r="U313">
        <v>1</v>
      </c>
      <c r="V313" s="10">
        <v>0.79718309859154934</v>
      </c>
      <c r="W313" s="5">
        <v>1</v>
      </c>
      <c r="X313" s="5">
        <v>1</v>
      </c>
      <c r="Y313" s="5">
        <v>1</v>
      </c>
      <c r="Z313" s="5">
        <v>3</v>
      </c>
    </row>
    <row r="314" spans="1:26" x14ac:dyDescent="0.35">
      <c r="A314">
        <v>313</v>
      </c>
      <c r="B314" s="10">
        <v>0.39215686274509803</v>
      </c>
      <c r="C314">
        <v>1</v>
      </c>
      <c r="D314">
        <v>0</v>
      </c>
      <c r="E314">
        <v>0</v>
      </c>
      <c r="F314">
        <v>1</v>
      </c>
      <c r="G314">
        <v>0</v>
      </c>
      <c r="H314">
        <v>1</v>
      </c>
      <c r="I314">
        <v>0</v>
      </c>
      <c r="J314" s="10">
        <v>0.22415993194385367</v>
      </c>
      <c r="K314">
        <v>0</v>
      </c>
      <c r="L314">
        <v>0</v>
      </c>
      <c r="M314">
        <v>1</v>
      </c>
      <c r="N314" s="10">
        <v>7.4372674928322611E-3</v>
      </c>
      <c r="O314" s="11">
        <v>7.0242862029417083E-2</v>
      </c>
      <c r="P314" s="10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 s="10">
        <v>0.19154929577464788</v>
      </c>
      <c r="W314" s="5">
        <v>2</v>
      </c>
      <c r="X314" s="5">
        <v>1</v>
      </c>
      <c r="Y314" s="5">
        <v>1</v>
      </c>
      <c r="Z314" s="5">
        <v>4</v>
      </c>
    </row>
    <row r="315" spans="1:26" x14ac:dyDescent="0.35">
      <c r="A315">
        <v>314</v>
      </c>
      <c r="B315" s="10">
        <v>3.9215686274509803E-2</v>
      </c>
      <c r="C315">
        <v>1</v>
      </c>
      <c r="D315">
        <v>1</v>
      </c>
      <c r="E315">
        <v>0</v>
      </c>
      <c r="F315">
        <v>0</v>
      </c>
      <c r="G315">
        <v>0</v>
      </c>
      <c r="H315">
        <v>2</v>
      </c>
      <c r="I315">
        <v>0</v>
      </c>
      <c r="J315" s="10">
        <v>0.53041259038706934</v>
      </c>
      <c r="K315">
        <v>1</v>
      </c>
      <c r="L315">
        <v>0</v>
      </c>
      <c r="M315">
        <v>0</v>
      </c>
      <c r="N315" s="10">
        <v>0.15593974362012178</v>
      </c>
      <c r="O315" s="11">
        <v>0.53953801887361919</v>
      </c>
      <c r="P315" s="10">
        <v>0.125</v>
      </c>
      <c r="Q315">
        <v>1</v>
      </c>
      <c r="R315">
        <v>1</v>
      </c>
      <c r="S315">
        <v>0</v>
      </c>
      <c r="T315">
        <v>1</v>
      </c>
      <c r="U315">
        <v>0</v>
      </c>
      <c r="V315" s="10">
        <v>0.18873239436619718</v>
      </c>
      <c r="W315" s="5">
        <v>2</v>
      </c>
      <c r="X315" s="5">
        <v>1</v>
      </c>
      <c r="Y315" s="5">
        <v>1</v>
      </c>
      <c r="Z315" s="5">
        <v>4</v>
      </c>
    </row>
    <row r="316" spans="1:26" x14ac:dyDescent="0.35">
      <c r="A316">
        <v>315</v>
      </c>
      <c r="B316" s="10">
        <v>9.8039215686274508E-2</v>
      </c>
      <c r="C316">
        <v>0</v>
      </c>
      <c r="D316">
        <v>0</v>
      </c>
      <c r="E316">
        <v>1</v>
      </c>
      <c r="F316">
        <v>0</v>
      </c>
      <c r="G316">
        <v>0</v>
      </c>
      <c r="H316">
        <v>2</v>
      </c>
      <c r="I316">
        <v>1</v>
      </c>
      <c r="J316" s="10">
        <v>0.46916205869842625</v>
      </c>
      <c r="K316">
        <v>1</v>
      </c>
      <c r="L316">
        <v>0</v>
      </c>
      <c r="M316">
        <v>0</v>
      </c>
      <c r="N316" s="10">
        <v>0.17519785323318246</v>
      </c>
      <c r="O316" s="11">
        <v>0.60495180989557129</v>
      </c>
      <c r="P316" s="10">
        <v>0.125</v>
      </c>
      <c r="Q316">
        <v>1</v>
      </c>
      <c r="R316">
        <v>1</v>
      </c>
      <c r="S316">
        <v>1</v>
      </c>
      <c r="T316">
        <v>0</v>
      </c>
      <c r="U316">
        <v>0</v>
      </c>
      <c r="V316" s="10">
        <v>0.14366197183098592</v>
      </c>
      <c r="W316" s="5">
        <v>2</v>
      </c>
      <c r="X316" s="5">
        <v>1</v>
      </c>
      <c r="Y316" s="5">
        <v>1</v>
      </c>
      <c r="Z316" s="5">
        <v>4</v>
      </c>
    </row>
    <row r="317" spans="1:26" x14ac:dyDescent="0.35">
      <c r="A317">
        <v>316</v>
      </c>
      <c r="B317" s="10">
        <v>0.72549019607843135</v>
      </c>
      <c r="C317">
        <v>0</v>
      </c>
      <c r="D317">
        <v>0</v>
      </c>
      <c r="E317">
        <v>0</v>
      </c>
      <c r="F317">
        <v>0</v>
      </c>
      <c r="G317">
        <v>1</v>
      </c>
      <c r="H317">
        <v>1</v>
      </c>
      <c r="I317">
        <v>0</v>
      </c>
      <c r="J317" s="10">
        <v>0.36707783921735437</v>
      </c>
      <c r="K317">
        <v>1</v>
      </c>
      <c r="L317">
        <v>0</v>
      </c>
      <c r="M317">
        <v>0</v>
      </c>
      <c r="N317" s="10">
        <v>0.18953332701466721</v>
      </c>
      <c r="O317" s="11">
        <v>0.16341123563854404</v>
      </c>
      <c r="P317" s="10">
        <v>0.875</v>
      </c>
      <c r="Q317">
        <v>0</v>
      </c>
      <c r="R317">
        <v>0</v>
      </c>
      <c r="S317">
        <v>0</v>
      </c>
      <c r="T317">
        <v>0</v>
      </c>
      <c r="U317">
        <v>0</v>
      </c>
      <c r="V317" s="10">
        <v>0.27605633802816903</v>
      </c>
      <c r="W317" s="5">
        <v>1</v>
      </c>
      <c r="X317" s="5">
        <v>3</v>
      </c>
      <c r="Y317" s="5">
        <v>1</v>
      </c>
      <c r="Z317" s="5">
        <v>5</v>
      </c>
    </row>
    <row r="318" spans="1:26" x14ac:dyDescent="0.35">
      <c r="A318">
        <v>317</v>
      </c>
      <c r="B318" s="10">
        <v>0.23529411764705882</v>
      </c>
      <c r="C318">
        <v>1</v>
      </c>
      <c r="D318">
        <v>0</v>
      </c>
      <c r="E318">
        <v>1</v>
      </c>
      <c r="F318">
        <v>0</v>
      </c>
      <c r="G318">
        <v>0</v>
      </c>
      <c r="H318">
        <v>3</v>
      </c>
      <c r="I318">
        <v>0</v>
      </c>
      <c r="J318" s="10">
        <v>0.40791152700978311</v>
      </c>
      <c r="K318">
        <v>0</v>
      </c>
      <c r="L318">
        <v>1</v>
      </c>
      <c r="M318">
        <v>0</v>
      </c>
      <c r="N318" s="10">
        <v>0.1356627490936663</v>
      </c>
      <c r="O318" s="11">
        <v>0.31377559575310027</v>
      </c>
      <c r="P318" s="10">
        <v>0.25</v>
      </c>
      <c r="Q318">
        <v>2</v>
      </c>
      <c r="R318">
        <v>1</v>
      </c>
      <c r="S318">
        <v>1</v>
      </c>
      <c r="T318">
        <v>0</v>
      </c>
      <c r="U318">
        <v>0</v>
      </c>
      <c r="V318" s="10">
        <v>0.48450704225352115</v>
      </c>
      <c r="W318" s="5">
        <v>1</v>
      </c>
      <c r="X318" s="5">
        <v>2</v>
      </c>
      <c r="Y318" s="5">
        <v>1</v>
      </c>
      <c r="Z318" s="5">
        <v>4</v>
      </c>
    </row>
    <row r="319" spans="1:26" x14ac:dyDescent="0.35">
      <c r="A319">
        <v>318</v>
      </c>
      <c r="B319" s="10">
        <v>0.86274509803921573</v>
      </c>
      <c r="C319">
        <v>0</v>
      </c>
      <c r="D319">
        <v>1</v>
      </c>
      <c r="E319">
        <v>0</v>
      </c>
      <c r="F319">
        <v>0</v>
      </c>
      <c r="G319">
        <v>0</v>
      </c>
      <c r="H319">
        <v>3</v>
      </c>
      <c r="I319">
        <v>0</v>
      </c>
      <c r="J319" s="10">
        <v>0.89791578051892806</v>
      </c>
      <c r="K319">
        <v>0</v>
      </c>
      <c r="L319">
        <v>1</v>
      </c>
      <c r="M319">
        <v>0</v>
      </c>
      <c r="N319" s="10">
        <v>0.63254981873326532</v>
      </c>
      <c r="O319" s="11">
        <v>0.53960844282581144</v>
      </c>
      <c r="P319" s="10">
        <v>0.875</v>
      </c>
      <c r="Q319">
        <v>0</v>
      </c>
      <c r="R319">
        <v>0</v>
      </c>
      <c r="S319">
        <v>0</v>
      </c>
      <c r="T319">
        <v>0</v>
      </c>
      <c r="U319">
        <v>0</v>
      </c>
      <c r="V319" s="10">
        <v>2.8169014084507043E-2</v>
      </c>
      <c r="W319" s="5">
        <v>3</v>
      </c>
      <c r="X319" s="5">
        <v>3</v>
      </c>
      <c r="Y319" s="5">
        <v>3</v>
      </c>
      <c r="Z319" s="5">
        <v>9</v>
      </c>
    </row>
    <row r="320" spans="1:26" x14ac:dyDescent="0.35">
      <c r="A320">
        <v>319</v>
      </c>
      <c r="B320" s="10">
        <v>3.9215686274509803E-2</v>
      </c>
      <c r="C320">
        <v>0</v>
      </c>
      <c r="D320">
        <v>0</v>
      </c>
      <c r="E320">
        <v>0</v>
      </c>
      <c r="F320">
        <v>1</v>
      </c>
      <c r="G320">
        <v>0</v>
      </c>
      <c r="H320">
        <v>2</v>
      </c>
      <c r="I320">
        <v>0</v>
      </c>
      <c r="J320" s="10">
        <v>0.42832837090599751</v>
      </c>
      <c r="K320">
        <v>0</v>
      </c>
      <c r="L320">
        <v>0</v>
      </c>
      <c r="M320">
        <v>1</v>
      </c>
      <c r="N320" s="10">
        <v>0.13851503447622204</v>
      </c>
      <c r="O320" s="11">
        <v>0.96070343467675401</v>
      </c>
      <c r="P320" s="1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 s="10">
        <v>0.38873239436619716</v>
      </c>
      <c r="W320" s="5">
        <v>1</v>
      </c>
      <c r="X320" s="5">
        <v>1</v>
      </c>
      <c r="Y320" s="5">
        <v>1</v>
      </c>
      <c r="Z320" s="5">
        <v>3</v>
      </c>
    </row>
    <row r="321" spans="1:26" x14ac:dyDescent="0.35">
      <c r="A321">
        <v>320</v>
      </c>
      <c r="B321" s="10">
        <v>0.92156862745098034</v>
      </c>
      <c r="C321">
        <v>0</v>
      </c>
      <c r="D321">
        <v>0</v>
      </c>
      <c r="E321">
        <v>0</v>
      </c>
      <c r="F321">
        <v>1</v>
      </c>
      <c r="G321">
        <v>0</v>
      </c>
      <c r="H321">
        <v>3</v>
      </c>
      <c r="I321">
        <v>0</v>
      </c>
      <c r="J321" s="10">
        <v>0.53041259038706934</v>
      </c>
      <c r="K321">
        <v>0</v>
      </c>
      <c r="L321">
        <v>0</v>
      </c>
      <c r="M321">
        <v>1</v>
      </c>
      <c r="N321" s="10">
        <v>0.24108179513304742</v>
      </c>
      <c r="O321" s="11">
        <v>0.82873900883317575</v>
      </c>
      <c r="P321" s="10">
        <v>0.125</v>
      </c>
      <c r="Q321">
        <v>2</v>
      </c>
      <c r="R321">
        <v>1</v>
      </c>
      <c r="S321">
        <v>1</v>
      </c>
      <c r="T321">
        <v>0</v>
      </c>
      <c r="U321">
        <v>1</v>
      </c>
      <c r="V321" s="10">
        <v>3.3802816901408447E-2</v>
      </c>
      <c r="W321" s="5">
        <v>3</v>
      </c>
      <c r="X321" s="5">
        <v>1</v>
      </c>
      <c r="Y321" s="5">
        <v>1</v>
      </c>
      <c r="Z321" s="5">
        <v>5</v>
      </c>
    </row>
    <row r="322" spans="1:26" x14ac:dyDescent="0.35">
      <c r="A322">
        <v>321</v>
      </c>
      <c r="B322" s="10">
        <v>0.52941176470588236</v>
      </c>
      <c r="C322">
        <v>1</v>
      </c>
      <c r="D322">
        <v>0</v>
      </c>
      <c r="E322">
        <v>0</v>
      </c>
      <c r="F322">
        <v>0</v>
      </c>
      <c r="G322">
        <v>1</v>
      </c>
      <c r="H322">
        <v>3</v>
      </c>
      <c r="I322">
        <v>0</v>
      </c>
      <c r="J322" s="10">
        <v>0.65291365376435562</v>
      </c>
      <c r="K322">
        <v>0</v>
      </c>
      <c r="L322">
        <v>0</v>
      </c>
      <c r="M322">
        <v>1</v>
      </c>
      <c r="N322" s="10">
        <v>0.59161670971257962</v>
      </c>
      <c r="O322" s="11">
        <v>0.44875483745481126</v>
      </c>
      <c r="P322" s="10">
        <v>1</v>
      </c>
      <c r="Q322">
        <v>2</v>
      </c>
      <c r="R322">
        <v>1</v>
      </c>
      <c r="S322">
        <v>1</v>
      </c>
      <c r="T322">
        <v>0</v>
      </c>
      <c r="U322">
        <v>1</v>
      </c>
      <c r="V322" s="10">
        <v>7.3239436619718309E-2</v>
      </c>
      <c r="W322" s="5">
        <v>3</v>
      </c>
      <c r="X322" s="5">
        <v>3</v>
      </c>
      <c r="Y322" s="5">
        <v>3</v>
      </c>
      <c r="Z322" s="5">
        <v>9</v>
      </c>
    </row>
    <row r="323" spans="1:26" x14ac:dyDescent="0.35">
      <c r="A323">
        <v>322</v>
      </c>
      <c r="B323" s="10">
        <v>0.41176470588235292</v>
      </c>
      <c r="C323">
        <v>0</v>
      </c>
      <c r="D323">
        <v>1</v>
      </c>
      <c r="E323">
        <v>0</v>
      </c>
      <c r="F323">
        <v>0</v>
      </c>
      <c r="G323">
        <v>0</v>
      </c>
      <c r="H323">
        <v>1</v>
      </c>
      <c r="I323">
        <v>0</v>
      </c>
      <c r="J323" s="10">
        <v>1.9991492981709911E-2</v>
      </c>
      <c r="K323">
        <v>0</v>
      </c>
      <c r="L323">
        <v>0</v>
      </c>
      <c r="M323">
        <v>1</v>
      </c>
      <c r="N323" s="10">
        <v>1.5455062436319689E-2</v>
      </c>
      <c r="O323" s="11">
        <v>0.12471075876778204</v>
      </c>
      <c r="P323" s="10">
        <v>0</v>
      </c>
      <c r="Q323">
        <v>2</v>
      </c>
      <c r="R323">
        <v>1</v>
      </c>
      <c r="S323">
        <v>0</v>
      </c>
      <c r="T323">
        <v>1</v>
      </c>
      <c r="U323">
        <v>1</v>
      </c>
      <c r="V323" s="10">
        <v>0.59436619718309858</v>
      </c>
      <c r="W323" s="5">
        <v>1</v>
      </c>
      <c r="X323" s="5">
        <v>1</v>
      </c>
      <c r="Y323" s="5">
        <v>1</v>
      </c>
      <c r="Z323" s="5">
        <v>3</v>
      </c>
    </row>
    <row r="324" spans="1:26" x14ac:dyDescent="0.35">
      <c r="A324">
        <v>323</v>
      </c>
      <c r="B324" s="10">
        <v>0.76470588235294112</v>
      </c>
      <c r="C324">
        <v>0</v>
      </c>
      <c r="D324">
        <v>0</v>
      </c>
      <c r="E324">
        <v>1</v>
      </c>
      <c r="F324">
        <v>0</v>
      </c>
      <c r="G324">
        <v>0</v>
      </c>
      <c r="H324">
        <v>3</v>
      </c>
      <c r="I324">
        <v>1</v>
      </c>
      <c r="J324" s="10">
        <v>4.0408336877924292E-2</v>
      </c>
      <c r="K324">
        <v>0</v>
      </c>
      <c r="L324">
        <v>1</v>
      </c>
      <c r="M324">
        <v>0</v>
      </c>
      <c r="N324" s="10">
        <v>0.24568751036656161</v>
      </c>
      <c r="O324" s="11">
        <v>0.42219159339222112</v>
      </c>
      <c r="P324" s="10">
        <v>0.375</v>
      </c>
      <c r="Q324">
        <v>1</v>
      </c>
      <c r="R324">
        <v>0</v>
      </c>
      <c r="S324">
        <v>0</v>
      </c>
      <c r="T324">
        <v>1</v>
      </c>
      <c r="U324">
        <v>0</v>
      </c>
      <c r="V324" s="10">
        <v>5.6338028169014086E-2</v>
      </c>
      <c r="W324" s="5">
        <v>3</v>
      </c>
      <c r="X324" s="5">
        <v>2</v>
      </c>
      <c r="Y324" s="5">
        <v>2</v>
      </c>
      <c r="Z324" s="5">
        <v>7</v>
      </c>
    </row>
    <row r="325" spans="1:26" x14ac:dyDescent="0.35">
      <c r="A325">
        <v>324</v>
      </c>
      <c r="B325" s="10">
        <v>0.76470588235294112</v>
      </c>
      <c r="C325">
        <v>0</v>
      </c>
      <c r="D325">
        <v>0</v>
      </c>
      <c r="E325">
        <v>1</v>
      </c>
      <c r="F325">
        <v>0</v>
      </c>
      <c r="G325">
        <v>0</v>
      </c>
      <c r="H325">
        <v>3</v>
      </c>
      <c r="I325">
        <v>0</v>
      </c>
      <c r="J325" s="10">
        <v>8.1242024670353047E-2</v>
      </c>
      <c r="K325">
        <v>1</v>
      </c>
      <c r="L325">
        <v>0</v>
      </c>
      <c r="M325">
        <v>0</v>
      </c>
      <c r="N325" s="10">
        <v>0.40278534701324548</v>
      </c>
      <c r="O325" s="11">
        <v>0.4593318443697727</v>
      </c>
      <c r="P325" s="10">
        <v>0.625</v>
      </c>
      <c r="Q325">
        <v>2</v>
      </c>
      <c r="R325">
        <v>1</v>
      </c>
      <c r="S325">
        <v>1</v>
      </c>
      <c r="T325">
        <v>0</v>
      </c>
      <c r="U325">
        <v>0</v>
      </c>
      <c r="V325" s="10">
        <v>0.16619718309859155</v>
      </c>
      <c r="W325" s="5">
        <v>2</v>
      </c>
      <c r="X325" s="5">
        <v>2</v>
      </c>
      <c r="Y325" s="5">
        <v>2</v>
      </c>
      <c r="Z325" s="5">
        <v>6</v>
      </c>
    </row>
    <row r="326" spans="1:26" x14ac:dyDescent="0.35">
      <c r="A326">
        <v>325</v>
      </c>
      <c r="B326" s="10">
        <v>0.21568627450980393</v>
      </c>
      <c r="C326">
        <v>0</v>
      </c>
      <c r="D326">
        <v>0</v>
      </c>
      <c r="E326">
        <v>0</v>
      </c>
      <c r="F326">
        <v>1</v>
      </c>
      <c r="G326">
        <v>0</v>
      </c>
      <c r="H326">
        <v>2</v>
      </c>
      <c r="I326">
        <v>0</v>
      </c>
      <c r="J326" s="10">
        <v>0.83666524883028492</v>
      </c>
      <c r="K326">
        <v>0</v>
      </c>
      <c r="L326">
        <v>0</v>
      </c>
      <c r="M326">
        <v>1</v>
      </c>
      <c r="N326" s="10">
        <v>0.1611230244295429</v>
      </c>
      <c r="O326" s="11">
        <v>0.55714400692166843</v>
      </c>
      <c r="P326" s="10">
        <v>0.125</v>
      </c>
      <c r="Q326">
        <v>2</v>
      </c>
      <c r="R326">
        <v>1</v>
      </c>
      <c r="S326">
        <v>1</v>
      </c>
      <c r="T326">
        <v>0</v>
      </c>
      <c r="U326">
        <v>0</v>
      </c>
      <c r="V326" s="10">
        <v>0.10704225352112676</v>
      </c>
      <c r="W326" s="5">
        <v>2</v>
      </c>
      <c r="X326" s="5">
        <v>1</v>
      </c>
      <c r="Y326" s="5">
        <v>1</v>
      </c>
      <c r="Z326" s="5">
        <v>4</v>
      </c>
    </row>
    <row r="327" spans="1:26" x14ac:dyDescent="0.35">
      <c r="A327">
        <v>326</v>
      </c>
      <c r="B327" s="10">
        <v>0.43137254901960786</v>
      </c>
      <c r="C327">
        <v>0</v>
      </c>
      <c r="D327">
        <v>0</v>
      </c>
      <c r="E327">
        <v>0</v>
      </c>
      <c r="F327">
        <v>0</v>
      </c>
      <c r="G327">
        <v>1</v>
      </c>
      <c r="H327">
        <v>3</v>
      </c>
      <c r="I327">
        <v>0</v>
      </c>
      <c r="J327" s="10">
        <v>0.2037430880476393</v>
      </c>
      <c r="K327">
        <v>0</v>
      </c>
      <c r="L327">
        <v>1</v>
      </c>
      <c r="M327">
        <v>0</v>
      </c>
      <c r="N327" s="10">
        <v>0.17655439186787669</v>
      </c>
      <c r="O327" s="11">
        <v>0.40637303232124056</v>
      </c>
      <c r="P327" s="10">
        <v>0.25</v>
      </c>
      <c r="Q327">
        <v>0</v>
      </c>
      <c r="R327">
        <v>0</v>
      </c>
      <c r="S327">
        <v>0</v>
      </c>
      <c r="T327">
        <v>0</v>
      </c>
      <c r="U327">
        <v>0</v>
      </c>
      <c r="V327" s="10">
        <v>0.30140845070422534</v>
      </c>
      <c r="W327" s="5">
        <v>1</v>
      </c>
      <c r="X327" s="5">
        <v>2</v>
      </c>
      <c r="Y327" s="5">
        <v>1</v>
      </c>
      <c r="Z327" s="5">
        <v>4</v>
      </c>
    </row>
    <row r="328" spans="1:26" x14ac:dyDescent="0.35">
      <c r="A328">
        <v>327</v>
      </c>
      <c r="B328" s="10">
        <v>0.58823529411764708</v>
      </c>
      <c r="C328">
        <v>1</v>
      </c>
      <c r="D328">
        <v>1</v>
      </c>
      <c r="E328">
        <v>0</v>
      </c>
      <c r="F328">
        <v>0</v>
      </c>
      <c r="G328">
        <v>0</v>
      </c>
      <c r="H328">
        <v>3</v>
      </c>
      <c r="I328">
        <v>0</v>
      </c>
      <c r="J328" s="10">
        <v>0.57124627817949813</v>
      </c>
      <c r="K328">
        <v>0</v>
      </c>
      <c r="L328">
        <v>1</v>
      </c>
      <c r="M328">
        <v>0</v>
      </c>
      <c r="N328" s="10">
        <v>0.11657050446650712</v>
      </c>
      <c r="O328" s="11">
        <v>0.40581299422523592</v>
      </c>
      <c r="P328" s="10">
        <v>0.125</v>
      </c>
      <c r="Q328">
        <v>2</v>
      </c>
      <c r="R328">
        <v>1</v>
      </c>
      <c r="S328">
        <v>1</v>
      </c>
      <c r="T328">
        <v>1</v>
      </c>
      <c r="U328">
        <v>0</v>
      </c>
      <c r="V328" s="10">
        <v>5.6338028169014088E-3</v>
      </c>
      <c r="W328" s="5">
        <v>3</v>
      </c>
      <c r="X328" s="5">
        <v>1</v>
      </c>
      <c r="Y328" s="5">
        <v>1</v>
      </c>
      <c r="Z328" s="5">
        <v>5</v>
      </c>
    </row>
    <row r="329" spans="1:26" x14ac:dyDescent="0.35">
      <c r="A329">
        <v>328</v>
      </c>
      <c r="B329" s="10">
        <v>0.33333333333333331</v>
      </c>
      <c r="C329">
        <v>0</v>
      </c>
      <c r="D329">
        <v>0</v>
      </c>
      <c r="E329">
        <v>1</v>
      </c>
      <c r="F329">
        <v>0</v>
      </c>
      <c r="G329">
        <v>0</v>
      </c>
      <c r="H329">
        <v>2</v>
      </c>
      <c r="I329">
        <v>0</v>
      </c>
      <c r="J329" s="10">
        <v>1</v>
      </c>
      <c r="K329">
        <v>1</v>
      </c>
      <c r="L329">
        <v>0</v>
      </c>
      <c r="M329">
        <v>0</v>
      </c>
      <c r="N329" s="10">
        <v>0.24834135014098524</v>
      </c>
      <c r="O329" s="11">
        <v>0.34135898106601742</v>
      </c>
      <c r="P329" s="10">
        <v>0.5</v>
      </c>
      <c r="Q329">
        <v>0</v>
      </c>
      <c r="R329">
        <v>0</v>
      </c>
      <c r="S329">
        <v>0</v>
      </c>
      <c r="T329">
        <v>0</v>
      </c>
      <c r="U329">
        <v>0</v>
      </c>
      <c r="V329" s="10">
        <v>9.295774647887324E-2</v>
      </c>
      <c r="W329" s="5">
        <v>2</v>
      </c>
      <c r="X329" s="5">
        <v>2</v>
      </c>
      <c r="Y329" s="5">
        <v>2</v>
      </c>
      <c r="Z329" s="5">
        <v>6</v>
      </c>
    </row>
    <row r="330" spans="1:26" x14ac:dyDescent="0.35">
      <c r="A330">
        <v>329</v>
      </c>
      <c r="B330" s="10">
        <v>0.11764705882352941</v>
      </c>
      <c r="C330">
        <v>0</v>
      </c>
      <c r="D330">
        <v>0</v>
      </c>
      <c r="E330">
        <v>0</v>
      </c>
      <c r="F330">
        <v>1</v>
      </c>
      <c r="G330">
        <v>0</v>
      </c>
      <c r="H330">
        <v>2</v>
      </c>
      <c r="I330">
        <v>0</v>
      </c>
      <c r="J330" s="10">
        <v>0.75499787324542744</v>
      </c>
      <c r="K330">
        <v>0</v>
      </c>
      <c r="L330">
        <v>0</v>
      </c>
      <c r="M330">
        <v>1</v>
      </c>
      <c r="N330" s="10">
        <v>0.69645226642655722</v>
      </c>
      <c r="O330" s="11">
        <v>0.59387261313104889</v>
      </c>
      <c r="P330" s="10">
        <v>0.875</v>
      </c>
      <c r="Q330">
        <v>1</v>
      </c>
      <c r="R330">
        <v>1</v>
      </c>
      <c r="S330">
        <v>0</v>
      </c>
      <c r="T330">
        <v>0</v>
      </c>
      <c r="U330">
        <v>1</v>
      </c>
      <c r="V330" s="10">
        <v>0.10140845070422536</v>
      </c>
      <c r="W330" s="5">
        <v>2</v>
      </c>
      <c r="X330" s="5">
        <v>3</v>
      </c>
      <c r="Y330" s="5">
        <v>3</v>
      </c>
      <c r="Z330" s="5">
        <v>8</v>
      </c>
    </row>
    <row r="331" spans="1:26" x14ac:dyDescent="0.35">
      <c r="A331">
        <v>330</v>
      </c>
      <c r="B331" s="10">
        <v>0.13725490196078433</v>
      </c>
      <c r="C331">
        <v>1</v>
      </c>
      <c r="D331">
        <v>0</v>
      </c>
      <c r="E331">
        <v>0</v>
      </c>
      <c r="F331">
        <v>0</v>
      </c>
      <c r="G331">
        <v>1</v>
      </c>
      <c r="H331">
        <v>2</v>
      </c>
      <c r="I331">
        <v>0</v>
      </c>
      <c r="J331" s="10">
        <v>0.34666099532113998</v>
      </c>
      <c r="K331">
        <v>1</v>
      </c>
      <c r="L331">
        <v>0</v>
      </c>
      <c r="M331">
        <v>0</v>
      </c>
      <c r="N331" s="10">
        <v>0.76201336397886399</v>
      </c>
      <c r="O331" s="11">
        <v>0.57737356664900474</v>
      </c>
      <c r="P331" s="10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 s="10">
        <v>0.12112676056338029</v>
      </c>
      <c r="W331" s="5">
        <v>2</v>
      </c>
      <c r="X331" s="5">
        <v>3</v>
      </c>
      <c r="Y331" s="5">
        <v>3</v>
      </c>
      <c r="Z331" s="5">
        <v>8</v>
      </c>
    </row>
    <row r="332" spans="1:26" x14ac:dyDescent="0.35">
      <c r="A332">
        <v>331</v>
      </c>
      <c r="B332" s="10">
        <v>0.35294117647058826</v>
      </c>
      <c r="C332">
        <v>1</v>
      </c>
      <c r="D332">
        <v>0</v>
      </c>
      <c r="E332">
        <v>0</v>
      </c>
      <c r="F332">
        <v>1</v>
      </c>
      <c r="G332">
        <v>0</v>
      </c>
      <c r="H332">
        <v>3</v>
      </c>
      <c r="I332">
        <v>0</v>
      </c>
      <c r="J332" s="10">
        <v>0.61207996597192693</v>
      </c>
      <c r="K332">
        <v>0</v>
      </c>
      <c r="L332">
        <v>1</v>
      </c>
      <c r="M332">
        <v>0</v>
      </c>
      <c r="N332" s="10">
        <v>0.26613036987891853</v>
      </c>
      <c r="O332" s="11">
        <v>0.36552848145837941</v>
      </c>
      <c r="P332" s="10">
        <v>0.5</v>
      </c>
      <c r="Q332">
        <v>2</v>
      </c>
      <c r="R332">
        <v>1</v>
      </c>
      <c r="S332">
        <v>1</v>
      </c>
      <c r="T332">
        <v>0</v>
      </c>
      <c r="U332">
        <v>1</v>
      </c>
      <c r="V332" s="10">
        <v>2.8169014084507043E-2</v>
      </c>
      <c r="W332" s="5">
        <v>3</v>
      </c>
      <c r="X332" s="5">
        <v>2</v>
      </c>
      <c r="Y332" s="5">
        <v>2</v>
      </c>
      <c r="Z332" s="5">
        <v>7</v>
      </c>
    </row>
    <row r="333" spans="1:26" x14ac:dyDescent="0.35">
      <c r="A333">
        <v>332</v>
      </c>
      <c r="B333" s="10">
        <v>0.5490196078431373</v>
      </c>
      <c r="C333">
        <v>1</v>
      </c>
      <c r="D333">
        <v>0</v>
      </c>
      <c r="E333">
        <v>0</v>
      </c>
      <c r="F333">
        <v>0</v>
      </c>
      <c r="G333">
        <v>1</v>
      </c>
      <c r="H333">
        <v>3</v>
      </c>
      <c r="I333">
        <v>0</v>
      </c>
      <c r="J333" s="10">
        <v>0.1220757124627818</v>
      </c>
      <c r="K333">
        <v>0</v>
      </c>
      <c r="L333">
        <v>1</v>
      </c>
      <c r="M333">
        <v>0</v>
      </c>
      <c r="N333" s="10">
        <v>0.46431533303319666</v>
      </c>
      <c r="O333" s="11">
        <v>0.63479748083462439</v>
      </c>
      <c r="P333" s="10">
        <v>0.5</v>
      </c>
      <c r="Q333">
        <v>0</v>
      </c>
      <c r="R333">
        <v>0</v>
      </c>
      <c r="S333">
        <v>0</v>
      </c>
      <c r="T333">
        <v>0</v>
      </c>
      <c r="U333">
        <v>0</v>
      </c>
      <c r="V333" s="10">
        <v>0.2</v>
      </c>
      <c r="W333" s="5">
        <v>2</v>
      </c>
      <c r="X333" s="5">
        <v>2</v>
      </c>
      <c r="Y333" s="5">
        <v>3</v>
      </c>
      <c r="Z333" s="5">
        <v>7</v>
      </c>
    </row>
    <row r="334" spans="1:26" x14ac:dyDescent="0.35">
      <c r="A334">
        <v>333</v>
      </c>
      <c r="B334" s="10">
        <v>0.84313725490196079</v>
      </c>
      <c r="C334">
        <v>1</v>
      </c>
      <c r="D334">
        <v>1</v>
      </c>
      <c r="E334">
        <v>0</v>
      </c>
      <c r="F334">
        <v>0</v>
      </c>
      <c r="G334">
        <v>0</v>
      </c>
      <c r="H334">
        <v>3</v>
      </c>
      <c r="I334">
        <v>0</v>
      </c>
      <c r="J334" s="10">
        <v>0.22415993194385367</v>
      </c>
      <c r="K334">
        <v>0</v>
      </c>
      <c r="L334">
        <v>1</v>
      </c>
      <c r="M334">
        <v>0</v>
      </c>
      <c r="N334" s="10">
        <v>0.71961412695779925</v>
      </c>
      <c r="O334" s="11">
        <v>0.70118973362499393</v>
      </c>
      <c r="P334" s="10">
        <v>0.75</v>
      </c>
      <c r="Q334">
        <v>2</v>
      </c>
      <c r="R334">
        <v>1</v>
      </c>
      <c r="S334">
        <v>1</v>
      </c>
      <c r="T334">
        <v>1</v>
      </c>
      <c r="U334">
        <v>0</v>
      </c>
      <c r="V334" s="10">
        <v>0.14647887323943662</v>
      </c>
      <c r="W334" s="5">
        <v>2</v>
      </c>
      <c r="X334" s="5">
        <v>2</v>
      </c>
      <c r="Y334" s="5">
        <v>3</v>
      </c>
      <c r="Z334" s="5">
        <v>7</v>
      </c>
    </row>
    <row r="335" spans="1:26" x14ac:dyDescent="0.35">
      <c r="A335">
        <v>334</v>
      </c>
      <c r="B335" s="10">
        <v>0.37254901960784315</v>
      </c>
      <c r="C335">
        <v>0</v>
      </c>
      <c r="D335">
        <v>0</v>
      </c>
      <c r="E335">
        <v>0</v>
      </c>
      <c r="F335">
        <v>1</v>
      </c>
      <c r="G335">
        <v>0</v>
      </c>
      <c r="H335">
        <v>3</v>
      </c>
      <c r="I335">
        <v>0</v>
      </c>
      <c r="J335" s="10">
        <v>0.22415993194385367</v>
      </c>
      <c r="K335">
        <v>0</v>
      </c>
      <c r="L335">
        <v>0</v>
      </c>
      <c r="M335">
        <v>1</v>
      </c>
      <c r="N335" s="10">
        <v>0.50635322133497618</v>
      </c>
      <c r="O335" s="11">
        <v>0.57659443181284664</v>
      </c>
      <c r="P335" s="10">
        <v>0.625</v>
      </c>
      <c r="Q335">
        <v>1</v>
      </c>
      <c r="R335">
        <v>0</v>
      </c>
      <c r="S335">
        <v>1</v>
      </c>
      <c r="T335">
        <v>0</v>
      </c>
      <c r="U335">
        <v>0</v>
      </c>
      <c r="V335" s="10">
        <v>0.10985915492957747</v>
      </c>
      <c r="W335" s="5">
        <v>2</v>
      </c>
      <c r="X335" s="5">
        <v>2</v>
      </c>
      <c r="Y335" s="5">
        <v>3</v>
      </c>
      <c r="Z335" s="5">
        <v>7</v>
      </c>
    </row>
    <row r="336" spans="1:26" x14ac:dyDescent="0.35">
      <c r="A336">
        <v>335</v>
      </c>
      <c r="B336" s="10">
        <v>0.96078431372549022</v>
      </c>
      <c r="C336">
        <v>0</v>
      </c>
      <c r="D336">
        <v>0</v>
      </c>
      <c r="E336">
        <v>1</v>
      </c>
      <c r="F336">
        <v>0</v>
      </c>
      <c r="G336">
        <v>0</v>
      </c>
      <c r="H336">
        <v>3</v>
      </c>
      <c r="I336">
        <v>1</v>
      </c>
      <c r="J336" s="10">
        <v>4.0408336877924292E-2</v>
      </c>
      <c r="K336">
        <v>1</v>
      </c>
      <c r="L336">
        <v>0</v>
      </c>
      <c r="M336">
        <v>0</v>
      </c>
      <c r="N336" s="10">
        <v>0.22116911120062555</v>
      </c>
      <c r="O336" s="11">
        <v>0.76110183303486989</v>
      </c>
      <c r="P336" s="10">
        <v>0.125</v>
      </c>
      <c r="Q336">
        <v>2</v>
      </c>
      <c r="R336">
        <v>0</v>
      </c>
      <c r="S336">
        <v>0</v>
      </c>
      <c r="T336">
        <v>0</v>
      </c>
      <c r="U336">
        <v>1</v>
      </c>
      <c r="V336" s="10">
        <v>6.7605633802816895E-2</v>
      </c>
      <c r="W336" s="5">
        <v>3</v>
      </c>
      <c r="X336" s="5">
        <v>1</v>
      </c>
      <c r="Y336" s="5">
        <v>1</v>
      </c>
      <c r="Z336" s="5">
        <v>5</v>
      </c>
    </row>
    <row r="337" spans="1:26" x14ac:dyDescent="0.35">
      <c r="A337">
        <v>336</v>
      </c>
      <c r="B337" s="10">
        <v>0.80392156862745101</v>
      </c>
      <c r="C337">
        <v>0</v>
      </c>
      <c r="D337">
        <v>0</v>
      </c>
      <c r="E337">
        <v>0</v>
      </c>
      <c r="F337">
        <v>0</v>
      </c>
      <c r="G337">
        <v>1</v>
      </c>
      <c r="H337">
        <v>3</v>
      </c>
      <c r="I337">
        <v>0</v>
      </c>
      <c r="J337" s="10">
        <v>0.40791152700978311</v>
      </c>
      <c r="K337">
        <v>1</v>
      </c>
      <c r="L337">
        <v>0</v>
      </c>
      <c r="M337">
        <v>0</v>
      </c>
      <c r="N337" s="10">
        <v>3.7361088074307512E-2</v>
      </c>
      <c r="O337" s="11">
        <v>0.27352663031449326</v>
      </c>
      <c r="P337" s="10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 s="10">
        <v>3.0985915492957747E-2</v>
      </c>
      <c r="W337" s="5">
        <v>3</v>
      </c>
      <c r="X337" s="5">
        <v>1</v>
      </c>
      <c r="Y337" s="5">
        <v>1</v>
      </c>
      <c r="Z337" s="5">
        <v>5</v>
      </c>
    </row>
    <row r="338" spans="1:26" x14ac:dyDescent="0.35">
      <c r="A338">
        <v>337</v>
      </c>
      <c r="B338" s="10">
        <v>0.56862745098039214</v>
      </c>
      <c r="C338">
        <v>0</v>
      </c>
      <c r="D338">
        <v>0</v>
      </c>
      <c r="E338">
        <v>0</v>
      </c>
      <c r="F338">
        <v>1</v>
      </c>
      <c r="G338">
        <v>0</v>
      </c>
      <c r="H338">
        <v>2</v>
      </c>
      <c r="I338">
        <v>0</v>
      </c>
      <c r="J338" s="10">
        <v>0.6937473415567843</v>
      </c>
      <c r="K338">
        <v>0</v>
      </c>
      <c r="L338">
        <v>1</v>
      </c>
      <c r="M338">
        <v>0</v>
      </c>
      <c r="N338" s="10">
        <v>0.17719711868824489</v>
      </c>
      <c r="O338" s="11">
        <v>0.61174269099981882</v>
      </c>
      <c r="P338" s="10">
        <v>0.125</v>
      </c>
      <c r="Q338">
        <v>0</v>
      </c>
      <c r="R338">
        <v>0</v>
      </c>
      <c r="S338">
        <v>0</v>
      </c>
      <c r="T338">
        <v>0</v>
      </c>
      <c r="U338">
        <v>0</v>
      </c>
      <c r="V338" s="10">
        <v>1.6901408450704224E-2</v>
      </c>
      <c r="W338" s="5">
        <v>3</v>
      </c>
      <c r="X338" s="5">
        <v>1</v>
      </c>
      <c r="Y338" s="5">
        <v>1</v>
      </c>
      <c r="Z338" s="5">
        <v>5</v>
      </c>
    </row>
    <row r="339" spans="1:26" x14ac:dyDescent="0.35">
      <c r="A339">
        <v>338</v>
      </c>
      <c r="B339" s="10">
        <v>0.90196078431372551</v>
      </c>
      <c r="C339">
        <v>0</v>
      </c>
      <c r="D339">
        <v>0</v>
      </c>
      <c r="E339">
        <v>0</v>
      </c>
      <c r="F339">
        <v>0</v>
      </c>
      <c r="G339">
        <v>1</v>
      </c>
      <c r="H339">
        <v>2</v>
      </c>
      <c r="I339">
        <v>0</v>
      </c>
      <c r="J339" s="10">
        <v>0.83666524883028492</v>
      </c>
      <c r="K339">
        <v>1</v>
      </c>
      <c r="L339">
        <v>0</v>
      </c>
      <c r="M339">
        <v>0</v>
      </c>
      <c r="N339" s="10">
        <v>1.2025211477857019E-3</v>
      </c>
      <c r="O339" s="11">
        <v>2.7887885068110022E-2</v>
      </c>
      <c r="P339" s="10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 s="10">
        <v>8.7323943661971826E-2</v>
      </c>
      <c r="W339" s="5">
        <v>2</v>
      </c>
      <c r="X339" s="5">
        <v>1</v>
      </c>
      <c r="Y339" s="5">
        <v>1</v>
      </c>
      <c r="Z339" s="5">
        <v>4</v>
      </c>
    </row>
    <row r="340" spans="1:26" x14ac:dyDescent="0.35">
      <c r="A340">
        <v>339</v>
      </c>
      <c r="B340" s="10">
        <v>0.41176470588235292</v>
      </c>
      <c r="C340">
        <v>1</v>
      </c>
      <c r="D340">
        <v>0</v>
      </c>
      <c r="E340">
        <v>0</v>
      </c>
      <c r="F340">
        <v>1</v>
      </c>
      <c r="G340">
        <v>0</v>
      </c>
      <c r="H340">
        <v>3</v>
      </c>
      <c r="I340">
        <v>0</v>
      </c>
      <c r="J340" s="10">
        <v>1.9991492981709911E-2</v>
      </c>
      <c r="K340">
        <v>0</v>
      </c>
      <c r="L340">
        <v>1</v>
      </c>
      <c r="M340">
        <v>0</v>
      </c>
      <c r="N340" s="10">
        <v>0.19937563680307085</v>
      </c>
      <c r="O340" s="11">
        <v>0.34353809935813595</v>
      </c>
      <c r="P340" s="10">
        <v>0.375</v>
      </c>
      <c r="Q340">
        <v>1</v>
      </c>
      <c r="R340">
        <v>0</v>
      </c>
      <c r="S340">
        <v>0</v>
      </c>
      <c r="T340">
        <v>0</v>
      </c>
      <c r="U340">
        <v>1</v>
      </c>
      <c r="V340" s="10">
        <v>9.5774647887323941E-2</v>
      </c>
      <c r="W340" s="5">
        <v>2</v>
      </c>
      <c r="X340" s="5">
        <v>2</v>
      </c>
      <c r="Y340" s="5">
        <v>1</v>
      </c>
      <c r="Z340" s="5">
        <v>5</v>
      </c>
    </row>
    <row r="341" spans="1:26" x14ac:dyDescent="0.35">
      <c r="A341">
        <v>340</v>
      </c>
      <c r="B341" s="10">
        <v>0.17647058823529413</v>
      </c>
      <c r="C341">
        <v>0</v>
      </c>
      <c r="D341">
        <v>0</v>
      </c>
      <c r="E341">
        <v>0</v>
      </c>
      <c r="F341">
        <v>1</v>
      </c>
      <c r="G341">
        <v>0</v>
      </c>
      <c r="H341">
        <v>1</v>
      </c>
      <c r="I341">
        <v>0</v>
      </c>
      <c r="J341" s="10">
        <v>0.97958315610378566</v>
      </c>
      <c r="K341">
        <v>1</v>
      </c>
      <c r="L341">
        <v>0</v>
      </c>
      <c r="M341">
        <v>0</v>
      </c>
      <c r="N341" s="10">
        <v>0.33684809136791222</v>
      </c>
      <c r="O341" s="11">
        <v>0.38467574800297788</v>
      </c>
      <c r="P341" s="10">
        <v>0.625</v>
      </c>
      <c r="Q341">
        <v>1</v>
      </c>
      <c r="R341">
        <v>1</v>
      </c>
      <c r="S341">
        <v>1</v>
      </c>
      <c r="T341">
        <v>0</v>
      </c>
      <c r="U341">
        <v>0</v>
      </c>
      <c r="V341" s="10">
        <v>0.14929577464788732</v>
      </c>
      <c r="W341" s="5">
        <v>2</v>
      </c>
      <c r="X341" s="5">
        <v>2</v>
      </c>
      <c r="Y341" s="5">
        <v>2</v>
      </c>
      <c r="Z341" s="5">
        <v>6</v>
      </c>
    </row>
    <row r="342" spans="1:26" x14ac:dyDescent="0.35">
      <c r="A342">
        <v>341</v>
      </c>
      <c r="B342" s="10">
        <v>0.49019607843137253</v>
      </c>
      <c r="C342">
        <v>1</v>
      </c>
      <c r="D342">
        <v>1</v>
      </c>
      <c r="E342">
        <v>0</v>
      </c>
      <c r="F342">
        <v>0</v>
      </c>
      <c r="G342">
        <v>0</v>
      </c>
      <c r="H342">
        <v>2</v>
      </c>
      <c r="I342">
        <v>0</v>
      </c>
      <c r="J342" s="10">
        <v>0.55082943428328379</v>
      </c>
      <c r="K342">
        <v>0</v>
      </c>
      <c r="L342">
        <v>0</v>
      </c>
      <c r="M342">
        <v>1</v>
      </c>
      <c r="N342" s="10">
        <v>0.30005568324526694</v>
      </c>
      <c r="O342" s="11">
        <v>0.34301830352052692</v>
      </c>
      <c r="P342" s="10">
        <v>0.625</v>
      </c>
      <c r="Q342">
        <v>1</v>
      </c>
      <c r="R342">
        <v>0</v>
      </c>
      <c r="S342">
        <v>0</v>
      </c>
      <c r="T342">
        <v>0</v>
      </c>
      <c r="U342">
        <v>1</v>
      </c>
      <c r="V342" s="10">
        <v>0.25352112676056338</v>
      </c>
      <c r="W342" s="5">
        <v>1</v>
      </c>
      <c r="X342" s="5">
        <v>2</v>
      </c>
      <c r="Y342" s="5">
        <v>2</v>
      </c>
      <c r="Z342" s="5">
        <v>5</v>
      </c>
    </row>
    <row r="343" spans="1:26" x14ac:dyDescent="0.35">
      <c r="A343">
        <v>342</v>
      </c>
      <c r="B343" s="10">
        <v>0.98039215686274506</v>
      </c>
      <c r="C343">
        <v>1</v>
      </c>
      <c r="D343">
        <v>0</v>
      </c>
      <c r="E343">
        <v>1</v>
      </c>
      <c r="F343">
        <v>0</v>
      </c>
      <c r="G343">
        <v>0</v>
      </c>
      <c r="H343">
        <v>3</v>
      </c>
      <c r="I343">
        <v>1</v>
      </c>
      <c r="J343" s="10">
        <v>0.53041259038706934</v>
      </c>
      <c r="K343">
        <v>0</v>
      </c>
      <c r="L343">
        <v>0</v>
      </c>
      <c r="M343">
        <v>1</v>
      </c>
      <c r="N343" s="10">
        <v>0.67707271994881868</v>
      </c>
      <c r="O343" s="11">
        <v>0.65990405095819682</v>
      </c>
      <c r="P343" s="10">
        <v>0.75</v>
      </c>
      <c r="Q343">
        <v>1</v>
      </c>
      <c r="R343">
        <v>0</v>
      </c>
      <c r="S343">
        <v>0</v>
      </c>
      <c r="T343">
        <v>0</v>
      </c>
      <c r="U343">
        <v>1</v>
      </c>
      <c r="V343" s="10">
        <v>0.10422535211267606</v>
      </c>
      <c r="W343" s="5">
        <v>2</v>
      </c>
      <c r="X343" s="5">
        <v>2</v>
      </c>
      <c r="Y343" s="5">
        <v>3</v>
      </c>
      <c r="Z343" s="5">
        <v>7</v>
      </c>
    </row>
    <row r="344" spans="1:26" x14ac:dyDescent="0.35">
      <c r="A344">
        <v>343</v>
      </c>
      <c r="B344" s="10">
        <v>0.62745098039215685</v>
      </c>
      <c r="C344">
        <v>1</v>
      </c>
      <c r="D344">
        <v>0</v>
      </c>
      <c r="E344">
        <v>0</v>
      </c>
      <c r="F344">
        <v>1</v>
      </c>
      <c r="G344">
        <v>0</v>
      </c>
      <c r="H344">
        <v>2</v>
      </c>
      <c r="I344">
        <v>0</v>
      </c>
      <c r="J344" s="10">
        <v>0.53041259038706934</v>
      </c>
      <c r="K344">
        <v>0</v>
      </c>
      <c r="L344">
        <v>0</v>
      </c>
      <c r="M344">
        <v>1</v>
      </c>
      <c r="N344" s="10">
        <v>0.27096118759329907</v>
      </c>
      <c r="O344" s="11">
        <v>0.620153323004487</v>
      </c>
      <c r="P344" s="10">
        <v>0.25</v>
      </c>
      <c r="Q344">
        <v>2</v>
      </c>
      <c r="R344">
        <v>0</v>
      </c>
      <c r="S344">
        <v>0</v>
      </c>
      <c r="T344">
        <v>1</v>
      </c>
      <c r="U344">
        <v>1</v>
      </c>
      <c r="V344" s="10">
        <v>0.53802816901408446</v>
      </c>
      <c r="W344" s="5">
        <v>1</v>
      </c>
      <c r="X344" s="5">
        <v>2</v>
      </c>
      <c r="Y344" s="5">
        <v>2</v>
      </c>
      <c r="Z344" s="5">
        <v>5</v>
      </c>
    </row>
    <row r="345" spans="1:26" x14ac:dyDescent="0.35">
      <c r="A345">
        <v>344</v>
      </c>
      <c r="B345" s="10">
        <v>0.52941176470588236</v>
      </c>
      <c r="C345">
        <v>0</v>
      </c>
      <c r="D345">
        <v>1</v>
      </c>
      <c r="E345">
        <v>0</v>
      </c>
      <c r="F345">
        <v>0</v>
      </c>
      <c r="G345">
        <v>0</v>
      </c>
      <c r="H345">
        <v>1</v>
      </c>
      <c r="I345">
        <v>0</v>
      </c>
      <c r="J345" s="10">
        <v>0.16290940025521056</v>
      </c>
      <c r="K345">
        <v>1</v>
      </c>
      <c r="L345">
        <v>0</v>
      </c>
      <c r="M345">
        <v>0</v>
      </c>
      <c r="N345" s="10">
        <v>0.43148591332369735</v>
      </c>
      <c r="O345" s="11">
        <v>0.4918274680241721</v>
      </c>
      <c r="P345" s="10">
        <v>0.625</v>
      </c>
      <c r="Q345">
        <v>2</v>
      </c>
      <c r="R345">
        <v>1</v>
      </c>
      <c r="S345">
        <v>1</v>
      </c>
      <c r="T345">
        <v>0</v>
      </c>
      <c r="U345">
        <v>1</v>
      </c>
      <c r="V345" s="10">
        <v>0.15774647887323945</v>
      </c>
      <c r="W345" s="5">
        <v>2</v>
      </c>
      <c r="X345" s="5">
        <v>2</v>
      </c>
      <c r="Y345" s="5">
        <v>2</v>
      </c>
      <c r="Z345" s="5">
        <v>6</v>
      </c>
    </row>
    <row r="346" spans="1:26" x14ac:dyDescent="0.35">
      <c r="A346">
        <v>345</v>
      </c>
      <c r="B346" s="10">
        <v>0.17647058823529413</v>
      </c>
      <c r="C346">
        <v>0</v>
      </c>
      <c r="D346">
        <v>0</v>
      </c>
      <c r="E346">
        <v>0</v>
      </c>
      <c r="F346">
        <v>0</v>
      </c>
      <c r="G346">
        <v>1</v>
      </c>
      <c r="H346">
        <v>2</v>
      </c>
      <c r="I346">
        <v>0</v>
      </c>
      <c r="J346" s="10">
        <v>0.59166312207571248</v>
      </c>
      <c r="K346">
        <v>0</v>
      </c>
      <c r="L346">
        <v>0</v>
      </c>
      <c r="M346">
        <v>1</v>
      </c>
      <c r="N346" s="10">
        <v>0.58369665663578418</v>
      </c>
      <c r="O346" s="11">
        <v>0.49812370470230788</v>
      </c>
      <c r="P346" s="10">
        <v>0.875</v>
      </c>
      <c r="Q346">
        <v>1</v>
      </c>
      <c r="R346">
        <v>0</v>
      </c>
      <c r="S346">
        <v>0</v>
      </c>
      <c r="T346">
        <v>1</v>
      </c>
      <c r="U346">
        <v>0</v>
      </c>
      <c r="V346" s="10">
        <v>0.36619718309859156</v>
      </c>
      <c r="W346" s="5">
        <v>1</v>
      </c>
      <c r="X346" s="5">
        <v>3</v>
      </c>
      <c r="Y346" s="5">
        <v>3</v>
      </c>
      <c r="Z346" s="5">
        <v>7</v>
      </c>
    </row>
    <row r="347" spans="1:26" x14ac:dyDescent="0.35">
      <c r="A347">
        <v>346</v>
      </c>
      <c r="B347" s="10">
        <v>0.5490196078431373</v>
      </c>
      <c r="C347">
        <v>1</v>
      </c>
      <c r="D347">
        <v>0</v>
      </c>
      <c r="E347">
        <v>0</v>
      </c>
      <c r="F347">
        <v>0</v>
      </c>
      <c r="G347">
        <v>1</v>
      </c>
      <c r="H347">
        <v>2</v>
      </c>
      <c r="I347">
        <v>0</v>
      </c>
      <c r="J347" s="10">
        <v>0.34666099532113998</v>
      </c>
      <c r="K347">
        <v>0</v>
      </c>
      <c r="L347">
        <v>0</v>
      </c>
      <c r="M347">
        <v>1</v>
      </c>
      <c r="N347" s="10">
        <v>0.4833246451674052</v>
      </c>
      <c r="O347" s="11">
        <v>0.55052080189406905</v>
      </c>
      <c r="P347" s="10">
        <v>0.625</v>
      </c>
      <c r="Q347">
        <v>1</v>
      </c>
      <c r="R347">
        <v>1</v>
      </c>
      <c r="S347">
        <v>0</v>
      </c>
      <c r="T347">
        <v>1</v>
      </c>
      <c r="U347">
        <v>0</v>
      </c>
      <c r="V347" s="10">
        <v>9.014084507042254E-2</v>
      </c>
      <c r="W347" s="5">
        <v>2</v>
      </c>
      <c r="X347" s="5">
        <v>2</v>
      </c>
      <c r="Y347" s="5">
        <v>3</v>
      </c>
      <c r="Z347" s="5">
        <v>7</v>
      </c>
    </row>
    <row r="348" spans="1:26" x14ac:dyDescent="0.35">
      <c r="A348">
        <v>347</v>
      </c>
      <c r="B348" s="10">
        <v>0.84313725490196079</v>
      </c>
      <c r="C348">
        <v>1</v>
      </c>
      <c r="D348">
        <v>0</v>
      </c>
      <c r="E348">
        <v>0</v>
      </c>
      <c r="F348">
        <v>1</v>
      </c>
      <c r="G348">
        <v>0</v>
      </c>
      <c r="H348">
        <v>2</v>
      </c>
      <c r="I348">
        <v>0</v>
      </c>
      <c r="J348" s="10">
        <v>0.67333049766056996</v>
      </c>
      <c r="K348">
        <v>1</v>
      </c>
      <c r="L348">
        <v>0</v>
      </c>
      <c r="M348">
        <v>0</v>
      </c>
      <c r="N348" s="10">
        <v>0.58190472241309854</v>
      </c>
      <c r="O348" s="11">
        <v>0.44142403938375685</v>
      </c>
      <c r="P348" s="10">
        <v>1</v>
      </c>
      <c r="Q348">
        <v>2</v>
      </c>
      <c r="R348">
        <v>1</v>
      </c>
      <c r="S348">
        <v>1</v>
      </c>
      <c r="T348">
        <v>0</v>
      </c>
      <c r="U348">
        <v>1</v>
      </c>
      <c r="V348" s="10">
        <v>2.8169014084507043E-2</v>
      </c>
      <c r="W348" s="5">
        <v>3</v>
      </c>
      <c r="X348" s="5">
        <v>3</v>
      </c>
      <c r="Y348" s="5">
        <v>3</v>
      </c>
      <c r="Z348" s="5">
        <v>9</v>
      </c>
    </row>
    <row r="349" spans="1:26" x14ac:dyDescent="0.35">
      <c r="A349">
        <v>348</v>
      </c>
      <c r="B349" s="10">
        <v>0.33333333333333331</v>
      </c>
      <c r="C349">
        <v>1</v>
      </c>
      <c r="D349">
        <v>0</v>
      </c>
      <c r="E349">
        <v>1</v>
      </c>
      <c r="F349">
        <v>0</v>
      </c>
      <c r="G349">
        <v>0</v>
      </c>
      <c r="H349">
        <v>2</v>
      </c>
      <c r="I349">
        <v>0</v>
      </c>
      <c r="J349" s="10">
        <v>1.9991492981709911E-2</v>
      </c>
      <c r="K349">
        <v>0</v>
      </c>
      <c r="L349">
        <v>0</v>
      </c>
      <c r="M349">
        <v>1</v>
      </c>
      <c r="N349" s="10">
        <v>0.20582067625524253</v>
      </c>
      <c r="O349" s="11">
        <v>0.70896798728344634</v>
      </c>
      <c r="P349" s="10">
        <v>0.125</v>
      </c>
      <c r="Q349">
        <v>1</v>
      </c>
      <c r="R349">
        <v>0</v>
      </c>
      <c r="S349">
        <v>1</v>
      </c>
      <c r="T349">
        <v>0</v>
      </c>
      <c r="U349">
        <v>0</v>
      </c>
      <c r="V349" s="10">
        <v>0.61971830985915488</v>
      </c>
      <c r="W349" s="5">
        <v>1</v>
      </c>
      <c r="X349" s="5">
        <v>1</v>
      </c>
      <c r="Y349" s="5">
        <v>1</v>
      </c>
      <c r="Z349" s="5">
        <v>3</v>
      </c>
    </row>
    <row r="350" spans="1:26" x14ac:dyDescent="0.35">
      <c r="A350">
        <v>349</v>
      </c>
      <c r="B350" s="10">
        <v>0.80392156862745101</v>
      </c>
      <c r="C350">
        <v>1</v>
      </c>
      <c r="D350">
        <v>0</v>
      </c>
      <c r="E350">
        <v>0</v>
      </c>
      <c r="F350">
        <v>0</v>
      </c>
      <c r="G350">
        <v>1</v>
      </c>
      <c r="H350">
        <v>3</v>
      </c>
      <c r="I350">
        <v>0</v>
      </c>
      <c r="J350" s="10">
        <v>0.48957890259464065</v>
      </c>
      <c r="K350">
        <v>1</v>
      </c>
      <c r="L350">
        <v>0</v>
      </c>
      <c r="M350">
        <v>0</v>
      </c>
      <c r="N350" s="10">
        <v>0.40481126934104217</v>
      </c>
      <c r="O350" s="11">
        <v>0.4616256530983186</v>
      </c>
      <c r="P350" s="10">
        <v>0.625</v>
      </c>
      <c r="Q350">
        <v>2</v>
      </c>
      <c r="R350">
        <v>0</v>
      </c>
      <c r="S350">
        <v>1</v>
      </c>
      <c r="T350">
        <v>0</v>
      </c>
      <c r="U350">
        <v>0</v>
      </c>
      <c r="V350" s="10">
        <v>0.29014084507042254</v>
      </c>
      <c r="W350" s="5">
        <v>1</v>
      </c>
      <c r="X350" s="5">
        <v>2</v>
      </c>
      <c r="Y350" s="5">
        <v>2</v>
      </c>
      <c r="Z350" s="5">
        <v>5</v>
      </c>
    </row>
    <row r="351" spans="1:26" x14ac:dyDescent="0.35">
      <c r="A351">
        <v>350</v>
      </c>
      <c r="B351" s="10">
        <v>0</v>
      </c>
      <c r="C351">
        <v>1</v>
      </c>
      <c r="D351">
        <v>0</v>
      </c>
      <c r="E351">
        <v>0</v>
      </c>
      <c r="F351">
        <v>1</v>
      </c>
      <c r="G351">
        <v>0</v>
      </c>
      <c r="H351">
        <v>1</v>
      </c>
      <c r="I351">
        <v>0</v>
      </c>
      <c r="J351" s="10">
        <v>0.509995746490855</v>
      </c>
      <c r="K351">
        <v>0</v>
      </c>
      <c r="L351">
        <v>0</v>
      </c>
      <c r="M351">
        <v>1</v>
      </c>
      <c r="N351" s="10">
        <v>0.79747589033954924</v>
      </c>
      <c r="O351" s="11">
        <v>0.6041413755251055</v>
      </c>
      <c r="P351" s="10">
        <v>1</v>
      </c>
      <c r="Q351">
        <v>1</v>
      </c>
      <c r="R351">
        <v>1</v>
      </c>
      <c r="S351">
        <v>1</v>
      </c>
      <c r="T351">
        <v>0</v>
      </c>
      <c r="U351">
        <v>0</v>
      </c>
      <c r="V351" s="10">
        <v>1.6901408450704224E-2</v>
      </c>
      <c r="W351" s="5">
        <v>3</v>
      </c>
      <c r="X351" s="5">
        <v>3</v>
      </c>
      <c r="Y351" s="5">
        <v>3</v>
      </c>
      <c r="Z351" s="5">
        <v>9</v>
      </c>
    </row>
    <row r="352" spans="1:26" x14ac:dyDescent="0.35">
      <c r="A352">
        <v>351</v>
      </c>
      <c r="B352" s="10">
        <v>0.43137254901960786</v>
      </c>
      <c r="C352">
        <v>1</v>
      </c>
      <c r="D352">
        <v>0</v>
      </c>
      <c r="E352">
        <v>0</v>
      </c>
      <c r="F352">
        <v>0</v>
      </c>
      <c r="G352">
        <v>1</v>
      </c>
      <c r="H352">
        <v>3</v>
      </c>
      <c r="I352">
        <v>1</v>
      </c>
      <c r="J352" s="10">
        <v>1.9991492981709911E-2</v>
      </c>
      <c r="K352">
        <v>1</v>
      </c>
      <c r="L352">
        <v>0</v>
      </c>
      <c r="M352">
        <v>0</v>
      </c>
      <c r="N352" s="10">
        <v>0.17145700542615452</v>
      </c>
      <c r="O352" s="11">
        <v>0.59224531680717918</v>
      </c>
      <c r="P352" s="10">
        <v>0.125</v>
      </c>
      <c r="Q352">
        <v>1</v>
      </c>
      <c r="R352">
        <v>1</v>
      </c>
      <c r="S352">
        <v>1</v>
      </c>
      <c r="T352">
        <v>0</v>
      </c>
      <c r="U352">
        <v>0</v>
      </c>
      <c r="V352" s="10">
        <v>0.37746478873239436</v>
      </c>
      <c r="W352" s="5">
        <v>1</v>
      </c>
      <c r="X352" s="5">
        <v>1</v>
      </c>
      <c r="Y352" s="5">
        <v>1</v>
      </c>
      <c r="Z352" s="5">
        <v>3</v>
      </c>
    </row>
    <row r="353" spans="1:26" x14ac:dyDescent="0.35">
      <c r="A353">
        <v>352</v>
      </c>
      <c r="B353" s="10">
        <v>0.31372549019607843</v>
      </c>
      <c r="C353">
        <v>0</v>
      </c>
      <c r="D353">
        <v>1</v>
      </c>
      <c r="E353">
        <v>0</v>
      </c>
      <c r="F353">
        <v>0</v>
      </c>
      <c r="G353">
        <v>0</v>
      </c>
      <c r="H353">
        <v>2</v>
      </c>
      <c r="I353">
        <v>0</v>
      </c>
      <c r="J353" s="10">
        <v>0.53041259038706934</v>
      </c>
      <c r="K353">
        <v>0</v>
      </c>
      <c r="L353">
        <v>1</v>
      </c>
      <c r="M353">
        <v>0</v>
      </c>
      <c r="N353" s="10">
        <v>0.43957183138639433</v>
      </c>
      <c r="O353" s="11">
        <v>0.60117909817098936</v>
      </c>
      <c r="P353" s="10">
        <v>0.5</v>
      </c>
      <c r="Q353">
        <v>2</v>
      </c>
      <c r="R353">
        <v>1</v>
      </c>
      <c r="S353">
        <v>1</v>
      </c>
      <c r="T353">
        <v>0</v>
      </c>
      <c r="U353">
        <v>0</v>
      </c>
      <c r="V353" s="10">
        <v>0.16901408450704225</v>
      </c>
      <c r="W353" s="5">
        <v>2</v>
      </c>
      <c r="X353" s="5">
        <v>2</v>
      </c>
      <c r="Y353" s="5">
        <v>2</v>
      </c>
      <c r="Z353" s="5">
        <v>6</v>
      </c>
    </row>
    <row r="354" spans="1:26" x14ac:dyDescent="0.35">
      <c r="A354">
        <v>353</v>
      </c>
      <c r="B354" s="10">
        <v>0.82352941176470584</v>
      </c>
      <c r="C354">
        <v>1</v>
      </c>
      <c r="D354">
        <v>0</v>
      </c>
      <c r="E354">
        <v>0</v>
      </c>
      <c r="F354">
        <v>1</v>
      </c>
      <c r="G354">
        <v>0</v>
      </c>
      <c r="H354">
        <v>2</v>
      </c>
      <c r="I354">
        <v>1</v>
      </c>
      <c r="J354" s="10">
        <v>0.32624415142492558</v>
      </c>
      <c r="K354">
        <v>0</v>
      </c>
      <c r="L354">
        <v>0</v>
      </c>
      <c r="M354">
        <v>1</v>
      </c>
      <c r="N354" s="10">
        <v>7.5906926047911272E-2</v>
      </c>
      <c r="O354" s="11">
        <v>0.53538300569427955</v>
      </c>
      <c r="P354" s="10">
        <v>0</v>
      </c>
      <c r="Q354">
        <v>2</v>
      </c>
      <c r="R354">
        <v>1</v>
      </c>
      <c r="S354">
        <v>0</v>
      </c>
      <c r="T354">
        <v>1</v>
      </c>
      <c r="U354">
        <v>1</v>
      </c>
      <c r="V354" s="10">
        <v>0.81971830985915495</v>
      </c>
      <c r="W354" s="5">
        <v>1</v>
      </c>
      <c r="X354" s="5">
        <v>1</v>
      </c>
      <c r="Y354" s="5">
        <v>1</v>
      </c>
      <c r="Z354" s="5">
        <v>3</v>
      </c>
    </row>
    <row r="355" spans="1:26" x14ac:dyDescent="0.35">
      <c r="A355">
        <v>354</v>
      </c>
      <c r="B355" s="10">
        <v>0.70588235294117652</v>
      </c>
      <c r="C355">
        <v>1</v>
      </c>
      <c r="D355">
        <v>0</v>
      </c>
      <c r="E355">
        <v>0</v>
      </c>
      <c r="F355">
        <v>1</v>
      </c>
      <c r="G355">
        <v>0</v>
      </c>
      <c r="H355">
        <v>2</v>
      </c>
      <c r="I355">
        <v>0</v>
      </c>
      <c r="J355" s="10">
        <v>1</v>
      </c>
      <c r="K355">
        <v>0</v>
      </c>
      <c r="L355">
        <v>0</v>
      </c>
      <c r="M355">
        <v>1</v>
      </c>
      <c r="N355" s="10">
        <v>9.3180579579650716E-2</v>
      </c>
      <c r="O355" s="11">
        <v>0.21757647705855918</v>
      </c>
      <c r="P355" s="10">
        <v>0.25</v>
      </c>
      <c r="Q355">
        <v>1</v>
      </c>
      <c r="R355">
        <v>1</v>
      </c>
      <c r="S355">
        <v>0</v>
      </c>
      <c r="T355">
        <v>0</v>
      </c>
      <c r="U355">
        <v>1</v>
      </c>
      <c r="V355" s="10">
        <v>0.6845070422535211</v>
      </c>
      <c r="W355" s="5">
        <v>1</v>
      </c>
      <c r="X355" s="5">
        <v>2</v>
      </c>
      <c r="Y355" s="5">
        <v>1</v>
      </c>
      <c r="Z355" s="5">
        <v>4</v>
      </c>
    </row>
    <row r="356" spans="1:26" x14ac:dyDescent="0.35">
      <c r="A356">
        <v>355</v>
      </c>
      <c r="B356" s="10">
        <v>0.58823529411764708</v>
      </c>
      <c r="C356">
        <v>1</v>
      </c>
      <c r="D356">
        <v>0</v>
      </c>
      <c r="E356">
        <v>0</v>
      </c>
      <c r="F356">
        <v>1</v>
      </c>
      <c r="G356">
        <v>0</v>
      </c>
      <c r="H356">
        <v>1</v>
      </c>
      <c r="I356">
        <v>0</v>
      </c>
      <c r="J356" s="10">
        <v>0.67333049766056996</v>
      </c>
      <c r="K356">
        <v>0</v>
      </c>
      <c r="L356">
        <v>1</v>
      </c>
      <c r="M356">
        <v>0</v>
      </c>
      <c r="N356" s="10">
        <v>0.10626318034262966</v>
      </c>
      <c r="O356" s="11">
        <v>0.74160445884223025</v>
      </c>
      <c r="P356" s="10">
        <v>0</v>
      </c>
      <c r="Q356">
        <v>2</v>
      </c>
      <c r="R356">
        <v>1</v>
      </c>
      <c r="S356">
        <v>1</v>
      </c>
      <c r="T356">
        <v>1</v>
      </c>
      <c r="U356">
        <v>0</v>
      </c>
      <c r="V356" s="10">
        <v>0.78873239436619713</v>
      </c>
      <c r="W356" s="5">
        <v>1</v>
      </c>
      <c r="X356" s="5">
        <v>1</v>
      </c>
      <c r="Y356" s="5">
        <v>1</v>
      </c>
      <c r="Z356" s="5">
        <v>3</v>
      </c>
    </row>
    <row r="357" spans="1:26" x14ac:dyDescent="0.35">
      <c r="A357">
        <v>356</v>
      </c>
      <c r="B357" s="10">
        <v>0.47058823529411764</v>
      </c>
      <c r="C357">
        <v>1</v>
      </c>
      <c r="D357">
        <v>1</v>
      </c>
      <c r="E357">
        <v>0</v>
      </c>
      <c r="F357">
        <v>0</v>
      </c>
      <c r="G357">
        <v>0</v>
      </c>
      <c r="H357">
        <v>1</v>
      </c>
      <c r="I357">
        <v>0</v>
      </c>
      <c r="J357" s="10">
        <v>0.57124627817949813</v>
      </c>
      <c r="K357">
        <v>1</v>
      </c>
      <c r="L357">
        <v>0</v>
      </c>
      <c r="M357">
        <v>0</v>
      </c>
      <c r="N357" s="10">
        <v>0.68317714380494265</v>
      </c>
      <c r="O357" s="11">
        <v>0.58259975049799795</v>
      </c>
      <c r="P357" s="10">
        <v>0.875</v>
      </c>
      <c r="Q357">
        <v>0</v>
      </c>
      <c r="R357">
        <v>0</v>
      </c>
      <c r="S357">
        <v>0</v>
      </c>
      <c r="T357">
        <v>0</v>
      </c>
      <c r="U357">
        <v>0</v>
      </c>
      <c r="V357" s="10">
        <v>4.788732394366197E-2</v>
      </c>
      <c r="W357" s="5">
        <v>3</v>
      </c>
      <c r="X357" s="5">
        <v>3</v>
      </c>
      <c r="Y357" s="5">
        <v>3</v>
      </c>
      <c r="Z357" s="5">
        <v>9</v>
      </c>
    </row>
    <row r="358" spans="1:26" x14ac:dyDescent="0.35">
      <c r="A358">
        <v>357</v>
      </c>
      <c r="B358" s="10">
        <v>5.8823529411764705E-2</v>
      </c>
      <c r="C358">
        <v>1</v>
      </c>
      <c r="D358">
        <v>0</v>
      </c>
      <c r="E358">
        <v>0</v>
      </c>
      <c r="F358">
        <v>1</v>
      </c>
      <c r="G358">
        <v>0</v>
      </c>
      <c r="H358">
        <v>3</v>
      </c>
      <c r="I358">
        <v>0</v>
      </c>
      <c r="J358" s="10">
        <v>0.91833262441514252</v>
      </c>
      <c r="K358">
        <v>0</v>
      </c>
      <c r="L358">
        <v>0</v>
      </c>
      <c r="M358">
        <v>1</v>
      </c>
      <c r="N358" s="10">
        <v>0.22817690685496289</v>
      </c>
      <c r="O358" s="11">
        <v>0.39245256443791621</v>
      </c>
      <c r="P358" s="10">
        <v>0.375</v>
      </c>
      <c r="Q358">
        <v>2</v>
      </c>
      <c r="R358">
        <v>1</v>
      </c>
      <c r="S358">
        <v>0</v>
      </c>
      <c r="T358">
        <v>1</v>
      </c>
      <c r="U358">
        <v>1</v>
      </c>
      <c r="V358" s="10">
        <v>6.7605633802816895E-2</v>
      </c>
      <c r="W358" s="5">
        <v>3</v>
      </c>
      <c r="X358" s="5">
        <v>2</v>
      </c>
      <c r="Y358" s="5">
        <v>1</v>
      </c>
      <c r="Z358" s="5">
        <v>6</v>
      </c>
    </row>
    <row r="359" spans="1:26" x14ac:dyDescent="0.35">
      <c r="A359">
        <v>358</v>
      </c>
      <c r="B359" s="10">
        <v>1</v>
      </c>
      <c r="C359">
        <v>0</v>
      </c>
      <c r="D359">
        <v>0</v>
      </c>
      <c r="E359">
        <v>0</v>
      </c>
      <c r="F359">
        <v>1</v>
      </c>
      <c r="G359">
        <v>0</v>
      </c>
      <c r="H359">
        <v>2</v>
      </c>
      <c r="I359">
        <v>1</v>
      </c>
      <c r="J359" s="10">
        <v>0.48957890259464065</v>
      </c>
      <c r="K359">
        <v>1</v>
      </c>
      <c r="L359">
        <v>0</v>
      </c>
      <c r="M359">
        <v>0</v>
      </c>
      <c r="N359" s="10">
        <v>0.67326078714783311</v>
      </c>
      <c r="O359" s="11">
        <v>0.51038138482553874</v>
      </c>
      <c r="P359" s="10">
        <v>1</v>
      </c>
      <c r="Q359">
        <v>1</v>
      </c>
      <c r="R359">
        <v>1</v>
      </c>
      <c r="S359">
        <v>1</v>
      </c>
      <c r="T359">
        <v>0</v>
      </c>
      <c r="U359">
        <v>0</v>
      </c>
      <c r="V359" s="10">
        <v>3.0985915492957747E-2</v>
      </c>
      <c r="W359" s="5">
        <v>3</v>
      </c>
      <c r="X359" s="5">
        <v>3</v>
      </c>
      <c r="Y359" s="5">
        <v>3</v>
      </c>
      <c r="Z359" s="5">
        <v>9</v>
      </c>
    </row>
    <row r="360" spans="1:26" x14ac:dyDescent="0.35">
      <c r="A360">
        <v>359</v>
      </c>
      <c r="B360" s="10">
        <v>0.15686274509803921</v>
      </c>
      <c r="C360">
        <v>1</v>
      </c>
      <c r="D360">
        <v>1</v>
      </c>
      <c r="E360">
        <v>0</v>
      </c>
      <c r="F360">
        <v>0</v>
      </c>
      <c r="G360">
        <v>0</v>
      </c>
      <c r="H360">
        <v>1</v>
      </c>
      <c r="I360">
        <v>0</v>
      </c>
      <c r="J360" s="10">
        <v>0.7345810293492131</v>
      </c>
      <c r="K360">
        <v>0</v>
      </c>
      <c r="L360">
        <v>1</v>
      </c>
      <c r="M360">
        <v>0</v>
      </c>
      <c r="N360" s="10">
        <v>0.63513553538847944</v>
      </c>
      <c r="O360" s="11">
        <v>0.54180416104951812</v>
      </c>
      <c r="P360" s="10">
        <v>0.875</v>
      </c>
      <c r="Q360">
        <v>1</v>
      </c>
      <c r="R360">
        <v>0</v>
      </c>
      <c r="S360">
        <v>1</v>
      </c>
      <c r="T360">
        <v>0</v>
      </c>
      <c r="U360">
        <v>0</v>
      </c>
      <c r="V360" s="10">
        <v>0.18591549295774648</v>
      </c>
      <c r="W360" s="5">
        <v>2</v>
      </c>
      <c r="X360" s="5">
        <v>3</v>
      </c>
      <c r="Y360" s="5">
        <v>3</v>
      </c>
      <c r="Z360" s="5">
        <v>8</v>
      </c>
    </row>
    <row r="361" spans="1:26" x14ac:dyDescent="0.35">
      <c r="A361">
        <v>360</v>
      </c>
      <c r="B361" s="10">
        <v>0.52941176470588236</v>
      </c>
      <c r="C361">
        <v>0</v>
      </c>
      <c r="D361">
        <v>0</v>
      </c>
      <c r="E361">
        <v>0</v>
      </c>
      <c r="F361">
        <v>0</v>
      </c>
      <c r="G361">
        <v>1</v>
      </c>
      <c r="H361">
        <v>2</v>
      </c>
      <c r="I361">
        <v>0</v>
      </c>
      <c r="J361" s="10">
        <v>0.28541046363249684</v>
      </c>
      <c r="K361">
        <v>0</v>
      </c>
      <c r="L361">
        <v>0</v>
      </c>
      <c r="M361">
        <v>1</v>
      </c>
      <c r="N361" s="10">
        <v>0.50987489041063427</v>
      </c>
      <c r="O361" s="11">
        <v>0.43543632668665366</v>
      </c>
      <c r="P361" s="10">
        <v>0.875</v>
      </c>
      <c r="Q361">
        <v>2</v>
      </c>
      <c r="R361">
        <v>0</v>
      </c>
      <c r="S361">
        <v>1</v>
      </c>
      <c r="T361">
        <v>0</v>
      </c>
      <c r="U361">
        <v>1</v>
      </c>
      <c r="V361" s="10">
        <v>9.014084507042254E-2</v>
      </c>
      <c r="W361" s="5">
        <v>2</v>
      </c>
      <c r="X361" s="5">
        <v>3</v>
      </c>
      <c r="Y361" s="5">
        <v>3</v>
      </c>
      <c r="Z361" s="5">
        <v>8</v>
      </c>
    </row>
    <row r="362" spans="1:26" x14ac:dyDescent="0.35">
      <c r="A362">
        <v>361</v>
      </c>
      <c r="B362" s="10">
        <v>0.56862745098039214</v>
      </c>
      <c r="C362">
        <v>1</v>
      </c>
      <c r="D362">
        <v>1</v>
      </c>
      <c r="E362">
        <v>0</v>
      </c>
      <c r="F362">
        <v>0</v>
      </c>
      <c r="G362">
        <v>0</v>
      </c>
      <c r="H362">
        <v>3</v>
      </c>
      <c r="I362">
        <v>0</v>
      </c>
      <c r="J362" s="10">
        <v>1</v>
      </c>
      <c r="K362">
        <v>1</v>
      </c>
      <c r="L362">
        <v>0</v>
      </c>
      <c r="M362">
        <v>0</v>
      </c>
      <c r="N362" s="10">
        <v>0.69266699049830582</v>
      </c>
      <c r="O362" s="11">
        <v>0.5250295668815157</v>
      </c>
      <c r="P362" s="10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 s="10">
        <v>1.6901408450704224E-2</v>
      </c>
      <c r="W362" s="5">
        <v>3</v>
      </c>
      <c r="X362" s="5">
        <v>3</v>
      </c>
      <c r="Y362" s="5">
        <v>3</v>
      </c>
      <c r="Z362" s="5">
        <v>9</v>
      </c>
    </row>
    <row r="363" spans="1:26" x14ac:dyDescent="0.35">
      <c r="A363">
        <v>362</v>
      </c>
      <c r="B363" s="10">
        <v>0.90196078431372551</v>
      </c>
      <c r="C363">
        <v>1</v>
      </c>
      <c r="D363">
        <v>0</v>
      </c>
      <c r="E363">
        <v>1</v>
      </c>
      <c r="F363">
        <v>0</v>
      </c>
      <c r="G363">
        <v>0</v>
      </c>
      <c r="H363">
        <v>3</v>
      </c>
      <c r="I363">
        <v>1</v>
      </c>
      <c r="J363" s="10">
        <v>0.10165886856656743</v>
      </c>
      <c r="K363">
        <v>1</v>
      </c>
      <c r="L363">
        <v>0</v>
      </c>
      <c r="M363">
        <v>0</v>
      </c>
      <c r="N363" s="10">
        <v>0.13605075468568584</v>
      </c>
      <c r="O363" s="11">
        <v>0.47198132759210443</v>
      </c>
      <c r="P363" s="10">
        <v>0.125</v>
      </c>
      <c r="Q363">
        <v>2</v>
      </c>
      <c r="R363">
        <v>1</v>
      </c>
      <c r="S363">
        <v>1</v>
      </c>
      <c r="T363">
        <v>0</v>
      </c>
      <c r="U363">
        <v>1</v>
      </c>
      <c r="V363" s="10">
        <v>0.16056338028169015</v>
      </c>
      <c r="W363" s="5">
        <v>2</v>
      </c>
      <c r="X363" s="5">
        <v>1</v>
      </c>
      <c r="Y363" s="5">
        <v>1</v>
      </c>
      <c r="Z363" s="5">
        <v>4</v>
      </c>
    </row>
    <row r="364" spans="1:26" x14ac:dyDescent="0.35">
      <c r="A364">
        <v>363</v>
      </c>
      <c r="B364" s="10">
        <v>0.45098039215686275</v>
      </c>
      <c r="C364">
        <v>0</v>
      </c>
      <c r="D364">
        <v>1</v>
      </c>
      <c r="E364">
        <v>0</v>
      </c>
      <c r="F364">
        <v>0</v>
      </c>
      <c r="G364">
        <v>0</v>
      </c>
      <c r="H364">
        <v>1</v>
      </c>
      <c r="I364">
        <v>0</v>
      </c>
      <c r="J364" s="10">
        <v>0.55082943428328379</v>
      </c>
      <c r="K364">
        <v>0</v>
      </c>
      <c r="L364">
        <v>0</v>
      </c>
      <c r="M364">
        <v>1</v>
      </c>
      <c r="N364" s="10">
        <v>0.44557258962632984</v>
      </c>
      <c r="O364" s="11">
        <v>0.33851787762329216</v>
      </c>
      <c r="P364" s="10">
        <v>1</v>
      </c>
      <c r="Q364">
        <v>1</v>
      </c>
      <c r="R364">
        <v>0</v>
      </c>
      <c r="S364">
        <v>1</v>
      </c>
      <c r="T364">
        <v>0</v>
      </c>
      <c r="U364">
        <v>0</v>
      </c>
      <c r="V364" s="10">
        <v>0.18028169014084508</v>
      </c>
      <c r="W364" s="5">
        <v>2</v>
      </c>
      <c r="X364" s="5">
        <v>3</v>
      </c>
      <c r="Y364" s="5">
        <v>2</v>
      </c>
      <c r="Z364" s="5">
        <v>7</v>
      </c>
    </row>
    <row r="365" spans="1:26" x14ac:dyDescent="0.35">
      <c r="A365">
        <v>364</v>
      </c>
      <c r="B365" s="10">
        <v>0.62745098039215685</v>
      </c>
      <c r="C365">
        <v>1</v>
      </c>
      <c r="D365">
        <v>0</v>
      </c>
      <c r="E365">
        <v>0</v>
      </c>
      <c r="F365">
        <v>0</v>
      </c>
      <c r="G365">
        <v>1</v>
      </c>
      <c r="H365">
        <v>3</v>
      </c>
      <c r="I365">
        <v>0</v>
      </c>
      <c r="J365" s="10">
        <v>0.28541046363249684</v>
      </c>
      <c r="K365">
        <v>1</v>
      </c>
      <c r="L365">
        <v>0</v>
      </c>
      <c r="M365">
        <v>0</v>
      </c>
      <c r="N365" s="10">
        <v>8.2043930526265893E-2</v>
      </c>
      <c r="O365" s="11">
        <v>0.57707398539206023</v>
      </c>
      <c r="P365" s="10">
        <v>0</v>
      </c>
      <c r="Q365">
        <v>2</v>
      </c>
      <c r="R365">
        <v>0</v>
      </c>
      <c r="S365">
        <v>0</v>
      </c>
      <c r="T365">
        <v>1</v>
      </c>
      <c r="U365">
        <v>0</v>
      </c>
      <c r="V365" s="10">
        <v>0.6929577464788732</v>
      </c>
      <c r="W365" s="5">
        <v>1</v>
      </c>
      <c r="X365" s="5">
        <v>1</v>
      </c>
      <c r="Y365" s="5">
        <v>1</v>
      </c>
      <c r="Z365" s="5">
        <v>3</v>
      </c>
    </row>
    <row r="366" spans="1:26" x14ac:dyDescent="0.35">
      <c r="A366">
        <v>365</v>
      </c>
      <c r="B366" s="10">
        <v>0.37254901960784315</v>
      </c>
      <c r="C366">
        <v>0</v>
      </c>
      <c r="D366">
        <v>0</v>
      </c>
      <c r="E366">
        <v>0</v>
      </c>
      <c r="F366">
        <v>1</v>
      </c>
      <c r="G366">
        <v>0</v>
      </c>
      <c r="H366">
        <v>1</v>
      </c>
      <c r="I366">
        <v>1</v>
      </c>
      <c r="J366" s="10">
        <v>0.48957890259464065</v>
      </c>
      <c r="K366">
        <v>0</v>
      </c>
      <c r="L366">
        <v>0</v>
      </c>
      <c r="M366">
        <v>1</v>
      </c>
      <c r="N366" s="10">
        <v>0.34921688031656511</v>
      </c>
      <c r="O366" s="11">
        <v>0.29901004044346968</v>
      </c>
      <c r="P366" s="10">
        <v>0.875</v>
      </c>
      <c r="Q366">
        <v>1</v>
      </c>
      <c r="R366">
        <v>0</v>
      </c>
      <c r="S366">
        <v>0</v>
      </c>
      <c r="T366">
        <v>0</v>
      </c>
      <c r="U366">
        <v>1</v>
      </c>
      <c r="V366" s="10">
        <v>5.6338028169014086E-2</v>
      </c>
      <c r="W366" s="5">
        <v>3</v>
      </c>
      <c r="X366" s="5">
        <v>3</v>
      </c>
      <c r="Y366" s="5">
        <v>2</v>
      </c>
      <c r="Z366" s="5">
        <v>8</v>
      </c>
    </row>
    <row r="367" spans="1:26" x14ac:dyDescent="0.35">
      <c r="A367">
        <v>366</v>
      </c>
      <c r="B367" s="10">
        <v>0.15686274509803921</v>
      </c>
      <c r="C367">
        <v>0</v>
      </c>
      <c r="D367">
        <v>0</v>
      </c>
      <c r="E367">
        <v>0</v>
      </c>
      <c r="F367">
        <v>1</v>
      </c>
      <c r="G367">
        <v>0</v>
      </c>
      <c r="H367">
        <v>2</v>
      </c>
      <c r="I367">
        <v>0</v>
      </c>
      <c r="J367" s="10">
        <v>0.93874946831135686</v>
      </c>
      <c r="K367">
        <v>0</v>
      </c>
      <c r="L367">
        <v>1</v>
      </c>
      <c r="M367">
        <v>0</v>
      </c>
      <c r="N367" s="10">
        <v>0.74294481434969073</v>
      </c>
      <c r="O367" s="11">
        <v>0.63335278375822457</v>
      </c>
      <c r="P367" s="10">
        <v>0.875</v>
      </c>
      <c r="Q367">
        <v>0</v>
      </c>
      <c r="R367">
        <v>0</v>
      </c>
      <c r="S367">
        <v>0</v>
      </c>
      <c r="T367">
        <v>0</v>
      </c>
      <c r="U367">
        <v>0</v>
      </c>
      <c r="V367" s="10">
        <v>2.8169014084507044E-3</v>
      </c>
      <c r="W367" s="5">
        <v>3</v>
      </c>
      <c r="X367" s="5">
        <v>3</v>
      </c>
      <c r="Y367" s="5">
        <v>3</v>
      </c>
      <c r="Z367" s="5">
        <v>9</v>
      </c>
    </row>
    <row r="368" spans="1:26" x14ac:dyDescent="0.35">
      <c r="A368">
        <v>367</v>
      </c>
      <c r="B368" s="10">
        <v>0.13725490196078433</v>
      </c>
      <c r="C368">
        <v>0</v>
      </c>
      <c r="D368">
        <v>1</v>
      </c>
      <c r="E368">
        <v>0</v>
      </c>
      <c r="F368">
        <v>0</v>
      </c>
      <c r="G368">
        <v>0</v>
      </c>
      <c r="H368">
        <v>1</v>
      </c>
      <c r="I368">
        <v>0</v>
      </c>
      <c r="J368" s="10">
        <v>0.57124627817949813</v>
      </c>
      <c r="K368">
        <v>1</v>
      </c>
      <c r="L368">
        <v>0</v>
      </c>
      <c r="M368">
        <v>0</v>
      </c>
      <c r="N368" s="10">
        <v>0.6480552330403051</v>
      </c>
      <c r="O368" s="11">
        <v>0.63174309342240276</v>
      </c>
      <c r="P368" s="10">
        <v>0.75</v>
      </c>
      <c r="Q368">
        <v>1</v>
      </c>
      <c r="R368">
        <v>1</v>
      </c>
      <c r="S368">
        <v>1</v>
      </c>
      <c r="T368">
        <v>0</v>
      </c>
      <c r="U368">
        <v>0</v>
      </c>
      <c r="V368" s="10">
        <v>5.6338028169014088E-3</v>
      </c>
      <c r="W368" s="5">
        <v>3</v>
      </c>
      <c r="X368" s="5">
        <v>2</v>
      </c>
      <c r="Y368" s="5">
        <v>3</v>
      </c>
      <c r="Z368" s="5">
        <v>8</v>
      </c>
    </row>
    <row r="369" spans="1:26" x14ac:dyDescent="0.35">
      <c r="A369">
        <v>368</v>
      </c>
      <c r="B369" s="10">
        <v>0.45098039215686275</v>
      </c>
      <c r="C369">
        <v>0</v>
      </c>
      <c r="D369">
        <v>0</v>
      </c>
      <c r="E369">
        <v>1</v>
      </c>
      <c r="F369">
        <v>0</v>
      </c>
      <c r="G369">
        <v>0</v>
      </c>
      <c r="H369">
        <v>3</v>
      </c>
      <c r="I369">
        <v>0</v>
      </c>
      <c r="J369" s="10">
        <v>0.16290940025521056</v>
      </c>
      <c r="K369">
        <v>0</v>
      </c>
      <c r="L369">
        <v>0</v>
      </c>
      <c r="M369">
        <v>1</v>
      </c>
      <c r="N369" s="10">
        <v>0.5714641139255503</v>
      </c>
      <c r="O369" s="11">
        <v>0.65031489567194511</v>
      </c>
      <c r="P369" s="10">
        <v>0.625</v>
      </c>
      <c r="Q369">
        <v>0</v>
      </c>
      <c r="R369">
        <v>0</v>
      </c>
      <c r="S369">
        <v>0</v>
      </c>
      <c r="T369">
        <v>0</v>
      </c>
      <c r="U369">
        <v>0</v>
      </c>
      <c r="V369" s="10">
        <v>4.788732394366197E-2</v>
      </c>
      <c r="W369" s="5">
        <v>3</v>
      </c>
      <c r="X369" s="5">
        <v>2</v>
      </c>
      <c r="Y369" s="5">
        <v>3</v>
      </c>
      <c r="Z369" s="5">
        <v>8</v>
      </c>
    </row>
    <row r="370" spans="1:26" x14ac:dyDescent="0.35">
      <c r="A370">
        <v>369</v>
      </c>
      <c r="B370" s="10">
        <v>0.25490196078431371</v>
      </c>
      <c r="C370">
        <v>0</v>
      </c>
      <c r="D370">
        <v>1</v>
      </c>
      <c r="E370">
        <v>0</v>
      </c>
      <c r="F370">
        <v>0</v>
      </c>
      <c r="G370">
        <v>0</v>
      </c>
      <c r="H370">
        <v>2</v>
      </c>
      <c r="I370">
        <v>0</v>
      </c>
      <c r="J370" s="10">
        <v>0.71416418545299876</v>
      </c>
      <c r="K370">
        <v>0</v>
      </c>
      <c r="L370">
        <v>1</v>
      </c>
      <c r="M370">
        <v>0</v>
      </c>
      <c r="N370" s="10">
        <v>0.99001848209842913</v>
      </c>
      <c r="O370" s="11">
        <v>0.74947629172060259</v>
      </c>
      <c r="P370" s="10">
        <v>1</v>
      </c>
      <c r="Q370">
        <v>1</v>
      </c>
      <c r="R370">
        <v>1</v>
      </c>
      <c r="S370">
        <v>0</v>
      </c>
      <c r="T370">
        <v>1</v>
      </c>
      <c r="U370">
        <v>0</v>
      </c>
      <c r="V370" s="10">
        <v>6.4788732394366194E-2</v>
      </c>
      <c r="W370" s="5">
        <v>3</v>
      </c>
      <c r="X370" s="5">
        <v>3</v>
      </c>
      <c r="Y370" s="5">
        <v>3</v>
      </c>
      <c r="Z370" s="5">
        <v>9</v>
      </c>
    </row>
    <row r="371" spans="1:26" x14ac:dyDescent="0.35">
      <c r="A371">
        <v>370</v>
      </c>
      <c r="B371" s="10">
        <v>0.33333333333333331</v>
      </c>
      <c r="C371">
        <v>0</v>
      </c>
      <c r="D371">
        <v>0</v>
      </c>
      <c r="E371">
        <v>1</v>
      </c>
      <c r="F371">
        <v>0</v>
      </c>
      <c r="G371">
        <v>0</v>
      </c>
      <c r="H371">
        <v>3</v>
      </c>
      <c r="I371">
        <v>0</v>
      </c>
      <c r="J371" s="10">
        <v>0.9591663122075712</v>
      </c>
      <c r="K371">
        <v>0</v>
      </c>
      <c r="L371">
        <v>0</v>
      </c>
      <c r="M371">
        <v>1</v>
      </c>
      <c r="N371" s="10">
        <v>0.3643135559083478</v>
      </c>
      <c r="O371" s="11">
        <v>0.4157729531781324</v>
      </c>
      <c r="P371" s="10">
        <v>0.625</v>
      </c>
      <c r="Q371">
        <v>2</v>
      </c>
      <c r="R371">
        <v>1</v>
      </c>
      <c r="S371">
        <v>0</v>
      </c>
      <c r="T371">
        <v>1</v>
      </c>
      <c r="U371">
        <v>1</v>
      </c>
      <c r="V371" s="10">
        <v>2.5352112676056339E-2</v>
      </c>
      <c r="W371" s="5">
        <v>3</v>
      </c>
      <c r="X371" s="5">
        <v>2</v>
      </c>
      <c r="Y371" s="5">
        <v>2</v>
      </c>
      <c r="Z371" s="5">
        <v>7</v>
      </c>
    </row>
    <row r="372" spans="1:26" x14ac:dyDescent="0.35">
      <c r="A372">
        <v>371</v>
      </c>
      <c r="B372" s="10">
        <v>0</v>
      </c>
      <c r="C372">
        <v>1</v>
      </c>
      <c r="D372">
        <v>1</v>
      </c>
      <c r="E372">
        <v>0</v>
      </c>
      <c r="F372">
        <v>0</v>
      </c>
      <c r="G372">
        <v>0</v>
      </c>
      <c r="H372">
        <v>2</v>
      </c>
      <c r="I372">
        <v>0</v>
      </c>
      <c r="J372" s="10">
        <v>0.71416418545299876</v>
      </c>
      <c r="K372">
        <v>0</v>
      </c>
      <c r="L372">
        <v>1</v>
      </c>
      <c r="M372">
        <v>0</v>
      </c>
      <c r="N372" s="10">
        <v>0.42788723550458491</v>
      </c>
      <c r="O372" s="11">
        <v>0.5853035272339483</v>
      </c>
      <c r="P372" s="10">
        <v>0.5</v>
      </c>
      <c r="Q372">
        <v>2</v>
      </c>
      <c r="R372">
        <v>0</v>
      </c>
      <c r="S372">
        <v>0</v>
      </c>
      <c r="T372">
        <v>0</v>
      </c>
      <c r="U372">
        <v>1</v>
      </c>
      <c r="V372" s="10">
        <v>8.4507042253521118E-3</v>
      </c>
      <c r="W372" s="5">
        <v>3</v>
      </c>
      <c r="X372" s="5">
        <v>2</v>
      </c>
      <c r="Y372" s="5">
        <v>2</v>
      </c>
      <c r="Z372" s="5">
        <v>7</v>
      </c>
    </row>
    <row r="373" spans="1:26" x14ac:dyDescent="0.35">
      <c r="A373">
        <v>372</v>
      </c>
      <c r="B373" s="10">
        <v>0.21568627450980393</v>
      </c>
      <c r="C373">
        <v>0</v>
      </c>
      <c r="D373">
        <v>0</v>
      </c>
      <c r="E373">
        <v>1</v>
      </c>
      <c r="F373">
        <v>0</v>
      </c>
      <c r="G373">
        <v>0</v>
      </c>
      <c r="H373">
        <v>2</v>
      </c>
      <c r="I373">
        <v>0</v>
      </c>
      <c r="J373" s="10">
        <v>0.46916205869842625</v>
      </c>
      <c r="K373">
        <v>0</v>
      </c>
      <c r="L373">
        <v>1</v>
      </c>
      <c r="M373">
        <v>0</v>
      </c>
      <c r="N373" s="10">
        <v>7.7156837191668833E-3</v>
      </c>
      <c r="O373" s="11">
        <v>7.2134248174007529E-2</v>
      </c>
      <c r="P373" s="10">
        <v>0</v>
      </c>
      <c r="Q373">
        <v>2</v>
      </c>
      <c r="R373">
        <v>1</v>
      </c>
      <c r="S373">
        <v>1</v>
      </c>
      <c r="T373">
        <v>0</v>
      </c>
      <c r="U373">
        <v>1</v>
      </c>
      <c r="V373" s="10">
        <v>0.53239436619718306</v>
      </c>
      <c r="W373" s="5">
        <v>1</v>
      </c>
      <c r="X373" s="5">
        <v>1</v>
      </c>
      <c r="Y373" s="5">
        <v>1</v>
      </c>
      <c r="Z373" s="5">
        <v>3</v>
      </c>
    </row>
    <row r="374" spans="1:26" x14ac:dyDescent="0.35">
      <c r="A374">
        <v>373</v>
      </c>
      <c r="B374" s="10">
        <v>0.5490196078431373</v>
      </c>
      <c r="C374">
        <v>1</v>
      </c>
      <c r="D374">
        <v>0</v>
      </c>
      <c r="E374">
        <v>1</v>
      </c>
      <c r="F374">
        <v>0</v>
      </c>
      <c r="G374">
        <v>0</v>
      </c>
      <c r="H374">
        <v>2</v>
      </c>
      <c r="I374">
        <v>0</v>
      </c>
      <c r="J374" s="10">
        <v>0.26499361973628244</v>
      </c>
      <c r="K374">
        <v>0</v>
      </c>
      <c r="L374">
        <v>0</v>
      </c>
      <c r="M374">
        <v>1</v>
      </c>
      <c r="N374" s="10">
        <v>7.6206075397483572E-2</v>
      </c>
      <c r="O374" s="11">
        <v>0.26870761987162717</v>
      </c>
      <c r="P374" s="10">
        <v>0.125</v>
      </c>
      <c r="Q374">
        <v>1</v>
      </c>
      <c r="R374">
        <v>1</v>
      </c>
      <c r="S374">
        <v>1</v>
      </c>
      <c r="T374">
        <v>0</v>
      </c>
      <c r="U374">
        <v>0</v>
      </c>
      <c r="V374" s="10">
        <v>0.6647887323943662</v>
      </c>
      <c r="W374" s="5">
        <v>1</v>
      </c>
      <c r="X374" s="5">
        <v>1</v>
      </c>
      <c r="Y374" s="5">
        <v>1</v>
      </c>
      <c r="Z374" s="5">
        <v>3</v>
      </c>
    </row>
    <row r="375" spans="1:26" x14ac:dyDescent="0.35">
      <c r="A375">
        <v>374</v>
      </c>
      <c r="B375" s="10">
        <v>0.70588235294117652</v>
      </c>
      <c r="C375">
        <v>1</v>
      </c>
      <c r="D375">
        <v>0</v>
      </c>
      <c r="E375">
        <v>0</v>
      </c>
      <c r="F375">
        <v>1</v>
      </c>
      <c r="G375">
        <v>0</v>
      </c>
      <c r="H375">
        <v>2</v>
      </c>
      <c r="I375">
        <v>0</v>
      </c>
      <c r="J375" s="10">
        <v>0.9591663122075712</v>
      </c>
      <c r="K375">
        <v>0</v>
      </c>
      <c r="L375">
        <v>0</v>
      </c>
      <c r="M375">
        <v>1</v>
      </c>
      <c r="N375" s="10">
        <v>0.63200187190484081</v>
      </c>
      <c r="O375" s="11">
        <v>0.47923834818943373</v>
      </c>
      <c r="P375" s="10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 s="10">
        <v>5.6338028169014086E-2</v>
      </c>
      <c r="W375" s="5">
        <v>3</v>
      </c>
      <c r="X375" s="5">
        <v>3</v>
      </c>
      <c r="Y375" s="5">
        <v>3</v>
      </c>
      <c r="Z375" s="5">
        <v>9</v>
      </c>
    </row>
    <row r="376" spans="1:26" x14ac:dyDescent="0.35">
      <c r="A376">
        <v>375</v>
      </c>
      <c r="B376" s="10">
        <v>0.49019607843137253</v>
      </c>
      <c r="C376">
        <v>0</v>
      </c>
      <c r="D376">
        <v>0</v>
      </c>
      <c r="E376">
        <v>1</v>
      </c>
      <c r="F376">
        <v>0</v>
      </c>
      <c r="G376">
        <v>0</v>
      </c>
      <c r="H376">
        <v>3</v>
      </c>
      <c r="I376">
        <v>0</v>
      </c>
      <c r="J376" s="10">
        <v>0.34666099532113998</v>
      </c>
      <c r="K376">
        <v>0</v>
      </c>
      <c r="L376">
        <v>1</v>
      </c>
      <c r="M376">
        <v>0</v>
      </c>
      <c r="N376" s="10">
        <v>3.6549534393289569E-2</v>
      </c>
      <c r="O376" s="11">
        <v>0.26801344091430407</v>
      </c>
      <c r="P376" s="10">
        <v>0</v>
      </c>
      <c r="Q376">
        <v>1</v>
      </c>
      <c r="R376">
        <v>1</v>
      </c>
      <c r="S376">
        <v>0</v>
      </c>
      <c r="T376">
        <v>0</v>
      </c>
      <c r="U376">
        <v>1</v>
      </c>
      <c r="V376" s="10">
        <v>0.74084507042253522</v>
      </c>
      <c r="W376" s="5">
        <v>1</v>
      </c>
      <c r="X376" s="5">
        <v>1</v>
      </c>
      <c r="Y376" s="5">
        <v>1</v>
      </c>
      <c r="Z376" s="5">
        <v>3</v>
      </c>
    </row>
    <row r="377" spans="1:26" x14ac:dyDescent="0.35">
      <c r="A377">
        <v>376</v>
      </c>
      <c r="B377" s="10">
        <v>0.62745098039215685</v>
      </c>
      <c r="C377">
        <v>0</v>
      </c>
      <c r="D377">
        <v>0</v>
      </c>
      <c r="E377">
        <v>0</v>
      </c>
      <c r="F377">
        <v>1</v>
      </c>
      <c r="G377">
        <v>0</v>
      </c>
      <c r="H377">
        <v>1</v>
      </c>
      <c r="I377">
        <v>0</v>
      </c>
      <c r="J377" s="10">
        <v>0.63249680986814127</v>
      </c>
      <c r="K377">
        <v>0</v>
      </c>
      <c r="L377">
        <v>1</v>
      </c>
      <c r="M377">
        <v>0</v>
      </c>
      <c r="N377" s="10">
        <v>0.33587659645048928</v>
      </c>
      <c r="O377" s="11">
        <v>0.57536368941024962</v>
      </c>
      <c r="P377" s="10">
        <v>0.375</v>
      </c>
      <c r="Q377">
        <v>1</v>
      </c>
      <c r="R377">
        <v>0</v>
      </c>
      <c r="S377">
        <v>1</v>
      </c>
      <c r="T377">
        <v>0</v>
      </c>
      <c r="U377">
        <v>0</v>
      </c>
      <c r="V377" s="10">
        <v>0.10704225352112676</v>
      </c>
      <c r="W377" s="5">
        <v>2</v>
      </c>
      <c r="X377" s="5">
        <v>2</v>
      </c>
      <c r="Y377" s="5">
        <v>2</v>
      </c>
      <c r="Z377" s="5">
        <v>6</v>
      </c>
    </row>
    <row r="378" spans="1:26" x14ac:dyDescent="0.35">
      <c r="A378">
        <v>377</v>
      </c>
      <c r="B378" s="10">
        <v>0.82352941176470584</v>
      </c>
      <c r="C378">
        <v>0</v>
      </c>
      <c r="D378">
        <v>1</v>
      </c>
      <c r="E378">
        <v>0</v>
      </c>
      <c r="F378">
        <v>0</v>
      </c>
      <c r="G378">
        <v>0</v>
      </c>
      <c r="H378">
        <v>2</v>
      </c>
      <c r="I378">
        <v>0</v>
      </c>
      <c r="J378" s="10">
        <v>0.2037430880476393</v>
      </c>
      <c r="K378">
        <v>0</v>
      </c>
      <c r="L378">
        <v>0</v>
      </c>
      <c r="M378">
        <v>1</v>
      </c>
      <c r="N378" s="10">
        <v>0.69796578442290813</v>
      </c>
      <c r="O378" s="11">
        <v>0.59515785025855639</v>
      </c>
      <c r="P378" s="10">
        <v>0.875</v>
      </c>
      <c r="Q378">
        <v>2</v>
      </c>
      <c r="R378">
        <v>1</v>
      </c>
      <c r="S378">
        <v>0</v>
      </c>
      <c r="T378">
        <v>1</v>
      </c>
      <c r="U378">
        <v>1</v>
      </c>
      <c r="V378" s="10">
        <v>1.6901408450704224E-2</v>
      </c>
      <c r="W378" s="5">
        <v>3</v>
      </c>
      <c r="X378" s="5">
        <v>3</v>
      </c>
      <c r="Y378" s="5">
        <v>3</v>
      </c>
      <c r="Z378" s="5">
        <v>9</v>
      </c>
    </row>
    <row r="379" spans="1:26" x14ac:dyDescent="0.35">
      <c r="A379">
        <v>378</v>
      </c>
      <c r="B379" s="10">
        <v>0.27450980392156865</v>
      </c>
      <c r="C379">
        <v>1</v>
      </c>
      <c r="D379">
        <v>1</v>
      </c>
      <c r="E379">
        <v>0</v>
      </c>
      <c r="F379">
        <v>0</v>
      </c>
      <c r="G379">
        <v>0</v>
      </c>
      <c r="H379">
        <v>3</v>
      </c>
      <c r="I379">
        <v>0</v>
      </c>
      <c r="J379" s="10">
        <v>0.7345810293492131</v>
      </c>
      <c r="K379">
        <v>0</v>
      </c>
      <c r="L379">
        <v>1</v>
      </c>
      <c r="M379">
        <v>0</v>
      </c>
      <c r="N379" s="10">
        <v>0.39209297917209673</v>
      </c>
      <c r="O379" s="11">
        <v>0.67083844745367105</v>
      </c>
      <c r="P379" s="10">
        <v>0.375</v>
      </c>
      <c r="Q379">
        <v>2</v>
      </c>
      <c r="R379">
        <v>1</v>
      </c>
      <c r="S379">
        <v>1</v>
      </c>
      <c r="T379">
        <v>0</v>
      </c>
      <c r="U379">
        <v>1</v>
      </c>
      <c r="V379" s="10">
        <v>8.7323943661971826E-2</v>
      </c>
      <c r="W379" s="5">
        <v>2</v>
      </c>
      <c r="X379" s="5">
        <v>2</v>
      </c>
      <c r="Y379" s="5">
        <v>2</v>
      </c>
      <c r="Z379" s="5">
        <v>6</v>
      </c>
    </row>
    <row r="380" spans="1:26" x14ac:dyDescent="0.35">
      <c r="A380">
        <v>379</v>
      </c>
      <c r="B380" s="10">
        <v>0.43137254901960786</v>
      </c>
      <c r="C380">
        <v>0</v>
      </c>
      <c r="D380">
        <v>1</v>
      </c>
      <c r="E380">
        <v>0</v>
      </c>
      <c r="F380">
        <v>0</v>
      </c>
      <c r="G380">
        <v>0</v>
      </c>
      <c r="H380">
        <v>3</v>
      </c>
      <c r="I380">
        <v>0</v>
      </c>
      <c r="J380" s="10">
        <v>0.59166312207571248</v>
      </c>
      <c r="K380">
        <v>0</v>
      </c>
      <c r="L380">
        <v>0</v>
      </c>
      <c r="M380">
        <v>1</v>
      </c>
      <c r="N380" s="10">
        <v>0.46568964291638032</v>
      </c>
      <c r="O380" s="11">
        <v>0.39791545101511094</v>
      </c>
      <c r="P380" s="10">
        <v>0.875</v>
      </c>
      <c r="Q380">
        <v>1</v>
      </c>
      <c r="R380">
        <v>0</v>
      </c>
      <c r="S380">
        <v>1</v>
      </c>
      <c r="T380">
        <v>0</v>
      </c>
      <c r="U380">
        <v>0</v>
      </c>
      <c r="V380" s="10">
        <v>0.30704225352112674</v>
      </c>
      <c r="W380" s="5">
        <v>1</v>
      </c>
      <c r="X380" s="5">
        <v>3</v>
      </c>
      <c r="Y380" s="5">
        <v>3</v>
      </c>
      <c r="Z380" s="5">
        <v>7</v>
      </c>
    </row>
    <row r="381" spans="1:26" x14ac:dyDescent="0.35">
      <c r="A381">
        <v>380</v>
      </c>
      <c r="B381" s="10">
        <v>0.5490196078431373</v>
      </c>
      <c r="C381">
        <v>0</v>
      </c>
      <c r="D381">
        <v>1</v>
      </c>
      <c r="E381">
        <v>0</v>
      </c>
      <c r="F381">
        <v>0</v>
      </c>
      <c r="G381">
        <v>0</v>
      </c>
      <c r="H381">
        <v>3</v>
      </c>
      <c r="I381">
        <v>0</v>
      </c>
      <c r="J381" s="10">
        <v>0.32624415142492558</v>
      </c>
      <c r="K381">
        <v>1</v>
      </c>
      <c r="L381">
        <v>0</v>
      </c>
      <c r="M381">
        <v>0</v>
      </c>
      <c r="N381" s="10">
        <v>0.34442456697391183</v>
      </c>
      <c r="O381" s="11">
        <v>0.39325405608429415</v>
      </c>
      <c r="P381" s="10">
        <v>0.625</v>
      </c>
      <c r="Q381">
        <v>0</v>
      </c>
      <c r="R381">
        <v>0</v>
      </c>
      <c r="S381">
        <v>0</v>
      </c>
      <c r="T381">
        <v>0</v>
      </c>
      <c r="U381">
        <v>0</v>
      </c>
      <c r="V381" s="10">
        <v>0.24225352112676057</v>
      </c>
      <c r="W381" s="5">
        <v>1</v>
      </c>
      <c r="X381" s="5">
        <v>2</v>
      </c>
      <c r="Y381" s="5">
        <v>2</v>
      </c>
      <c r="Z381" s="5">
        <v>5</v>
      </c>
    </row>
    <row r="382" spans="1:26" x14ac:dyDescent="0.35">
      <c r="A382">
        <v>381</v>
      </c>
      <c r="B382" s="10">
        <v>0.39215686274509803</v>
      </c>
      <c r="C382">
        <v>1</v>
      </c>
      <c r="D382">
        <v>1</v>
      </c>
      <c r="E382">
        <v>0</v>
      </c>
      <c r="F382">
        <v>0</v>
      </c>
      <c r="G382">
        <v>0</v>
      </c>
      <c r="H382">
        <v>1</v>
      </c>
      <c r="I382">
        <v>1</v>
      </c>
      <c r="J382" s="10">
        <v>0.67333049766056996</v>
      </c>
      <c r="K382">
        <v>0</v>
      </c>
      <c r="L382">
        <v>1</v>
      </c>
      <c r="M382">
        <v>0</v>
      </c>
      <c r="N382" s="10">
        <v>0.31923678411487333</v>
      </c>
      <c r="O382" s="11">
        <v>0.54710356345198086</v>
      </c>
      <c r="P382" s="10">
        <v>0.375</v>
      </c>
      <c r="Q382">
        <v>1</v>
      </c>
      <c r="R382">
        <v>0</v>
      </c>
      <c r="S382">
        <v>0</v>
      </c>
      <c r="T382">
        <v>1</v>
      </c>
      <c r="U382">
        <v>0</v>
      </c>
      <c r="V382" s="10">
        <v>0.13239436619718309</v>
      </c>
      <c r="W382" s="5">
        <v>2</v>
      </c>
      <c r="X382" s="5">
        <v>2</v>
      </c>
      <c r="Y382" s="5">
        <v>2</v>
      </c>
      <c r="Z382" s="5">
        <v>6</v>
      </c>
    </row>
    <row r="383" spans="1:26" x14ac:dyDescent="0.35">
      <c r="A383">
        <v>382</v>
      </c>
      <c r="B383" s="10">
        <v>0.35294117647058826</v>
      </c>
      <c r="C383">
        <v>0</v>
      </c>
      <c r="D383">
        <v>0</v>
      </c>
      <c r="E383">
        <v>0</v>
      </c>
      <c r="F383">
        <v>1</v>
      </c>
      <c r="G383">
        <v>0</v>
      </c>
      <c r="H383">
        <v>3</v>
      </c>
      <c r="I383">
        <v>0</v>
      </c>
      <c r="J383" s="10">
        <v>0.28541046363249684</v>
      </c>
      <c r="K383">
        <v>1</v>
      </c>
      <c r="L383">
        <v>0</v>
      </c>
      <c r="M383">
        <v>0</v>
      </c>
      <c r="N383" s="10">
        <v>0.72782444375992217</v>
      </c>
      <c r="O383" s="11">
        <v>0.55156710061235303</v>
      </c>
      <c r="P383" s="10">
        <v>1</v>
      </c>
      <c r="Q383">
        <v>1</v>
      </c>
      <c r="R383">
        <v>0</v>
      </c>
      <c r="S383">
        <v>0</v>
      </c>
      <c r="T383">
        <v>1</v>
      </c>
      <c r="U383">
        <v>0</v>
      </c>
      <c r="V383" s="10">
        <v>4.507042253521127E-2</v>
      </c>
      <c r="W383" s="5">
        <v>3</v>
      </c>
      <c r="X383" s="5">
        <v>3</v>
      </c>
      <c r="Y383" s="5">
        <v>3</v>
      </c>
      <c r="Z383" s="5">
        <v>9</v>
      </c>
    </row>
    <row r="384" spans="1:26" x14ac:dyDescent="0.35">
      <c r="A384">
        <v>383</v>
      </c>
      <c r="B384" s="10">
        <v>7.8431372549019607E-2</v>
      </c>
      <c r="C384">
        <v>1</v>
      </c>
      <c r="D384">
        <v>1</v>
      </c>
      <c r="E384">
        <v>0</v>
      </c>
      <c r="F384">
        <v>0</v>
      </c>
      <c r="G384">
        <v>0</v>
      </c>
      <c r="H384">
        <v>3</v>
      </c>
      <c r="I384">
        <v>0</v>
      </c>
      <c r="J384" s="10">
        <v>0.14249255635899619</v>
      </c>
      <c r="K384">
        <v>0</v>
      </c>
      <c r="L384">
        <v>0</v>
      </c>
      <c r="M384">
        <v>1</v>
      </c>
      <c r="N384" s="10">
        <v>0.23421320759187733</v>
      </c>
      <c r="O384" s="11">
        <v>0.40270427976418033</v>
      </c>
      <c r="P384" s="10">
        <v>0.375</v>
      </c>
      <c r="Q384">
        <v>2</v>
      </c>
      <c r="R384">
        <v>1</v>
      </c>
      <c r="S384">
        <v>1</v>
      </c>
      <c r="T384">
        <v>0</v>
      </c>
      <c r="U384">
        <v>1</v>
      </c>
      <c r="V384" s="10">
        <v>0.23943661971830985</v>
      </c>
      <c r="W384" s="5">
        <v>1</v>
      </c>
      <c r="X384" s="5">
        <v>2</v>
      </c>
      <c r="Y384" s="5">
        <v>1</v>
      </c>
      <c r="Z384" s="5">
        <v>4</v>
      </c>
    </row>
    <row r="385" spans="1:26" x14ac:dyDescent="0.35">
      <c r="A385">
        <v>384</v>
      </c>
      <c r="B385" s="10">
        <v>0.43137254901960786</v>
      </c>
      <c r="C385">
        <v>0</v>
      </c>
      <c r="D385">
        <v>0</v>
      </c>
      <c r="E385">
        <v>1</v>
      </c>
      <c r="F385">
        <v>0</v>
      </c>
      <c r="G385">
        <v>0</v>
      </c>
      <c r="H385">
        <v>1</v>
      </c>
      <c r="I385">
        <v>0</v>
      </c>
      <c r="J385" s="10">
        <v>0.67333049766056996</v>
      </c>
      <c r="K385">
        <v>0</v>
      </c>
      <c r="L385">
        <v>1</v>
      </c>
      <c r="M385">
        <v>0</v>
      </c>
      <c r="N385" s="10">
        <v>9.7555268582802154E-2</v>
      </c>
      <c r="O385" s="11">
        <v>0.3412241695003923</v>
      </c>
      <c r="P385" s="10">
        <v>0.125</v>
      </c>
      <c r="Q385">
        <v>2</v>
      </c>
      <c r="R385">
        <v>1</v>
      </c>
      <c r="S385">
        <v>1</v>
      </c>
      <c r="T385">
        <v>1</v>
      </c>
      <c r="U385">
        <v>0</v>
      </c>
      <c r="V385" s="10">
        <v>0.87605633802816907</v>
      </c>
      <c r="W385" s="5">
        <v>1</v>
      </c>
      <c r="X385" s="5">
        <v>1</v>
      </c>
      <c r="Y385" s="5">
        <v>1</v>
      </c>
      <c r="Z385" s="5">
        <v>3</v>
      </c>
    </row>
    <row r="386" spans="1:26" x14ac:dyDescent="0.35">
      <c r="A386">
        <v>385</v>
      </c>
      <c r="B386" s="10">
        <v>0.68627450980392157</v>
      </c>
      <c r="C386">
        <v>1</v>
      </c>
      <c r="D386">
        <v>0</v>
      </c>
      <c r="E386">
        <v>0</v>
      </c>
      <c r="F386">
        <v>0</v>
      </c>
      <c r="G386">
        <v>1</v>
      </c>
      <c r="H386">
        <v>3</v>
      </c>
      <c r="I386">
        <v>1</v>
      </c>
      <c r="J386" s="10">
        <v>6.0825180774138662E-2</v>
      </c>
      <c r="K386">
        <v>1</v>
      </c>
      <c r="L386">
        <v>0</v>
      </c>
      <c r="M386">
        <v>0</v>
      </c>
      <c r="N386" s="10">
        <v>0.39347913655427336</v>
      </c>
      <c r="O386" s="11">
        <v>0.67319261956981025</v>
      </c>
      <c r="P386" s="10">
        <v>0.375</v>
      </c>
      <c r="Q386">
        <v>0</v>
      </c>
      <c r="R386">
        <v>0</v>
      </c>
      <c r="S386">
        <v>0</v>
      </c>
      <c r="T386">
        <v>0</v>
      </c>
      <c r="U386">
        <v>0</v>
      </c>
      <c r="V386" s="10">
        <v>0.63380281690140849</v>
      </c>
      <c r="W386" s="5">
        <v>1</v>
      </c>
      <c r="X386" s="5">
        <v>2</v>
      </c>
      <c r="Y386" s="5">
        <v>2</v>
      </c>
      <c r="Z386" s="5">
        <v>5</v>
      </c>
    </row>
    <row r="387" spans="1:26" x14ac:dyDescent="0.35">
      <c r="A387">
        <v>386</v>
      </c>
      <c r="B387" s="10">
        <v>0.37254901960784315</v>
      </c>
      <c r="C387">
        <v>0</v>
      </c>
      <c r="D387">
        <v>0</v>
      </c>
      <c r="E387">
        <v>0</v>
      </c>
      <c r="F387">
        <v>1</v>
      </c>
      <c r="G387">
        <v>0</v>
      </c>
      <c r="H387">
        <v>3</v>
      </c>
      <c r="I387">
        <v>0</v>
      </c>
      <c r="J387" s="10">
        <v>0.53041259038706934</v>
      </c>
      <c r="K387">
        <v>0</v>
      </c>
      <c r="L387">
        <v>1</v>
      </c>
      <c r="M387">
        <v>0</v>
      </c>
      <c r="N387" s="10">
        <v>0.22608286140795678</v>
      </c>
      <c r="O387" s="11">
        <v>0.3888961548522103</v>
      </c>
      <c r="P387" s="10">
        <v>0.375</v>
      </c>
      <c r="Q387">
        <v>1</v>
      </c>
      <c r="R387">
        <v>0</v>
      </c>
      <c r="S387">
        <v>0</v>
      </c>
      <c r="T387">
        <v>1</v>
      </c>
      <c r="U387">
        <v>0</v>
      </c>
      <c r="V387" s="10">
        <v>0.45633802816901409</v>
      </c>
      <c r="W387" s="5">
        <v>1</v>
      </c>
      <c r="X387" s="5">
        <v>2</v>
      </c>
      <c r="Y387" s="5">
        <v>1</v>
      </c>
      <c r="Z387" s="5">
        <v>4</v>
      </c>
    </row>
    <row r="388" spans="1:26" x14ac:dyDescent="0.35">
      <c r="A388">
        <v>387</v>
      </c>
      <c r="B388" s="10">
        <v>0.13725490196078433</v>
      </c>
      <c r="C388">
        <v>1</v>
      </c>
      <c r="D388">
        <v>0</v>
      </c>
      <c r="E388">
        <v>1</v>
      </c>
      <c r="F388">
        <v>0</v>
      </c>
      <c r="G388">
        <v>0</v>
      </c>
      <c r="H388">
        <v>1</v>
      </c>
      <c r="I388">
        <v>0</v>
      </c>
      <c r="J388" s="10">
        <v>0.79583156103785624</v>
      </c>
      <c r="K388">
        <v>0</v>
      </c>
      <c r="L388">
        <v>1</v>
      </c>
      <c r="M388">
        <v>0</v>
      </c>
      <c r="N388" s="10">
        <v>1.1172191550363718E-2</v>
      </c>
      <c r="O388" s="11">
        <v>9.5615605947805798E-2</v>
      </c>
      <c r="P388" s="10">
        <v>0</v>
      </c>
      <c r="Q388">
        <v>2</v>
      </c>
      <c r="R388">
        <v>1</v>
      </c>
      <c r="S388">
        <v>1</v>
      </c>
      <c r="T388">
        <v>1</v>
      </c>
      <c r="U388">
        <v>0</v>
      </c>
      <c r="V388" s="10">
        <v>1.4084507042253521E-2</v>
      </c>
      <c r="W388" s="5">
        <v>3</v>
      </c>
      <c r="X388" s="5">
        <v>1</v>
      </c>
      <c r="Y388" s="5">
        <v>1</v>
      </c>
      <c r="Z388" s="5">
        <v>5</v>
      </c>
    </row>
    <row r="389" spans="1:26" x14ac:dyDescent="0.35">
      <c r="A389">
        <v>388</v>
      </c>
      <c r="B389" s="10">
        <v>0.15686274509803921</v>
      </c>
      <c r="C389">
        <v>0</v>
      </c>
      <c r="D389">
        <v>0</v>
      </c>
      <c r="E389">
        <v>0</v>
      </c>
      <c r="F389">
        <v>0</v>
      </c>
      <c r="G389">
        <v>1</v>
      </c>
      <c r="H389">
        <v>1</v>
      </c>
      <c r="I389">
        <v>1</v>
      </c>
      <c r="J389" s="10">
        <v>0.10165886856656743</v>
      </c>
      <c r="K389">
        <v>0</v>
      </c>
      <c r="L389">
        <v>0</v>
      </c>
      <c r="M389">
        <v>1</v>
      </c>
      <c r="N389" s="10">
        <v>0.52650877899675375</v>
      </c>
      <c r="O389" s="11">
        <v>0.44956135938348862</v>
      </c>
      <c r="P389" s="10">
        <v>0.875</v>
      </c>
      <c r="Q389">
        <v>0</v>
      </c>
      <c r="R389">
        <v>0</v>
      </c>
      <c r="S389">
        <v>0</v>
      </c>
      <c r="T389">
        <v>0</v>
      </c>
      <c r="U389">
        <v>0</v>
      </c>
      <c r="V389" s="10">
        <v>9.5774647887323941E-2</v>
      </c>
      <c r="W389" s="5">
        <v>2</v>
      </c>
      <c r="X389" s="5">
        <v>3</v>
      </c>
      <c r="Y389" s="5">
        <v>3</v>
      </c>
      <c r="Z389" s="5">
        <v>8</v>
      </c>
    </row>
    <row r="390" spans="1:26" x14ac:dyDescent="0.35">
      <c r="A390">
        <v>389</v>
      </c>
      <c r="B390" s="10">
        <v>0.25490196078431371</v>
      </c>
      <c r="C390">
        <v>0</v>
      </c>
      <c r="D390">
        <v>0</v>
      </c>
      <c r="E390">
        <v>0</v>
      </c>
      <c r="F390">
        <v>0</v>
      </c>
      <c r="G390">
        <v>1</v>
      </c>
      <c r="H390">
        <v>1</v>
      </c>
      <c r="I390">
        <v>1</v>
      </c>
      <c r="J390" s="10">
        <v>0.46916205869842625</v>
      </c>
      <c r="K390">
        <v>0</v>
      </c>
      <c r="L390">
        <v>0</v>
      </c>
      <c r="M390">
        <v>1</v>
      </c>
      <c r="N390" s="10">
        <v>0.15197083145747933</v>
      </c>
      <c r="O390" s="11">
        <v>0.35070457487407525</v>
      </c>
      <c r="P390" s="10">
        <v>0.25</v>
      </c>
      <c r="Q390">
        <v>0</v>
      </c>
      <c r="R390">
        <v>0</v>
      </c>
      <c r="S390">
        <v>0</v>
      </c>
      <c r="T390">
        <v>0</v>
      </c>
      <c r="U390">
        <v>0</v>
      </c>
      <c r="V390" s="10">
        <v>0.3464788732394366</v>
      </c>
      <c r="W390" s="5">
        <v>1</v>
      </c>
      <c r="X390" s="5">
        <v>2</v>
      </c>
      <c r="Y390" s="5">
        <v>1</v>
      </c>
      <c r="Z390" s="5">
        <v>4</v>
      </c>
    </row>
    <row r="391" spans="1:26" x14ac:dyDescent="0.35">
      <c r="A391">
        <v>390</v>
      </c>
      <c r="B391" s="10">
        <v>9.8039215686274508E-2</v>
      </c>
      <c r="C391">
        <v>1</v>
      </c>
      <c r="D391">
        <v>0</v>
      </c>
      <c r="E391">
        <v>0</v>
      </c>
      <c r="F391">
        <v>1</v>
      </c>
      <c r="G391">
        <v>0</v>
      </c>
      <c r="H391">
        <v>2</v>
      </c>
      <c r="I391">
        <v>0</v>
      </c>
      <c r="J391" s="10">
        <v>0.67333049766056996</v>
      </c>
      <c r="K391">
        <v>1</v>
      </c>
      <c r="L391">
        <v>0</v>
      </c>
      <c r="M391">
        <v>0</v>
      </c>
      <c r="N391" s="10">
        <v>8.0607421273369173E-2</v>
      </c>
      <c r="O391" s="11">
        <v>0.56731523773114145</v>
      </c>
      <c r="P391" s="10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 s="10">
        <v>0.12112676056338029</v>
      </c>
      <c r="W391" s="5">
        <v>2</v>
      </c>
      <c r="X391" s="5">
        <v>1</v>
      </c>
      <c r="Y391" s="5">
        <v>1</v>
      </c>
      <c r="Z391" s="5">
        <v>4</v>
      </c>
    </row>
    <row r="392" spans="1:26" x14ac:dyDescent="0.35">
      <c r="A392">
        <v>391</v>
      </c>
      <c r="B392" s="10">
        <v>0</v>
      </c>
      <c r="C392">
        <v>0</v>
      </c>
      <c r="D392">
        <v>0</v>
      </c>
      <c r="E392">
        <v>1</v>
      </c>
      <c r="F392">
        <v>0</v>
      </c>
      <c r="G392">
        <v>0</v>
      </c>
      <c r="H392">
        <v>1</v>
      </c>
      <c r="I392">
        <v>0</v>
      </c>
      <c r="J392" s="10">
        <v>0.61207996597192693</v>
      </c>
      <c r="K392">
        <v>1</v>
      </c>
      <c r="L392">
        <v>0</v>
      </c>
      <c r="M392">
        <v>0</v>
      </c>
      <c r="N392" s="10">
        <v>0.58655486576783644</v>
      </c>
      <c r="O392" s="11">
        <v>0.57205807532775887</v>
      </c>
      <c r="P392" s="10">
        <v>0.75</v>
      </c>
      <c r="Q392">
        <v>0</v>
      </c>
      <c r="R392">
        <v>0</v>
      </c>
      <c r="S392">
        <v>0</v>
      </c>
      <c r="T392">
        <v>0</v>
      </c>
      <c r="U392">
        <v>0</v>
      </c>
      <c r="V392" s="10">
        <v>0.15492957746478872</v>
      </c>
      <c r="W392" s="5">
        <v>2</v>
      </c>
      <c r="X392" s="5">
        <v>2</v>
      </c>
      <c r="Y392" s="5">
        <v>3</v>
      </c>
      <c r="Z392" s="5">
        <v>7</v>
      </c>
    </row>
    <row r="393" spans="1:26" x14ac:dyDescent="0.35">
      <c r="A393">
        <v>392</v>
      </c>
      <c r="B393" s="10">
        <v>0.15686274509803921</v>
      </c>
      <c r="C393">
        <v>0</v>
      </c>
      <c r="D393">
        <v>0</v>
      </c>
      <c r="E393">
        <v>0</v>
      </c>
      <c r="F393">
        <v>0</v>
      </c>
      <c r="G393">
        <v>1</v>
      </c>
      <c r="H393">
        <v>2</v>
      </c>
      <c r="I393">
        <v>0</v>
      </c>
      <c r="J393" s="10">
        <v>0.67333049766056996</v>
      </c>
      <c r="K393">
        <v>1</v>
      </c>
      <c r="L393">
        <v>0</v>
      </c>
      <c r="M393">
        <v>0</v>
      </c>
      <c r="N393" s="10">
        <v>0.45125346539345546</v>
      </c>
      <c r="O393" s="11">
        <v>0.44075046063013629</v>
      </c>
      <c r="P393" s="10">
        <v>0.75</v>
      </c>
      <c r="Q393">
        <v>1</v>
      </c>
      <c r="R393">
        <v>0</v>
      </c>
      <c r="S393">
        <v>0</v>
      </c>
      <c r="T393">
        <v>1</v>
      </c>
      <c r="U393">
        <v>0</v>
      </c>
      <c r="V393" s="10">
        <v>3.9436619718309862E-2</v>
      </c>
      <c r="W393" s="5">
        <v>3</v>
      </c>
      <c r="X393" s="5">
        <v>2</v>
      </c>
      <c r="Y393" s="5">
        <v>2</v>
      </c>
      <c r="Z393" s="5">
        <v>7</v>
      </c>
    </row>
    <row r="394" spans="1:26" x14ac:dyDescent="0.35">
      <c r="A394">
        <v>393</v>
      </c>
      <c r="B394" s="10">
        <v>0.29411764705882354</v>
      </c>
      <c r="C394">
        <v>1</v>
      </c>
      <c r="D394">
        <v>0</v>
      </c>
      <c r="E394">
        <v>0</v>
      </c>
      <c r="F394">
        <v>0</v>
      </c>
      <c r="G394">
        <v>1</v>
      </c>
      <c r="H394">
        <v>2</v>
      </c>
      <c r="I394">
        <v>0</v>
      </c>
      <c r="J394" s="10">
        <v>0.87749893662271372</v>
      </c>
      <c r="K394">
        <v>0</v>
      </c>
      <c r="L394">
        <v>1</v>
      </c>
      <c r="M394">
        <v>0</v>
      </c>
      <c r="N394" s="10">
        <v>0.57787064900599483</v>
      </c>
      <c r="O394" s="11">
        <v>0.49317642206080603</v>
      </c>
      <c r="P394" s="10">
        <v>0.875</v>
      </c>
      <c r="Q394">
        <v>1</v>
      </c>
      <c r="R394">
        <v>0</v>
      </c>
      <c r="S394">
        <v>0</v>
      </c>
      <c r="T394">
        <v>1</v>
      </c>
      <c r="U394">
        <v>0</v>
      </c>
      <c r="V394" s="10">
        <v>0.24225352112676057</v>
      </c>
      <c r="W394" s="5">
        <v>1</v>
      </c>
      <c r="X394" s="5">
        <v>3</v>
      </c>
      <c r="Y394" s="5">
        <v>3</v>
      </c>
      <c r="Z394" s="5">
        <v>7</v>
      </c>
    </row>
    <row r="395" spans="1:26" x14ac:dyDescent="0.35">
      <c r="A395">
        <v>394</v>
      </c>
      <c r="B395" s="10">
        <v>0.29411764705882354</v>
      </c>
      <c r="C395">
        <v>1</v>
      </c>
      <c r="D395">
        <v>0</v>
      </c>
      <c r="E395">
        <v>0</v>
      </c>
      <c r="F395">
        <v>1</v>
      </c>
      <c r="G395">
        <v>0</v>
      </c>
      <c r="H395">
        <v>1</v>
      </c>
      <c r="I395">
        <v>0</v>
      </c>
      <c r="J395" s="10">
        <v>0.509995746490855</v>
      </c>
      <c r="K395">
        <v>0</v>
      </c>
      <c r="L395">
        <v>0</v>
      </c>
      <c r="M395">
        <v>1</v>
      </c>
      <c r="N395" s="10">
        <v>0.69209534867189526</v>
      </c>
      <c r="O395" s="11">
        <v>0.59017284049980889</v>
      </c>
      <c r="P395" s="10">
        <v>0.875</v>
      </c>
      <c r="Q395">
        <v>2</v>
      </c>
      <c r="R395">
        <v>1</v>
      </c>
      <c r="S395">
        <v>1</v>
      </c>
      <c r="T395">
        <v>0</v>
      </c>
      <c r="U395">
        <v>1</v>
      </c>
      <c r="V395" s="10">
        <v>1.6901408450704224E-2</v>
      </c>
      <c r="W395" s="5">
        <v>3</v>
      </c>
      <c r="X395" s="5">
        <v>3</v>
      </c>
      <c r="Y395" s="5">
        <v>3</v>
      </c>
      <c r="Z395" s="5">
        <v>9</v>
      </c>
    </row>
    <row r="396" spans="1:26" x14ac:dyDescent="0.35">
      <c r="A396">
        <v>395</v>
      </c>
      <c r="B396" s="10">
        <v>0.21568627450980393</v>
      </c>
      <c r="C396">
        <v>0</v>
      </c>
      <c r="D396">
        <v>1</v>
      </c>
      <c r="E396">
        <v>0</v>
      </c>
      <c r="F396">
        <v>0</v>
      </c>
      <c r="G396">
        <v>0</v>
      </c>
      <c r="H396">
        <v>2</v>
      </c>
      <c r="I396">
        <v>1</v>
      </c>
      <c r="J396" s="10">
        <v>0.44874521480221186</v>
      </c>
      <c r="K396">
        <v>0</v>
      </c>
      <c r="L396">
        <v>0</v>
      </c>
      <c r="M396">
        <v>1</v>
      </c>
      <c r="N396" s="10">
        <v>0.19858481624529062</v>
      </c>
      <c r="O396" s="11">
        <v>0.68439002796836956</v>
      </c>
      <c r="P396" s="10">
        <v>0.125</v>
      </c>
      <c r="Q396">
        <v>2</v>
      </c>
      <c r="R396">
        <v>1</v>
      </c>
      <c r="S396">
        <v>1</v>
      </c>
      <c r="T396">
        <v>0</v>
      </c>
      <c r="U396">
        <v>1</v>
      </c>
      <c r="V396" s="10">
        <v>3.9436619718309862E-2</v>
      </c>
      <c r="W396" s="5">
        <v>3</v>
      </c>
      <c r="X396" s="5">
        <v>1</v>
      </c>
      <c r="Y396" s="5">
        <v>1</v>
      </c>
      <c r="Z396" s="5">
        <v>5</v>
      </c>
    </row>
    <row r="397" spans="1:26" x14ac:dyDescent="0.35">
      <c r="A397">
        <v>396</v>
      </c>
      <c r="B397" s="10">
        <v>7.8431372549019607E-2</v>
      </c>
      <c r="C397">
        <v>1</v>
      </c>
      <c r="D397">
        <v>0</v>
      </c>
      <c r="E397">
        <v>0</v>
      </c>
      <c r="F397">
        <v>0</v>
      </c>
      <c r="G397">
        <v>1</v>
      </c>
      <c r="H397">
        <v>3</v>
      </c>
      <c r="I397">
        <v>1</v>
      </c>
      <c r="J397" s="10">
        <v>1.9991492981709911E-2</v>
      </c>
      <c r="K397">
        <v>0</v>
      </c>
      <c r="L397">
        <v>0</v>
      </c>
      <c r="M397">
        <v>1</v>
      </c>
      <c r="N397" s="10">
        <v>0.25351574532616167</v>
      </c>
      <c r="O397" s="11">
        <v>0.58064883934619738</v>
      </c>
      <c r="P397" s="10">
        <v>0.25</v>
      </c>
      <c r="Q397">
        <v>2</v>
      </c>
      <c r="R397">
        <v>1</v>
      </c>
      <c r="S397">
        <v>1</v>
      </c>
      <c r="T397">
        <v>0</v>
      </c>
      <c r="U397">
        <v>0</v>
      </c>
      <c r="V397" s="10">
        <v>7.0422535211267609E-2</v>
      </c>
      <c r="W397" s="5">
        <v>3</v>
      </c>
      <c r="X397" s="5">
        <v>2</v>
      </c>
      <c r="Y397" s="5">
        <v>2</v>
      </c>
      <c r="Z397" s="5">
        <v>7</v>
      </c>
    </row>
    <row r="398" spans="1:26" x14ac:dyDescent="0.35">
      <c r="A398">
        <v>397</v>
      </c>
      <c r="B398" s="10">
        <v>0.76470588235294112</v>
      </c>
      <c r="C398">
        <v>0</v>
      </c>
      <c r="D398">
        <v>0</v>
      </c>
      <c r="E398">
        <v>0</v>
      </c>
      <c r="F398">
        <v>1</v>
      </c>
      <c r="G398">
        <v>0</v>
      </c>
      <c r="H398">
        <v>3</v>
      </c>
      <c r="I398">
        <v>0</v>
      </c>
      <c r="J398" s="10">
        <v>0.2037430880476393</v>
      </c>
      <c r="K398">
        <v>0</v>
      </c>
      <c r="L398">
        <v>0</v>
      </c>
      <c r="M398">
        <v>1</v>
      </c>
      <c r="N398" s="10">
        <v>0.68513494301352962</v>
      </c>
      <c r="O398" s="11">
        <v>0.5193442300426343</v>
      </c>
      <c r="P398" s="10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 s="10">
        <v>3.9436619718309862E-2</v>
      </c>
      <c r="W398" s="5">
        <v>3</v>
      </c>
      <c r="X398" s="5">
        <v>3</v>
      </c>
      <c r="Y398" s="5">
        <v>3</v>
      </c>
      <c r="Z398" s="5">
        <v>9</v>
      </c>
    </row>
    <row r="399" spans="1:26" x14ac:dyDescent="0.35">
      <c r="A399">
        <v>398</v>
      </c>
      <c r="B399" s="10">
        <v>0.5490196078431373</v>
      </c>
      <c r="C399">
        <v>0</v>
      </c>
      <c r="D399">
        <v>0</v>
      </c>
      <c r="E399">
        <v>0</v>
      </c>
      <c r="F399">
        <v>1</v>
      </c>
      <c r="G399">
        <v>0</v>
      </c>
      <c r="H399">
        <v>1</v>
      </c>
      <c r="I399">
        <v>0</v>
      </c>
      <c r="J399" s="10">
        <v>0.46916205869842625</v>
      </c>
      <c r="K399">
        <v>0</v>
      </c>
      <c r="L399">
        <v>0</v>
      </c>
      <c r="M399">
        <v>1</v>
      </c>
      <c r="N399" s="10">
        <v>0.49413548799848345</v>
      </c>
      <c r="O399" s="11">
        <v>0.56276115548937944</v>
      </c>
      <c r="P399" s="10">
        <v>0.625</v>
      </c>
      <c r="Q399">
        <v>1</v>
      </c>
      <c r="R399">
        <v>0</v>
      </c>
      <c r="S399">
        <v>0</v>
      </c>
      <c r="T399">
        <v>0</v>
      </c>
      <c r="U399">
        <v>1</v>
      </c>
      <c r="V399" s="10">
        <v>9.8591549295774641E-2</v>
      </c>
      <c r="W399" s="5">
        <v>2</v>
      </c>
      <c r="X399" s="5">
        <v>2</v>
      </c>
      <c r="Y399" s="5">
        <v>3</v>
      </c>
      <c r="Z399" s="5">
        <v>7</v>
      </c>
    </row>
    <row r="400" spans="1:26" x14ac:dyDescent="0.35">
      <c r="A400">
        <v>399</v>
      </c>
      <c r="B400" s="10">
        <v>0.88235294117647056</v>
      </c>
      <c r="C400">
        <v>1</v>
      </c>
      <c r="D400">
        <v>0</v>
      </c>
      <c r="E400">
        <v>1</v>
      </c>
      <c r="F400">
        <v>0</v>
      </c>
      <c r="G400">
        <v>0</v>
      </c>
      <c r="H400">
        <v>2</v>
      </c>
      <c r="I400">
        <v>0</v>
      </c>
      <c r="J400" s="10">
        <v>0.67333049766056996</v>
      </c>
      <c r="K400">
        <v>0</v>
      </c>
      <c r="L400">
        <v>1</v>
      </c>
      <c r="M400">
        <v>0</v>
      </c>
      <c r="N400" s="10">
        <v>0.16543551406298132</v>
      </c>
      <c r="O400" s="11">
        <v>0.57179218897764539</v>
      </c>
      <c r="P400" s="10">
        <v>0.125</v>
      </c>
      <c r="Q400">
        <v>1</v>
      </c>
      <c r="R400">
        <v>0</v>
      </c>
      <c r="S400">
        <v>0</v>
      </c>
      <c r="T400">
        <v>1</v>
      </c>
      <c r="U400">
        <v>0</v>
      </c>
      <c r="V400" s="10">
        <v>1.1267605633802818E-2</v>
      </c>
      <c r="W400" s="5">
        <v>3</v>
      </c>
      <c r="X400" s="5">
        <v>1</v>
      </c>
      <c r="Y400" s="5">
        <v>1</v>
      </c>
      <c r="Z400" s="5">
        <v>5</v>
      </c>
    </row>
    <row r="401" spans="1:26" x14ac:dyDescent="0.35">
      <c r="A401">
        <v>400</v>
      </c>
      <c r="B401" s="10">
        <v>0.50980392156862742</v>
      </c>
      <c r="C401">
        <v>1</v>
      </c>
      <c r="D401">
        <v>0</v>
      </c>
      <c r="E401">
        <v>0</v>
      </c>
      <c r="F401">
        <v>1</v>
      </c>
      <c r="G401">
        <v>0</v>
      </c>
      <c r="H401">
        <v>3</v>
      </c>
      <c r="I401">
        <v>0</v>
      </c>
      <c r="J401" s="10">
        <v>0.79583156103785624</v>
      </c>
      <c r="K401">
        <v>0</v>
      </c>
      <c r="L401">
        <v>0</v>
      </c>
      <c r="M401">
        <v>1</v>
      </c>
      <c r="N401" s="10">
        <v>0.68124600146908976</v>
      </c>
      <c r="O401" s="11">
        <v>0.5809598784683796</v>
      </c>
      <c r="P401" s="10">
        <v>0.875</v>
      </c>
      <c r="Q401">
        <v>0</v>
      </c>
      <c r="R401">
        <v>0</v>
      </c>
      <c r="S401">
        <v>0</v>
      </c>
      <c r="T401">
        <v>0</v>
      </c>
      <c r="U401">
        <v>0</v>
      </c>
      <c r="V401" s="10">
        <v>0.10422535211267606</v>
      </c>
      <c r="W401" s="5">
        <v>2</v>
      </c>
      <c r="X401" s="5">
        <v>3</v>
      </c>
      <c r="Y401" s="5">
        <v>3</v>
      </c>
      <c r="Z401" s="5">
        <v>8</v>
      </c>
    </row>
    <row r="402" spans="1:26" x14ac:dyDescent="0.35">
      <c r="A402">
        <v>401</v>
      </c>
      <c r="B402" s="10">
        <v>0.19607843137254902</v>
      </c>
      <c r="C402">
        <v>0</v>
      </c>
      <c r="D402">
        <v>0</v>
      </c>
      <c r="E402">
        <v>0</v>
      </c>
      <c r="F402">
        <v>1</v>
      </c>
      <c r="G402">
        <v>0</v>
      </c>
      <c r="H402">
        <v>2</v>
      </c>
      <c r="I402">
        <v>0</v>
      </c>
      <c r="J402" s="10">
        <v>0.57124627817949813</v>
      </c>
      <c r="K402">
        <v>0</v>
      </c>
      <c r="L402">
        <v>1</v>
      </c>
      <c r="M402">
        <v>0</v>
      </c>
      <c r="N402" s="10">
        <v>0.37425064568869515</v>
      </c>
      <c r="O402" s="11">
        <v>0.64053602688182865</v>
      </c>
      <c r="P402" s="10">
        <v>0.375</v>
      </c>
      <c r="Q402">
        <v>2</v>
      </c>
      <c r="R402">
        <v>1</v>
      </c>
      <c r="S402">
        <v>1</v>
      </c>
      <c r="T402">
        <v>0</v>
      </c>
      <c r="U402">
        <v>1</v>
      </c>
      <c r="V402" s="10">
        <v>0.15774647887323945</v>
      </c>
      <c r="W402" s="5">
        <v>2</v>
      </c>
      <c r="X402" s="5">
        <v>2</v>
      </c>
      <c r="Y402" s="5">
        <v>2</v>
      </c>
      <c r="Z402" s="5">
        <v>6</v>
      </c>
    </row>
    <row r="403" spans="1:26" x14ac:dyDescent="0.35">
      <c r="A403">
        <v>402</v>
      </c>
      <c r="B403" s="10">
        <v>0.90196078431372551</v>
      </c>
      <c r="C403">
        <v>1</v>
      </c>
      <c r="D403">
        <v>1</v>
      </c>
      <c r="E403">
        <v>0</v>
      </c>
      <c r="F403">
        <v>0</v>
      </c>
      <c r="G403">
        <v>0</v>
      </c>
      <c r="H403">
        <v>2</v>
      </c>
      <c r="I403">
        <v>1</v>
      </c>
      <c r="J403" s="10">
        <v>0.87749893662271372</v>
      </c>
      <c r="K403">
        <v>1</v>
      </c>
      <c r="L403">
        <v>0</v>
      </c>
      <c r="M403">
        <v>0</v>
      </c>
      <c r="N403" s="10">
        <v>0.17764732364997746</v>
      </c>
      <c r="O403" s="11">
        <v>0.61327189681884942</v>
      </c>
      <c r="P403" s="10">
        <v>0.125</v>
      </c>
      <c r="Q403">
        <v>2</v>
      </c>
      <c r="R403">
        <v>1</v>
      </c>
      <c r="S403">
        <v>0</v>
      </c>
      <c r="T403">
        <v>1</v>
      </c>
      <c r="U403">
        <v>1</v>
      </c>
      <c r="V403" s="10">
        <v>0.52394366197183095</v>
      </c>
      <c r="W403" s="5">
        <v>1</v>
      </c>
      <c r="X403" s="5">
        <v>1</v>
      </c>
      <c r="Y403" s="5">
        <v>1</v>
      </c>
      <c r="Z403" s="5">
        <v>3</v>
      </c>
    </row>
    <row r="404" spans="1:26" x14ac:dyDescent="0.35">
      <c r="A404">
        <v>403</v>
      </c>
      <c r="B404" s="10">
        <v>0.96078431372549022</v>
      </c>
      <c r="C404">
        <v>0</v>
      </c>
      <c r="D404">
        <v>0</v>
      </c>
      <c r="E404">
        <v>0</v>
      </c>
      <c r="F404">
        <v>0</v>
      </c>
      <c r="G404">
        <v>1</v>
      </c>
      <c r="H404">
        <v>3</v>
      </c>
      <c r="I404">
        <v>0</v>
      </c>
      <c r="J404" s="10">
        <v>0.16290940025521056</v>
      </c>
      <c r="K404">
        <v>0</v>
      </c>
      <c r="L404">
        <v>0</v>
      </c>
      <c r="M404">
        <v>1</v>
      </c>
      <c r="N404" s="10">
        <v>0.48455086131317671</v>
      </c>
      <c r="O404" s="11">
        <v>0.47306499412175573</v>
      </c>
      <c r="P404" s="10">
        <v>0.75</v>
      </c>
      <c r="Q404">
        <v>2</v>
      </c>
      <c r="R404">
        <v>0</v>
      </c>
      <c r="S404">
        <v>1</v>
      </c>
      <c r="T404">
        <v>0</v>
      </c>
      <c r="U404">
        <v>1</v>
      </c>
      <c r="V404" s="10">
        <v>3.9436619718309862E-2</v>
      </c>
      <c r="W404" s="5">
        <v>3</v>
      </c>
      <c r="X404" s="5">
        <v>2</v>
      </c>
      <c r="Y404" s="5">
        <v>3</v>
      </c>
      <c r="Z404" s="5">
        <v>8</v>
      </c>
    </row>
    <row r="405" spans="1:26" x14ac:dyDescent="0.35">
      <c r="A405">
        <v>404</v>
      </c>
      <c r="B405" s="10">
        <v>0.52941176470588236</v>
      </c>
      <c r="C405">
        <v>1</v>
      </c>
      <c r="D405">
        <v>0</v>
      </c>
      <c r="E405">
        <v>1</v>
      </c>
      <c r="F405">
        <v>0</v>
      </c>
      <c r="G405">
        <v>0</v>
      </c>
      <c r="H405">
        <v>1</v>
      </c>
      <c r="I405">
        <v>1</v>
      </c>
      <c r="J405" s="10">
        <v>0.55082943428328379</v>
      </c>
      <c r="K405">
        <v>1</v>
      </c>
      <c r="L405">
        <v>0</v>
      </c>
      <c r="M405">
        <v>0</v>
      </c>
      <c r="N405" s="10">
        <v>0.8226014738288745</v>
      </c>
      <c r="O405" s="11">
        <v>0.62310665763451512</v>
      </c>
      <c r="P405" s="10">
        <v>1</v>
      </c>
      <c r="Q405">
        <v>1</v>
      </c>
      <c r="R405">
        <v>0</v>
      </c>
      <c r="S405">
        <v>1</v>
      </c>
      <c r="T405">
        <v>0</v>
      </c>
      <c r="U405">
        <v>0</v>
      </c>
      <c r="V405" s="10">
        <v>3.9436619718309862E-2</v>
      </c>
      <c r="W405" s="5">
        <v>3</v>
      </c>
      <c r="X405" s="5">
        <v>3</v>
      </c>
      <c r="Y405" s="5">
        <v>3</v>
      </c>
      <c r="Z405" s="5">
        <v>9</v>
      </c>
    </row>
    <row r="406" spans="1:26" x14ac:dyDescent="0.35">
      <c r="A406">
        <v>405</v>
      </c>
      <c r="B406" s="10">
        <v>1</v>
      </c>
      <c r="C406">
        <v>0</v>
      </c>
      <c r="D406">
        <v>0</v>
      </c>
      <c r="E406">
        <v>0</v>
      </c>
      <c r="F406">
        <v>1</v>
      </c>
      <c r="G406">
        <v>0</v>
      </c>
      <c r="H406">
        <v>2</v>
      </c>
      <c r="I406">
        <v>0</v>
      </c>
      <c r="J406" s="10">
        <v>0.10165886856656743</v>
      </c>
      <c r="K406">
        <v>0</v>
      </c>
      <c r="L406">
        <v>0</v>
      </c>
      <c r="M406">
        <v>1</v>
      </c>
      <c r="N406" s="10">
        <v>0.14770573182001279</v>
      </c>
      <c r="O406" s="11">
        <v>0.34104643285914538</v>
      </c>
      <c r="P406" s="10">
        <v>0.25</v>
      </c>
      <c r="Q406">
        <v>0</v>
      </c>
      <c r="R406">
        <v>0</v>
      </c>
      <c r="S406">
        <v>0</v>
      </c>
      <c r="T406">
        <v>0</v>
      </c>
      <c r="U406">
        <v>0</v>
      </c>
      <c r="V406" s="10">
        <v>0.20563380281690141</v>
      </c>
      <c r="W406" s="5">
        <v>2</v>
      </c>
      <c r="X406" s="5">
        <v>2</v>
      </c>
      <c r="Y406" s="5">
        <v>1</v>
      </c>
      <c r="Z406" s="5">
        <v>5</v>
      </c>
    </row>
    <row r="407" spans="1:26" x14ac:dyDescent="0.35">
      <c r="A407">
        <v>406</v>
      </c>
      <c r="B407" s="10">
        <v>0.68627450980392157</v>
      </c>
      <c r="C407">
        <v>0</v>
      </c>
      <c r="D407">
        <v>0</v>
      </c>
      <c r="E407">
        <v>1</v>
      </c>
      <c r="F407">
        <v>0</v>
      </c>
      <c r="G407">
        <v>0</v>
      </c>
      <c r="H407">
        <v>3</v>
      </c>
      <c r="I407">
        <v>0</v>
      </c>
      <c r="J407" s="10">
        <v>0.30582730752871118</v>
      </c>
      <c r="K407">
        <v>0</v>
      </c>
      <c r="L407">
        <v>1</v>
      </c>
      <c r="M407">
        <v>0</v>
      </c>
      <c r="N407" s="10">
        <v>0.5947385256972253</v>
      </c>
      <c r="O407" s="11">
        <v>0.50750015090846901</v>
      </c>
      <c r="P407" s="10">
        <v>0.875</v>
      </c>
      <c r="Q407">
        <v>2</v>
      </c>
      <c r="R407">
        <v>1</v>
      </c>
      <c r="S407">
        <v>1</v>
      </c>
      <c r="T407">
        <v>0</v>
      </c>
      <c r="U407">
        <v>0</v>
      </c>
      <c r="V407" s="10">
        <v>0.3183098591549296</v>
      </c>
      <c r="W407" s="5">
        <v>1</v>
      </c>
      <c r="X407" s="5">
        <v>3</v>
      </c>
      <c r="Y407" s="5">
        <v>3</v>
      </c>
      <c r="Z407" s="5">
        <v>7</v>
      </c>
    </row>
    <row r="408" spans="1:26" x14ac:dyDescent="0.35">
      <c r="A408">
        <v>407</v>
      </c>
      <c r="B408" s="10">
        <v>0.80392156862745101</v>
      </c>
      <c r="C408">
        <v>0</v>
      </c>
      <c r="D408">
        <v>0</v>
      </c>
      <c r="E408">
        <v>0</v>
      </c>
      <c r="F408">
        <v>0</v>
      </c>
      <c r="G408">
        <v>1</v>
      </c>
      <c r="H408">
        <v>1</v>
      </c>
      <c r="I408">
        <v>1</v>
      </c>
      <c r="J408" s="10">
        <v>0.97958315610378566</v>
      </c>
      <c r="K408">
        <v>1</v>
      </c>
      <c r="L408">
        <v>0</v>
      </c>
      <c r="M408">
        <v>0</v>
      </c>
      <c r="N408" s="10">
        <v>0.80353884794919783</v>
      </c>
      <c r="O408" s="11">
        <v>0.6087178145770874</v>
      </c>
      <c r="P408" s="10">
        <v>1</v>
      </c>
      <c r="Q408">
        <v>1</v>
      </c>
      <c r="R408">
        <v>1</v>
      </c>
      <c r="S408">
        <v>1</v>
      </c>
      <c r="T408">
        <v>0</v>
      </c>
      <c r="U408">
        <v>0</v>
      </c>
      <c r="V408" s="10">
        <v>6.4788732394366194E-2</v>
      </c>
      <c r="W408" s="5">
        <v>3</v>
      </c>
      <c r="X408" s="5">
        <v>3</v>
      </c>
      <c r="Y408" s="5">
        <v>3</v>
      </c>
      <c r="Z408" s="5">
        <v>9</v>
      </c>
    </row>
    <row r="409" spans="1:26" x14ac:dyDescent="0.35">
      <c r="A409">
        <v>408</v>
      </c>
      <c r="B409" s="10">
        <v>0.35294117647058826</v>
      </c>
      <c r="C409">
        <v>0</v>
      </c>
      <c r="D409">
        <v>0</v>
      </c>
      <c r="E409">
        <v>0</v>
      </c>
      <c r="F409">
        <v>1</v>
      </c>
      <c r="G409">
        <v>0</v>
      </c>
      <c r="H409">
        <v>2</v>
      </c>
      <c r="I409">
        <v>0</v>
      </c>
      <c r="J409" s="10">
        <v>0.44874521480221186</v>
      </c>
      <c r="K409">
        <v>0</v>
      </c>
      <c r="L409">
        <v>0</v>
      </c>
      <c r="M409">
        <v>1</v>
      </c>
      <c r="N409" s="10">
        <v>0.61950572234201351</v>
      </c>
      <c r="O409" s="11">
        <v>0.60403629851707275</v>
      </c>
      <c r="P409" s="10">
        <v>0.75</v>
      </c>
      <c r="Q409">
        <v>2</v>
      </c>
      <c r="R409">
        <v>1</v>
      </c>
      <c r="S409">
        <v>1</v>
      </c>
      <c r="T409">
        <v>0</v>
      </c>
      <c r="U409">
        <v>1</v>
      </c>
      <c r="V409" s="10">
        <v>9.295774647887324E-2</v>
      </c>
      <c r="W409" s="5">
        <v>2</v>
      </c>
      <c r="X409" s="5">
        <v>2</v>
      </c>
      <c r="Y409" s="5">
        <v>3</v>
      </c>
      <c r="Z409" s="5">
        <v>7</v>
      </c>
    </row>
    <row r="410" spans="1:26" x14ac:dyDescent="0.35">
      <c r="A410">
        <v>409</v>
      </c>
      <c r="B410" s="10">
        <v>0.66666666666666663</v>
      </c>
      <c r="C410">
        <v>0</v>
      </c>
      <c r="D410">
        <v>0</v>
      </c>
      <c r="E410">
        <v>0</v>
      </c>
      <c r="F410">
        <v>1</v>
      </c>
      <c r="G410">
        <v>0</v>
      </c>
      <c r="H410">
        <v>2</v>
      </c>
      <c r="I410">
        <v>0</v>
      </c>
      <c r="J410" s="10">
        <v>0.71416418545299876</v>
      </c>
      <c r="K410">
        <v>1</v>
      </c>
      <c r="L410">
        <v>0</v>
      </c>
      <c r="M410">
        <v>0</v>
      </c>
      <c r="N410" s="10">
        <v>0.4487358718574509</v>
      </c>
      <c r="O410" s="11">
        <v>0.34090558495476103</v>
      </c>
      <c r="P410" s="10">
        <v>1</v>
      </c>
      <c r="Q410">
        <v>1</v>
      </c>
      <c r="R410">
        <v>1</v>
      </c>
      <c r="S410">
        <v>0</v>
      </c>
      <c r="T410">
        <v>0</v>
      </c>
      <c r="U410">
        <v>1</v>
      </c>
      <c r="V410" s="10">
        <v>0.13802816901408452</v>
      </c>
      <c r="W410" s="5">
        <v>2</v>
      </c>
      <c r="X410" s="5">
        <v>3</v>
      </c>
      <c r="Y410" s="5">
        <v>2</v>
      </c>
      <c r="Z410" s="5">
        <v>7</v>
      </c>
    </row>
    <row r="411" spans="1:26" x14ac:dyDescent="0.35">
      <c r="A411">
        <v>410</v>
      </c>
      <c r="B411" s="10">
        <v>1</v>
      </c>
      <c r="C411">
        <v>0</v>
      </c>
      <c r="D411">
        <v>0</v>
      </c>
      <c r="E411">
        <v>1</v>
      </c>
      <c r="F411">
        <v>0</v>
      </c>
      <c r="G411">
        <v>0</v>
      </c>
      <c r="H411">
        <v>2</v>
      </c>
      <c r="I411">
        <v>0</v>
      </c>
      <c r="J411" s="10">
        <v>0.61207996597192693</v>
      </c>
      <c r="K411">
        <v>0</v>
      </c>
      <c r="L411">
        <v>0</v>
      </c>
      <c r="M411">
        <v>1</v>
      </c>
      <c r="N411" s="10">
        <v>0.41951993934080517</v>
      </c>
      <c r="O411" s="11">
        <v>0.47827924103100666</v>
      </c>
      <c r="P411" s="10">
        <v>0.625</v>
      </c>
      <c r="Q411">
        <v>1</v>
      </c>
      <c r="R411">
        <v>1</v>
      </c>
      <c r="S411">
        <v>0</v>
      </c>
      <c r="T411">
        <v>1</v>
      </c>
      <c r="U411">
        <v>0</v>
      </c>
      <c r="V411" s="10">
        <v>0.21690140845070421</v>
      </c>
      <c r="W411" s="5">
        <v>2</v>
      </c>
      <c r="X411" s="5">
        <v>2</v>
      </c>
      <c r="Y411" s="5">
        <v>2</v>
      </c>
      <c r="Z411" s="5">
        <v>6</v>
      </c>
    </row>
    <row r="412" spans="1:26" x14ac:dyDescent="0.35">
      <c r="A412">
        <v>411</v>
      </c>
      <c r="B412" s="10">
        <v>0.58823529411764708</v>
      </c>
      <c r="C412">
        <v>0</v>
      </c>
      <c r="D412">
        <v>1</v>
      </c>
      <c r="E412">
        <v>0</v>
      </c>
      <c r="F412">
        <v>0</v>
      </c>
      <c r="G412">
        <v>0</v>
      </c>
      <c r="H412">
        <v>2</v>
      </c>
      <c r="I412">
        <v>1</v>
      </c>
      <c r="J412" s="10">
        <v>0.97958315610378566</v>
      </c>
      <c r="K412">
        <v>0</v>
      </c>
      <c r="L412">
        <v>1</v>
      </c>
      <c r="M412">
        <v>0</v>
      </c>
      <c r="N412" s="10">
        <v>2.287159680591427E-2</v>
      </c>
      <c r="O412" s="11">
        <v>0.17509406627899957</v>
      </c>
      <c r="P412" s="10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 s="10">
        <v>0.72394366197183102</v>
      </c>
      <c r="W412" s="5">
        <v>1</v>
      </c>
      <c r="X412" s="5">
        <v>1</v>
      </c>
      <c r="Y412" s="5">
        <v>1</v>
      </c>
      <c r="Z412" s="5">
        <v>3</v>
      </c>
    </row>
    <row r="413" spans="1:26" x14ac:dyDescent="0.35">
      <c r="A413">
        <v>412</v>
      </c>
      <c r="B413" s="10">
        <v>0.84313725490196079</v>
      </c>
      <c r="C413">
        <v>1</v>
      </c>
      <c r="D413">
        <v>0</v>
      </c>
      <c r="E413">
        <v>0</v>
      </c>
      <c r="F413">
        <v>0</v>
      </c>
      <c r="G413">
        <v>1</v>
      </c>
      <c r="H413">
        <v>1</v>
      </c>
      <c r="I413">
        <v>0</v>
      </c>
      <c r="J413" s="10">
        <v>0.89791578051892806</v>
      </c>
      <c r="K413">
        <v>0</v>
      </c>
      <c r="L413">
        <v>1</v>
      </c>
      <c r="M413">
        <v>0</v>
      </c>
      <c r="N413" s="10">
        <v>5.1850579342700751E-2</v>
      </c>
      <c r="O413" s="11">
        <v>0.37195919434998692</v>
      </c>
      <c r="P413" s="10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 s="10">
        <v>0.89295774647887327</v>
      </c>
      <c r="W413" s="5">
        <v>1</v>
      </c>
      <c r="X413" s="5">
        <v>1</v>
      </c>
      <c r="Y413" s="5">
        <v>1</v>
      </c>
      <c r="Z413" s="5">
        <v>3</v>
      </c>
    </row>
    <row r="414" spans="1:26" x14ac:dyDescent="0.35">
      <c r="A414">
        <v>413</v>
      </c>
      <c r="B414" s="10">
        <v>0.35294117647058826</v>
      </c>
      <c r="C414">
        <v>1</v>
      </c>
      <c r="D414">
        <v>0</v>
      </c>
      <c r="E414">
        <v>0</v>
      </c>
      <c r="F414">
        <v>0</v>
      </c>
      <c r="G414">
        <v>1</v>
      </c>
      <c r="H414">
        <v>2</v>
      </c>
      <c r="I414">
        <v>0</v>
      </c>
      <c r="J414" s="10">
        <v>0.67333049766056996</v>
      </c>
      <c r="K414">
        <v>0</v>
      </c>
      <c r="L414">
        <v>1</v>
      </c>
      <c r="M414">
        <v>0</v>
      </c>
      <c r="N414" s="10">
        <v>0.46880849702627769</v>
      </c>
      <c r="O414" s="11">
        <v>0.640902231433228</v>
      </c>
      <c r="P414" s="10">
        <v>0.5</v>
      </c>
      <c r="Q414">
        <v>2</v>
      </c>
      <c r="R414">
        <v>1</v>
      </c>
      <c r="S414">
        <v>0</v>
      </c>
      <c r="T414">
        <v>1</v>
      </c>
      <c r="U414">
        <v>1</v>
      </c>
      <c r="V414" s="10">
        <v>0.60563380281690138</v>
      </c>
      <c r="W414" s="5">
        <v>1</v>
      </c>
      <c r="X414" s="5">
        <v>2</v>
      </c>
      <c r="Y414" s="5">
        <v>3</v>
      </c>
      <c r="Z414" s="5">
        <v>6</v>
      </c>
    </row>
    <row r="415" spans="1:26" x14ac:dyDescent="0.35">
      <c r="A415">
        <v>414</v>
      </c>
      <c r="B415" s="10">
        <v>0.88235294117647056</v>
      </c>
      <c r="C415">
        <v>1</v>
      </c>
      <c r="D415">
        <v>0</v>
      </c>
      <c r="E415">
        <v>0</v>
      </c>
      <c r="F415">
        <v>0</v>
      </c>
      <c r="G415">
        <v>1</v>
      </c>
      <c r="H415">
        <v>3</v>
      </c>
      <c r="I415">
        <v>0</v>
      </c>
      <c r="J415" s="10">
        <v>0.61207996597192693</v>
      </c>
      <c r="K415">
        <v>0</v>
      </c>
      <c r="L415">
        <v>0</v>
      </c>
      <c r="M415">
        <v>1</v>
      </c>
      <c r="N415" s="10">
        <v>0.44075361941094232</v>
      </c>
      <c r="O415" s="11">
        <v>0.43056054591497955</v>
      </c>
      <c r="P415" s="10">
        <v>0.75</v>
      </c>
      <c r="Q415">
        <v>1</v>
      </c>
      <c r="R415">
        <v>0</v>
      </c>
      <c r="S415">
        <v>0</v>
      </c>
      <c r="T415">
        <v>0</v>
      </c>
      <c r="U415">
        <v>1</v>
      </c>
      <c r="V415" s="10">
        <v>4.788732394366197E-2</v>
      </c>
      <c r="W415" s="5">
        <v>3</v>
      </c>
      <c r="X415" s="5">
        <v>2</v>
      </c>
      <c r="Y415" s="5">
        <v>2</v>
      </c>
      <c r="Z415" s="5">
        <v>7</v>
      </c>
    </row>
    <row r="416" spans="1:26" x14ac:dyDescent="0.35">
      <c r="A416">
        <v>415</v>
      </c>
      <c r="B416" s="10">
        <v>0.45098039215686275</v>
      </c>
      <c r="C416">
        <v>0</v>
      </c>
      <c r="D416">
        <v>0</v>
      </c>
      <c r="E416">
        <v>0</v>
      </c>
      <c r="F416">
        <v>1</v>
      </c>
      <c r="G416">
        <v>0</v>
      </c>
      <c r="H416">
        <v>3</v>
      </c>
      <c r="I416">
        <v>0</v>
      </c>
      <c r="J416" s="10">
        <v>0.7345810293492131</v>
      </c>
      <c r="K416">
        <v>0</v>
      </c>
      <c r="L416">
        <v>0</v>
      </c>
      <c r="M416">
        <v>1</v>
      </c>
      <c r="N416" s="10">
        <v>0.10213728881833044</v>
      </c>
      <c r="O416" s="11">
        <v>0.71357572586973572</v>
      </c>
      <c r="P416" s="10">
        <v>0</v>
      </c>
      <c r="Q416">
        <v>1</v>
      </c>
      <c r="R416">
        <v>0</v>
      </c>
      <c r="S416">
        <v>0</v>
      </c>
      <c r="T416">
        <v>1</v>
      </c>
      <c r="U416">
        <v>0</v>
      </c>
      <c r="V416" s="10">
        <v>0.48732394366197185</v>
      </c>
      <c r="W416" s="5">
        <v>1</v>
      </c>
      <c r="X416" s="5">
        <v>1</v>
      </c>
      <c r="Y416" s="5">
        <v>1</v>
      </c>
      <c r="Z416" s="5">
        <v>3</v>
      </c>
    </row>
    <row r="417" spans="1:26" x14ac:dyDescent="0.35">
      <c r="A417">
        <v>416</v>
      </c>
      <c r="B417" s="10">
        <v>1.9607843137254902E-2</v>
      </c>
      <c r="C417">
        <v>1</v>
      </c>
      <c r="D417">
        <v>0</v>
      </c>
      <c r="E417">
        <v>0</v>
      </c>
      <c r="F417">
        <v>1</v>
      </c>
      <c r="G417">
        <v>0</v>
      </c>
      <c r="H417">
        <v>3</v>
      </c>
      <c r="I417">
        <v>0</v>
      </c>
      <c r="J417" s="10">
        <v>0.32624415142492558</v>
      </c>
      <c r="K417">
        <v>0</v>
      </c>
      <c r="L417">
        <v>0</v>
      </c>
      <c r="M417">
        <v>1</v>
      </c>
      <c r="N417" s="10">
        <v>0.42427671018647961</v>
      </c>
      <c r="O417" s="11">
        <v>0.58039799593553187</v>
      </c>
      <c r="P417" s="10">
        <v>0.5</v>
      </c>
      <c r="Q417">
        <v>2</v>
      </c>
      <c r="R417">
        <v>1</v>
      </c>
      <c r="S417">
        <v>1</v>
      </c>
      <c r="T417">
        <v>0</v>
      </c>
      <c r="U417">
        <v>1</v>
      </c>
      <c r="V417" s="10">
        <v>0.15492957746478872</v>
      </c>
      <c r="W417" s="5">
        <v>2</v>
      </c>
      <c r="X417" s="5">
        <v>2</v>
      </c>
      <c r="Y417" s="5">
        <v>2</v>
      </c>
      <c r="Z417" s="5">
        <v>6</v>
      </c>
    </row>
    <row r="418" spans="1:26" x14ac:dyDescent="0.35">
      <c r="A418">
        <v>417</v>
      </c>
      <c r="B418" s="10">
        <v>0.11764705882352941</v>
      </c>
      <c r="C418">
        <v>1</v>
      </c>
      <c r="D418">
        <v>0</v>
      </c>
      <c r="E418">
        <v>0</v>
      </c>
      <c r="F418">
        <v>1</v>
      </c>
      <c r="G418">
        <v>0</v>
      </c>
      <c r="H418">
        <v>1</v>
      </c>
      <c r="I418">
        <v>0</v>
      </c>
      <c r="J418" s="10">
        <v>0.7754147171416419</v>
      </c>
      <c r="K418">
        <v>0</v>
      </c>
      <c r="L418">
        <v>1</v>
      </c>
      <c r="M418">
        <v>0</v>
      </c>
      <c r="N418" s="10">
        <v>0.25585562637727177</v>
      </c>
      <c r="O418" s="11">
        <v>0.585947403368277</v>
      </c>
      <c r="P418" s="10">
        <v>0.25</v>
      </c>
      <c r="Q418">
        <v>0</v>
      </c>
      <c r="R418">
        <v>0</v>
      </c>
      <c r="S418">
        <v>0</v>
      </c>
      <c r="T418">
        <v>0</v>
      </c>
      <c r="U418">
        <v>0</v>
      </c>
      <c r="V418" s="10">
        <v>0.18309859154929578</v>
      </c>
      <c r="W418" s="5">
        <v>2</v>
      </c>
      <c r="X418" s="5">
        <v>2</v>
      </c>
      <c r="Y418" s="5">
        <v>2</v>
      </c>
      <c r="Z418" s="5">
        <v>6</v>
      </c>
    </row>
    <row r="419" spans="1:26" x14ac:dyDescent="0.35">
      <c r="A419">
        <v>418</v>
      </c>
      <c r="B419" s="10">
        <v>0.82352941176470584</v>
      </c>
      <c r="C419">
        <v>1</v>
      </c>
      <c r="D419">
        <v>0</v>
      </c>
      <c r="E419">
        <v>1</v>
      </c>
      <c r="F419">
        <v>0</v>
      </c>
      <c r="G419">
        <v>0</v>
      </c>
      <c r="H419">
        <v>3</v>
      </c>
      <c r="I419">
        <v>0</v>
      </c>
      <c r="J419" s="10">
        <v>0.46916205869842625</v>
      </c>
      <c r="K419">
        <v>0</v>
      </c>
      <c r="L419">
        <v>0</v>
      </c>
      <c r="M419">
        <v>1</v>
      </c>
      <c r="N419" s="10">
        <v>0.37702296045304834</v>
      </c>
      <c r="O419" s="11">
        <v>0.86032582815214254</v>
      </c>
      <c r="P419" s="10">
        <v>0.25</v>
      </c>
      <c r="Q419">
        <v>2</v>
      </c>
      <c r="R419">
        <v>1</v>
      </c>
      <c r="S419">
        <v>1</v>
      </c>
      <c r="T419">
        <v>1</v>
      </c>
      <c r="U419">
        <v>0</v>
      </c>
      <c r="V419" s="10">
        <v>0.21408450704225351</v>
      </c>
      <c r="W419" s="5">
        <v>2</v>
      </c>
      <c r="X419" s="5">
        <v>2</v>
      </c>
      <c r="Y419" s="5">
        <v>2</v>
      </c>
      <c r="Z419" s="5">
        <v>6</v>
      </c>
    </row>
    <row r="420" spans="1:26" x14ac:dyDescent="0.35">
      <c r="A420">
        <v>419</v>
      </c>
      <c r="B420" s="10">
        <v>0.94117647058823528</v>
      </c>
      <c r="C420">
        <v>1</v>
      </c>
      <c r="D420">
        <v>0</v>
      </c>
      <c r="E420">
        <v>0</v>
      </c>
      <c r="F420">
        <v>0</v>
      </c>
      <c r="G420">
        <v>1</v>
      </c>
      <c r="H420">
        <v>2</v>
      </c>
      <c r="I420">
        <v>1</v>
      </c>
      <c r="J420" s="10">
        <v>0.75499787324542744</v>
      </c>
      <c r="K420">
        <v>0</v>
      </c>
      <c r="L420">
        <v>0</v>
      </c>
      <c r="M420">
        <v>1</v>
      </c>
      <c r="N420" s="10">
        <v>0.36864381679027558</v>
      </c>
      <c r="O420" s="11">
        <v>0.50481096199118702</v>
      </c>
      <c r="P420" s="10">
        <v>0.5</v>
      </c>
      <c r="Q420">
        <v>0</v>
      </c>
      <c r="R420">
        <v>0</v>
      </c>
      <c r="S420">
        <v>0</v>
      </c>
      <c r="T420">
        <v>0</v>
      </c>
      <c r="U420">
        <v>0</v>
      </c>
      <c r="V420" s="10">
        <v>0.14084507042253522</v>
      </c>
      <c r="W420" s="5">
        <v>2</v>
      </c>
      <c r="X420" s="5">
        <v>2</v>
      </c>
      <c r="Y420" s="5">
        <v>2</v>
      </c>
      <c r="Z420" s="5">
        <v>6</v>
      </c>
    </row>
    <row r="421" spans="1:26" x14ac:dyDescent="0.35">
      <c r="A421">
        <v>420</v>
      </c>
      <c r="B421" s="10">
        <v>0.58823529411764708</v>
      </c>
      <c r="C421">
        <v>0</v>
      </c>
      <c r="D421">
        <v>0</v>
      </c>
      <c r="E421">
        <v>0</v>
      </c>
      <c r="F421">
        <v>0</v>
      </c>
      <c r="G421">
        <v>1</v>
      </c>
      <c r="H421">
        <v>2</v>
      </c>
      <c r="I421">
        <v>0</v>
      </c>
      <c r="J421" s="10">
        <v>0.75499787324542744</v>
      </c>
      <c r="K421">
        <v>0</v>
      </c>
      <c r="L421">
        <v>1</v>
      </c>
      <c r="M421">
        <v>0</v>
      </c>
      <c r="N421" s="10">
        <v>0.63109850010662738</v>
      </c>
      <c r="O421" s="11">
        <v>0.53837602366244797</v>
      </c>
      <c r="P421" s="10">
        <v>0.875</v>
      </c>
      <c r="Q421">
        <v>2</v>
      </c>
      <c r="R421">
        <v>0</v>
      </c>
      <c r="S421">
        <v>1</v>
      </c>
      <c r="T421">
        <v>0</v>
      </c>
      <c r="U421">
        <v>1</v>
      </c>
      <c r="V421" s="10">
        <v>0.20563380281690141</v>
      </c>
      <c r="W421" s="5">
        <v>2</v>
      </c>
      <c r="X421" s="5">
        <v>3</v>
      </c>
      <c r="Y421" s="5">
        <v>3</v>
      </c>
      <c r="Z421" s="5">
        <v>8</v>
      </c>
    </row>
    <row r="422" spans="1:26" x14ac:dyDescent="0.35">
      <c r="A422">
        <v>421</v>
      </c>
      <c r="B422" s="10">
        <v>0.31372549019607843</v>
      </c>
      <c r="C422">
        <v>0</v>
      </c>
      <c r="D422">
        <v>0</v>
      </c>
      <c r="E422">
        <v>0</v>
      </c>
      <c r="F422">
        <v>0</v>
      </c>
      <c r="G422">
        <v>1</v>
      </c>
      <c r="H422">
        <v>3</v>
      </c>
      <c r="I422">
        <v>0</v>
      </c>
      <c r="J422" s="10">
        <v>0.57124627817949813</v>
      </c>
      <c r="K422">
        <v>1</v>
      </c>
      <c r="L422">
        <v>0</v>
      </c>
      <c r="M422">
        <v>0</v>
      </c>
      <c r="N422" s="10">
        <v>0.1731571215316447</v>
      </c>
      <c r="O422" s="11">
        <v>0.59802008088693948</v>
      </c>
      <c r="P422" s="10">
        <v>0.125</v>
      </c>
      <c r="Q422">
        <v>1</v>
      </c>
      <c r="R422">
        <v>1</v>
      </c>
      <c r="S422">
        <v>1</v>
      </c>
      <c r="T422">
        <v>0</v>
      </c>
      <c r="U422">
        <v>0</v>
      </c>
      <c r="V422" s="10">
        <v>7.0422535211267609E-2</v>
      </c>
      <c r="W422" s="5">
        <v>3</v>
      </c>
      <c r="X422" s="5">
        <v>1</v>
      </c>
      <c r="Y422" s="5">
        <v>1</v>
      </c>
      <c r="Z422" s="5">
        <v>5</v>
      </c>
    </row>
    <row r="423" spans="1:26" x14ac:dyDescent="0.35">
      <c r="A423">
        <v>422</v>
      </c>
      <c r="B423" s="10">
        <v>0.50980392156862742</v>
      </c>
      <c r="C423">
        <v>1</v>
      </c>
      <c r="D423">
        <v>1</v>
      </c>
      <c r="E423">
        <v>0</v>
      </c>
      <c r="F423">
        <v>0</v>
      </c>
      <c r="G423">
        <v>0</v>
      </c>
      <c r="H423">
        <v>1</v>
      </c>
      <c r="I423">
        <v>1</v>
      </c>
      <c r="J423" s="10">
        <v>0.28541046363249684</v>
      </c>
      <c r="K423">
        <v>1</v>
      </c>
      <c r="L423">
        <v>0</v>
      </c>
      <c r="M423">
        <v>0</v>
      </c>
      <c r="N423" s="10">
        <v>0.52161280003791199</v>
      </c>
      <c r="O423" s="11">
        <v>0.50903294978628488</v>
      </c>
      <c r="P423" s="10">
        <v>0.75</v>
      </c>
      <c r="Q423">
        <v>1</v>
      </c>
      <c r="R423">
        <v>0</v>
      </c>
      <c r="S423">
        <v>0</v>
      </c>
      <c r="T423">
        <v>0</v>
      </c>
      <c r="U423">
        <v>1</v>
      </c>
      <c r="V423" s="10">
        <v>2.5352112676056339E-2</v>
      </c>
      <c r="W423" s="5">
        <v>3</v>
      </c>
      <c r="X423" s="5">
        <v>2</v>
      </c>
      <c r="Y423" s="5">
        <v>3</v>
      </c>
      <c r="Z423" s="5">
        <v>8</v>
      </c>
    </row>
    <row r="424" spans="1:26" x14ac:dyDescent="0.35">
      <c r="A424">
        <v>423</v>
      </c>
      <c r="B424" s="10">
        <v>0.68627450980392157</v>
      </c>
      <c r="C424">
        <v>0</v>
      </c>
      <c r="D424">
        <v>0</v>
      </c>
      <c r="E424">
        <v>0</v>
      </c>
      <c r="F424">
        <v>1</v>
      </c>
      <c r="G424">
        <v>0</v>
      </c>
      <c r="H424">
        <v>1</v>
      </c>
      <c r="I424">
        <v>0</v>
      </c>
      <c r="J424" s="10">
        <v>8.1242024670353047E-2</v>
      </c>
      <c r="K424">
        <v>1</v>
      </c>
      <c r="L424">
        <v>0</v>
      </c>
      <c r="M424">
        <v>0</v>
      </c>
      <c r="N424" s="10">
        <v>0.39086380115157693</v>
      </c>
      <c r="O424" s="11">
        <v>0.53500070423952184</v>
      </c>
      <c r="P424" s="10">
        <v>0.5</v>
      </c>
      <c r="Q424">
        <v>0</v>
      </c>
      <c r="R424">
        <v>0</v>
      </c>
      <c r="S424">
        <v>0</v>
      </c>
      <c r="T424">
        <v>0</v>
      </c>
      <c r="U424">
        <v>0</v>
      </c>
      <c r="V424" s="10">
        <v>9.014084507042254E-2</v>
      </c>
      <c r="W424" s="5">
        <v>2</v>
      </c>
      <c r="X424" s="5">
        <v>2</v>
      </c>
      <c r="Y424" s="5">
        <v>2</v>
      </c>
      <c r="Z424" s="5">
        <v>6</v>
      </c>
    </row>
    <row r="425" spans="1:26" x14ac:dyDescent="0.35">
      <c r="A425">
        <v>424</v>
      </c>
      <c r="B425" s="10">
        <v>0.96078431372549022</v>
      </c>
      <c r="C425">
        <v>0</v>
      </c>
      <c r="D425">
        <v>0</v>
      </c>
      <c r="E425">
        <v>0</v>
      </c>
      <c r="F425">
        <v>0</v>
      </c>
      <c r="G425">
        <v>1</v>
      </c>
      <c r="H425">
        <v>2</v>
      </c>
      <c r="I425">
        <v>0</v>
      </c>
      <c r="J425" s="10">
        <v>0.79583156103785624</v>
      </c>
      <c r="K425">
        <v>0</v>
      </c>
      <c r="L425">
        <v>1</v>
      </c>
      <c r="M425">
        <v>0</v>
      </c>
      <c r="N425" s="10">
        <v>0.28303971281662438</v>
      </c>
      <c r="O425" s="11">
        <v>0.27750199055456704</v>
      </c>
      <c r="P425" s="10">
        <v>0.75</v>
      </c>
      <c r="Q425">
        <v>1</v>
      </c>
      <c r="R425">
        <v>1</v>
      </c>
      <c r="S425">
        <v>0</v>
      </c>
      <c r="T425">
        <v>1</v>
      </c>
      <c r="U425">
        <v>0</v>
      </c>
      <c r="V425" s="10">
        <v>0.24225352112676057</v>
      </c>
      <c r="W425" s="5">
        <v>1</v>
      </c>
      <c r="X425" s="5">
        <v>2</v>
      </c>
      <c r="Y425" s="5">
        <v>2</v>
      </c>
      <c r="Z425" s="5">
        <v>5</v>
      </c>
    </row>
    <row r="426" spans="1:26" x14ac:dyDescent="0.35">
      <c r="A426">
        <v>425</v>
      </c>
      <c r="B426" s="10">
        <v>0.82352941176470584</v>
      </c>
      <c r="C426">
        <v>0</v>
      </c>
      <c r="D426">
        <v>0</v>
      </c>
      <c r="E426">
        <v>0</v>
      </c>
      <c r="F426">
        <v>0</v>
      </c>
      <c r="G426">
        <v>1</v>
      </c>
      <c r="H426">
        <v>2</v>
      </c>
      <c r="I426">
        <v>0</v>
      </c>
      <c r="J426" s="10">
        <v>0.67333049766056996</v>
      </c>
      <c r="K426">
        <v>0</v>
      </c>
      <c r="L426">
        <v>1</v>
      </c>
      <c r="M426">
        <v>0</v>
      </c>
      <c r="N426" s="10">
        <v>0.52091379759732714</v>
      </c>
      <c r="O426" s="11">
        <v>0.39538689577925779</v>
      </c>
      <c r="P426" s="10">
        <v>1</v>
      </c>
      <c r="Q426">
        <v>2</v>
      </c>
      <c r="R426">
        <v>1</v>
      </c>
      <c r="S426">
        <v>1</v>
      </c>
      <c r="T426">
        <v>1</v>
      </c>
      <c r="U426">
        <v>0</v>
      </c>
      <c r="V426" s="10">
        <v>0.25070422535211268</v>
      </c>
      <c r="W426" s="5">
        <v>1</v>
      </c>
      <c r="X426" s="5">
        <v>3</v>
      </c>
      <c r="Y426" s="5">
        <v>3</v>
      </c>
      <c r="Z426" s="5">
        <v>7</v>
      </c>
    </row>
    <row r="427" spans="1:26" x14ac:dyDescent="0.35">
      <c r="A427">
        <v>426</v>
      </c>
      <c r="B427" s="10">
        <v>0.17647058823529413</v>
      </c>
      <c r="C427">
        <v>0</v>
      </c>
      <c r="D427">
        <v>0</v>
      </c>
      <c r="E427">
        <v>0</v>
      </c>
      <c r="F427">
        <v>1</v>
      </c>
      <c r="G427">
        <v>0</v>
      </c>
      <c r="H427">
        <v>3</v>
      </c>
      <c r="I427">
        <v>0</v>
      </c>
      <c r="J427" s="10">
        <v>0.63249680986814127</v>
      </c>
      <c r="K427">
        <v>0</v>
      </c>
      <c r="L427">
        <v>1</v>
      </c>
      <c r="M427">
        <v>0</v>
      </c>
      <c r="N427" s="10">
        <v>0.4312874677155652</v>
      </c>
      <c r="O427" s="11">
        <v>0.42137381321268313</v>
      </c>
      <c r="P427" s="10">
        <v>0.75</v>
      </c>
      <c r="Q427">
        <v>0</v>
      </c>
      <c r="R427">
        <v>0</v>
      </c>
      <c r="S427">
        <v>0</v>
      </c>
      <c r="T427">
        <v>0</v>
      </c>
      <c r="U427">
        <v>0</v>
      </c>
      <c r="V427" s="10">
        <v>0.11267605633802817</v>
      </c>
      <c r="W427" s="5">
        <v>2</v>
      </c>
      <c r="X427" s="5">
        <v>2</v>
      </c>
      <c r="Y427" s="5">
        <v>2</v>
      </c>
      <c r="Z427" s="5">
        <v>6</v>
      </c>
    </row>
    <row r="428" spans="1:26" x14ac:dyDescent="0.35">
      <c r="A428">
        <v>427</v>
      </c>
      <c r="B428" s="10">
        <v>0.86274509803921573</v>
      </c>
      <c r="C428">
        <v>0</v>
      </c>
      <c r="D428">
        <v>0</v>
      </c>
      <c r="E428">
        <v>0</v>
      </c>
      <c r="F428">
        <v>1</v>
      </c>
      <c r="G428">
        <v>0</v>
      </c>
      <c r="H428">
        <v>1</v>
      </c>
      <c r="I428">
        <v>0</v>
      </c>
      <c r="J428" s="10">
        <v>0.26499361973628244</v>
      </c>
      <c r="K428">
        <v>0</v>
      </c>
      <c r="L428">
        <v>0</v>
      </c>
      <c r="M428">
        <v>1</v>
      </c>
      <c r="N428" s="10">
        <v>0.15157690211596328</v>
      </c>
      <c r="O428" s="11">
        <v>0.34981253814630742</v>
      </c>
      <c r="P428" s="10">
        <v>0.25</v>
      </c>
      <c r="Q428">
        <v>2</v>
      </c>
      <c r="R428">
        <v>0</v>
      </c>
      <c r="S428">
        <v>0</v>
      </c>
      <c r="T428">
        <v>1</v>
      </c>
      <c r="U428">
        <v>1</v>
      </c>
      <c r="V428" s="10">
        <v>7.8873239436619724E-2</v>
      </c>
      <c r="W428" s="5">
        <v>3</v>
      </c>
      <c r="X428" s="5">
        <v>2</v>
      </c>
      <c r="Y428" s="5">
        <v>1</v>
      </c>
      <c r="Z428" s="5">
        <v>6</v>
      </c>
    </row>
    <row r="429" spans="1:26" x14ac:dyDescent="0.35">
      <c r="A429">
        <v>428</v>
      </c>
      <c r="B429" s="10">
        <v>0.25490196078431371</v>
      </c>
      <c r="C429">
        <v>1</v>
      </c>
      <c r="D429">
        <v>0</v>
      </c>
      <c r="E429">
        <v>0</v>
      </c>
      <c r="F429">
        <v>0</v>
      </c>
      <c r="G429">
        <v>1</v>
      </c>
      <c r="H429">
        <v>3</v>
      </c>
      <c r="I429">
        <v>0</v>
      </c>
      <c r="J429" s="10">
        <v>0.7345810293492131</v>
      </c>
      <c r="K429">
        <v>1</v>
      </c>
      <c r="L429">
        <v>0</v>
      </c>
      <c r="M429">
        <v>0</v>
      </c>
      <c r="N429" s="10">
        <v>0.71213835509323964</v>
      </c>
      <c r="O429" s="11">
        <v>0.60719280065997294</v>
      </c>
      <c r="P429" s="10">
        <v>0.875</v>
      </c>
      <c r="Q429">
        <v>2</v>
      </c>
      <c r="R429">
        <v>1</v>
      </c>
      <c r="S429">
        <v>1</v>
      </c>
      <c r="T429">
        <v>0</v>
      </c>
      <c r="U429">
        <v>1</v>
      </c>
      <c r="V429" s="10">
        <v>0.57183098591549297</v>
      </c>
      <c r="W429" s="5">
        <v>1</v>
      </c>
      <c r="X429" s="5">
        <v>3</v>
      </c>
      <c r="Y429" s="5">
        <v>3</v>
      </c>
      <c r="Z429" s="5">
        <v>7</v>
      </c>
    </row>
    <row r="430" spans="1:26" x14ac:dyDescent="0.35">
      <c r="A430">
        <v>429</v>
      </c>
      <c r="B430" s="10">
        <v>0.11764705882352941</v>
      </c>
      <c r="C430">
        <v>0</v>
      </c>
      <c r="D430">
        <v>0</v>
      </c>
      <c r="E430">
        <v>1</v>
      </c>
      <c r="F430">
        <v>0</v>
      </c>
      <c r="G430">
        <v>0</v>
      </c>
      <c r="H430">
        <v>2</v>
      </c>
      <c r="I430">
        <v>0</v>
      </c>
      <c r="J430" s="10">
        <v>0.2037430880476393</v>
      </c>
      <c r="K430">
        <v>1</v>
      </c>
      <c r="L430">
        <v>0</v>
      </c>
      <c r="M430">
        <v>0</v>
      </c>
      <c r="N430" s="10">
        <v>0.40032402909745757</v>
      </c>
      <c r="O430" s="11">
        <v>0.54785408157105775</v>
      </c>
      <c r="P430" s="10">
        <v>0.5</v>
      </c>
      <c r="Q430">
        <v>2</v>
      </c>
      <c r="R430">
        <v>1</v>
      </c>
      <c r="S430">
        <v>1</v>
      </c>
      <c r="T430">
        <v>0</v>
      </c>
      <c r="U430">
        <v>0</v>
      </c>
      <c r="V430" s="10">
        <v>3.0985915492957747E-2</v>
      </c>
      <c r="W430" s="5">
        <v>3</v>
      </c>
      <c r="X430" s="5">
        <v>2</v>
      </c>
      <c r="Y430" s="5">
        <v>2</v>
      </c>
      <c r="Z430" s="5">
        <v>7</v>
      </c>
    </row>
    <row r="431" spans="1:26" x14ac:dyDescent="0.35">
      <c r="A431">
        <v>430</v>
      </c>
      <c r="B431" s="10">
        <v>0.74509803921568629</v>
      </c>
      <c r="C431">
        <v>1</v>
      </c>
      <c r="D431">
        <v>0</v>
      </c>
      <c r="E431">
        <v>1</v>
      </c>
      <c r="F431">
        <v>0</v>
      </c>
      <c r="G431">
        <v>0</v>
      </c>
      <c r="H431">
        <v>2</v>
      </c>
      <c r="I431">
        <v>0</v>
      </c>
      <c r="J431" s="10">
        <v>0.9591663122075712</v>
      </c>
      <c r="K431">
        <v>0</v>
      </c>
      <c r="L431">
        <v>0</v>
      </c>
      <c r="M431">
        <v>1</v>
      </c>
      <c r="N431" s="10">
        <v>4.1223372746013308E-2</v>
      </c>
      <c r="O431" s="11">
        <v>0.29976458278838608</v>
      </c>
      <c r="P431" s="10">
        <v>0</v>
      </c>
      <c r="Q431">
        <v>2</v>
      </c>
      <c r="R431">
        <v>1</v>
      </c>
      <c r="S431">
        <v>0</v>
      </c>
      <c r="T431">
        <v>1</v>
      </c>
      <c r="U431">
        <v>1</v>
      </c>
      <c r="V431" s="10">
        <v>0.10985915492957747</v>
      </c>
      <c r="W431" s="5">
        <v>2</v>
      </c>
      <c r="X431" s="5">
        <v>1</v>
      </c>
      <c r="Y431" s="5">
        <v>1</v>
      </c>
      <c r="Z431" s="5">
        <v>4</v>
      </c>
    </row>
    <row r="432" spans="1:26" x14ac:dyDescent="0.35">
      <c r="A432">
        <v>431</v>
      </c>
      <c r="B432" s="10">
        <v>0.76470588235294112</v>
      </c>
      <c r="C432">
        <v>0</v>
      </c>
      <c r="D432">
        <v>0</v>
      </c>
      <c r="E432">
        <v>1</v>
      </c>
      <c r="F432">
        <v>0</v>
      </c>
      <c r="G432">
        <v>0</v>
      </c>
      <c r="H432">
        <v>3</v>
      </c>
      <c r="I432">
        <v>0</v>
      </c>
      <c r="J432" s="10">
        <v>0.63249680986814127</v>
      </c>
      <c r="K432">
        <v>0</v>
      </c>
      <c r="L432">
        <v>1</v>
      </c>
      <c r="M432">
        <v>0</v>
      </c>
      <c r="N432" s="10">
        <v>6.6366727483828158E-2</v>
      </c>
      <c r="O432" s="11">
        <v>0.23528642427413027</v>
      </c>
      <c r="P432" s="10">
        <v>0.125</v>
      </c>
      <c r="Q432">
        <v>1</v>
      </c>
      <c r="R432">
        <v>0</v>
      </c>
      <c r="S432">
        <v>0</v>
      </c>
      <c r="T432">
        <v>0</v>
      </c>
      <c r="U432">
        <v>1</v>
      </c>
      <c r="V432" s="10">
        <v>6.1971830985915494E-2</v>
      </c>
      <c r="W432" s="5">
        <v>3</v>
      </c>
      <c r="X432" s="5">
        <v>1</v>
      </c>
      <c r="Y432" s="5">
        <v>1</v>
      </c>
      <c r="Z432" s="5">
        <v>5</v>
      </c>
    </row>
    <row r="433" spans="1:26" x14ac:dyDescent="0.35">
      <c r="A433">
        <v>432</v>
      </c>
      <c r="B433" s="10">
        <v>0.15686274509803921</v>
      </c>
      <c r="C433">
        <v>1</v>
      </c>
      <c r="D433">
        <v>0</v>
      </c>
      <c r="E433">
        <v>1</v>
      </c>
      <c r="F433">
        <v>0</v>
      </c>
      <c r="G433">
        <v>0</v>
      </c>
      <c r="H433">
        <v>1</v>
      </c>
      <c r="I433">
        <v>0</v>
      </c>
      <c r="J433" s="10">
        <v>0.53041259038706934</v>
      </c>
      <c r="K433">
        <v>1</v>
      </c>
      <c r="L433">
        <v>0</v>
      </c>
      <c r="M433">
        <v>0</v>
      </c>
      <c r="N433" s="10">
        <v>0.54044736156197415</v>
      </c>
      <c r="O433" s="11">
        <v>0.52731155843894517</v>
      </c>
      <c r="P433" s="10">
        <v>0.75</v>
      </c>
      <c r="Q433">
        <v>0</v>
      </c>
      <c r="R433">
        <v>0</v>
      </c>
      <c r="S433">
        <v>0</v>
      </c>
      <c r="T433">
        <v>0</v>
      </c>
      <c r="U433">
        <v>0</v>
      </c>
      <c r="V433" s="10">
        <v>8.7323943661971826E-2</v>
      </c>
      <c r="W433" s="5">
        <v>2</v>
      </c>
      <c r="X433" s="5">
        <v>2</v>
      </c>
      <c r="Y433" s="5">
        <v>3</v>
      </c>
      <c r="Z433" s="5">
        <v>7</v>
      </c>
    </row>
    <row r="434" spans="1:26" x14ac:dyDescent="0.35">
      <c r="A434">
        <v>433</v>
      </c>
      <c r="B434" s="10">
        <v>0.25490196078431371</v>
      </c>
      <c r="C434">
        <v>1</v>
      </c>
      <c r="D434">
        <v>1</v>
      </c>
      <c r="E434">
        <v>0</v>
      </c>
      <c r="F434">
        <v>0</v>
      </c>
      <c r="G434">
        <v>0</v>
      </c>
      <c r="H434">
        <v>2</v>
      </c>
      <c r="I434">
        <v>1</v>
      </c>
      <c r="J434" s="10">
        <v>0.28541046363249684</v>
      </c>
      <c r="K434">
        <v>1</v>
      </c>
      <c r="L434">
        <v>0</v>
      </c>
      <c r="M434">
        <v>0</v>
      </c>
      <c r="N434" s="10">
        <v>0.38286081558183066</v>
      </c>
      <c r="O434" s="11">
        <v>0.52412724602104666</v>
      </c>
      <c r="P434" s="10">
        <v>0.5</v>
      </c>
      <c r="Q434">
        <v>0</v>
      </c>
      <c r="R434">
        <v>0</v>
      </c>
      <c r="S434">
        <v>0</v>
      </c>
      <c r="T434">
        <v>0</v>
      </c>
      <c r="U434">
        <v>0</v>
      </c>
      <c r="V434" s="10">
        <v>0.23661971830985915</v>
      </c>
      <c r="W434" s="5">
        <v>1</v>
      </c>
      <c r="X434" s="5">
        <v>2</v>
      </c>
      <c r="Y434" s="5">
        <v>2</v>
      </c>
      <c r="Z434" s="5">
        <v>5</v>
      </c>
    </row>
    <row r="435" spans="1:26" x14ac:dyDescent="0.35">
      <c r="A435">
        <v>434</v>
      </c>
      <c r="B435" s="10">
        <v>0.13725490196078433</v>
      </c>
      <c r="C435">
        <v>0</v>
      </c>
      <c r="D435">
        <v>0</v>
      </c>
      <c r="E435">
        <v>1</v>
      </c>
      <c r="F435">
        <v>0</v>
      </c>
      <c r="G435">
        <v>0</v>
      </c>
      <c r="H435">
        <v>2</v>
      </c>
      <c r="I435">
        <v>0</v>
      </c>
      <c r="J435" s="10">
        <v>8.1242024670353047E-2</v>
      </c>
      <c r="K435">
        <v>1</v>
      </c>
      <c r="L435">
        <v>0</v>
      </c>
      <c r="M435">
        <v>0</v>
      </c>
      <c r="N435" s="10">
        <v>9.2973248347273871E-3</v>
      </c>
      <c r="O435" s="11">
        <v>8.2878931165617009E-2</v>
      </c>
      <c r="P435" s="10">
        <v>0</v>
      </c>
      <c r="Q435">
        <v>2</v>
      </c>
      <c r="R435">
        <v>1</v>
      </c>
      <c r="S435">
        <v>0</v>
      </c>
      <c r="T435">
        <v>0</v>
      </c>
      <c r="U435">
        <v>1</v>
      </c>
      <c r="V435" s="10">
        <v>0.60563380281690138</v>
      </c>
      <c r="W435" s="5">
        <v>1</v>
      </c>
      <c r="X435" s="5">
        <v>1</v>
      </c>
      <c r="Y435" s="5">
        <v>1</v>
      </c>
      <c r="Z435" s="5">
        <v>3</v>
      </c>
    </row>
    <row r="436" spans="1:26" x14ac:dyDescent="0.35">
      <c r="A436">
        <v>435</v>
      </c>
      <c r="B436" s="10">
        <v>0.31372549019607843</v>
      </c>
      <c r="C436">
        <v>1</v>
      </c>
      <c r="D436">
        <v>0</v>
      </c>
      <c r="E436">
        <v>0</v>
      </c>
      <c r="F436">
        <v>0</v>
      </c>
      <c r="G436">
        <v>1</v>
      </c>
      <c r="H436">
        <v>1</v>
      </c>
      <c r="I436">
        <v>0</v>
      </c>
      <c r="J436" s="10">
        <v>0.67333049766056996</v>
      </c>
      <c r="K436">
        <v>0</v>
      </c>
      <c r="L436">
        <v>0</v>
      </c>
      <c r="M436">
        <v>1</v>
      </c>
      <c r="N436" s="10">
        <v>0.14177013482453851</v>
      </c>
      <c r="O436" s="11">
        <v>0.98281655566510384</v>
      </c>
      <c r="P436" s="10">
        <v>0</v>
      </c>
      <c r="Q436">
        <v>1</v>
      </c>
      <c r="R436">
        <v>0</v>
      </c>
      <c r="S436">
        <v>1</v>
      </c>
      <c r="T436">
        <v>0</v>
      </c>
      <c r="U436">
        <v>0</v>
      </c>
      <c r="V436" s="10">
        <v>0.94084507042253518</v>
      </c>
      <c r="W436" s="5">
        <v>1</v>
      </c>
      <c r="X436" s="5">
        <v>1</v>
      </c>
      <c r="Y436" s="5">
        <v>1</v>
      </c>
      <c r="Z436" s="5">
        <v>3</v>
      </c>
    </row>
    <row r="437" spans="1:26" x14ac:dyDescent="0.35">
      <c r="A437">
        <v>436</v>
      </c>
      <c r="B437" s="10">
        <v>0.43137254901960786</v>
      </c>
      <c r="C437">
        <v>0</v>
      </c>
      <c r="D437">
        <v>0</v>
      </c>
      <c r="E437">
        <v>0</v>
      </c>
      <c r="F437">
        <v>0</v>
      </c>
      <c r="G437">
        <v>1</v>
      </c>
      <c r="H437">
        <v>2</v>
      </c>
      <c r="I437">
        <v>0</v>
      </c>
      <c r="J437" s="10">
        <v>0.9591663122075712</v>
      </c>
      <c r="K437">
        <v>0</v>
      </c>
      <c r="L437">
        <v>1</v>
      </c>
      <c r="M437">
        <v>0</v>
      </c>
      <c r="N437" s="10">
        <v>0.1582203871762671</v>
      </c>
      <c r="O437" s="11">
        <v>0.36485643574317395</v>
      </c>
      <c r="P437" s="10">
        <v>0.25</v>
      </c>
      <c r="Q437">
        <v>2</v>
      </c>
      <c r="R437">
        <v>1</v>
      </c>
      <c r="S437">
        <v>0</v>
      </c>
      <c r="T437">
        <v>0</v>
      </c>
      <c r="U437">
        <v>1</v>
      </c>
      <c r="V437" s="10">
        <v>0.3352112676056338</v>
      </c>
      <c r="W437" s="5">
        <v>1</v>
      </c>
      <c r="X437" s="5">
        <v>2</v>
      </c>
      <c r="Y437" s="5">
        <v>1</v>
      </c>
      <c r="Z437" s="5">
        <v>4</v>
      </c>
    </row>
    <row r="438" spans="1:26" x14ac:dyDescent="0.35">
      <c r="A438">
        <v>437</v>
      </c>
      <c r="B438" s="10">
        <v>0.29411764705882354</v>
      </c>
      <c r="C438">
        <v>1</v>
      </c>
      <c r="D438">
        <v>0</v>
      </c>
      <c r="E438">
        <v>0</v>
      </c>
      <c r="F438">
        <v>0</v>
      </c>
      <c r="G438">
        <v>1</v>
      </c>
      <c r="H438">
        <v>1</v>
      </c>
      <c r="I438">
        <v>0</v>
      </c>
      <c r="J438" s="10">
        <v>0.26499361973628244</v>
      </c>
      <c r="K438">
        <v>0</v>
      </c>
      <c r="L438">
        <v>1</v>
      </c>
      <c r="M438">
        <v>0</v>
      </c>
      <c r="N438" s="10">
        <v>0.50008589436769901</v>
      </c>
      <c r="O438" s="11">
        <v>0.4271237851868247</v>
      </c>
      <c r="P438" s="10">
        <v>0.875</v>
      </c>
      <c r="Q438">
        <v>0</v>
      </c>
      <c r="R438">
        <v>0</v>
      </c>
      <c r="S438">
        <v>0</v>
      </c>
      <c r="T438">
        <v>0</v>
      </c>
      <c r="U438">
        <v>0</v>
      </c>
      <c r="V438" s="10">
        <v>0.10985915492957747</v>
      </c>
      <c r="W438" s="5">
        <v>2</v>
      </c>
      <c r="X438" s="5">
        <v>3</v>
      </c>
      <c r="Y438" s="5">
        <v>3</v>
      </c>
      <c r="Z438" s="5">
        <v>8</v>
      </c>
    </row>
    <row r="439" spans="1:26" x14ac:dyDescent="0.35">
      <c r="A439">
        <v>438</v>
      </c>
      <c r="B439" s="10">
        <v>0.49019607843137253</v>
      </c>
      <c r="C439">
        <v>1</v>
      </c>
      <c r="D439">
        <v>0</v>
      </c>
      <c r="E439">
        <v>1</v>
      </c>
      <c r="F439">
        <v>0</v>
      </c>
      <c r="G439">
        <v>0</v>
      </c>
      <c r="H439">
        <v>1</v>
      </c>
      <c r="I439">
        <v>0</v>
      </c>
      <c r="J439" s="10">
        <v>0.97958315610378566</v>
      </c>
      <c r="K439">
        <v>0</v>
      </c>
      <c r="L439">
        <v>1</v>
      </c>
      <c r="M439">
        <v>0</v>
      </c>
      <c r="N439" s="10">
        <v>0.62827583347155402</v>
      </c>
      <c r="O439" s="11">
        <v>0.61254753616772961</v>
      </c>
      <c r="P439" s="10">
        <v>0.75</v>
      </c>
      <c r="Q439">
        <v>1</v>
      </c>
      <c r="R439">
        <v>0</v>
      </c>
      <c r="S439">
        <v>1</v>
      </c>
      <c r="T439">
        <v>0</v>
      </c>
      <c r="U439">
        <v>0</v>
      </c>
      <c r="V439" s="10">
        <v>7.0422535211267609E-2</v>
      </c>
      <c r="W439" s="5">
        <v>3</v>
      </c>
      <c r="X439" s="5">
        <v>2</v>
      </c>
      <c r="Y439" s="5">
        <v>3</v>
      </c>
      <c r="Z439" s="5">
        <v>8</v>
      </c>
    </row>
    <row r="440" spans="1:26" x14ac:dyDescent="0.35">
      <c r="A440">
        <v>439</v>
      </c>
      <c r="B440" s="10">
        <v>0.15686274509803921</v>
      </c>
      <c r="C440">
        <v>0</v>
      </c>
      <c r="D440">
        <v>0</v>
      </c>
      <c r="E440">
        <v>0</v>
      </c>
      <c r="F440">
        <v>1</v>
      </c>
      <c r="G440">
        <v>0</v>
      </c>
      <c r="H440">
        <v>2</v>
      </c>
      <c r="I440">
        <v>0</v>
      </c>
      <c r="J440" s="10">
        <v>0.83666524883028492</v>
      </c>
      <c r="K440">
        <v>0</v>
      </c>
      <c r="L440">
        <v>0</v>
      </c>
      <c r="M440">
        <v>1</v>
      </c>
      <c r="N440" s="10">
        <v>0.40392270691656984</v>
      </c>
      <c r="O440" s="11">
        <v>0.39481679711865425</v>
      </c>
      <c r="P440" s="10">
        <v>0.75</v>
      </c>
      <c r="Q440">
        <v>2</v>
      </c>
      <c r="R440">
        <v>1</v>
      </c>
      <c r="S440">
        <v>1</v>
      </c>
      <c r="T440">
        <v>1</v>
      </c>
      <c r="U440">
        <v>0</v>
      </c>
      <c r="V440" s="10">
        <v>0.10985915492957747</v>
      </c>
      <c r="W440" s="5">
        <v>2</v>
      </c>
      <c r="X440" s="5">
        <v>2</v>
      </c>
      <c r="Y440" s="5">
        <v>2</v>
      </c>
      <c r="Z440" s="5">
        <v>6</v>
      </c>
    </row>
    <row r="441" spans="1:26" x14ac:dyDescent="0.35">
      <c r="A441">
        <v>440</v>
      </c>
      <c r="B441" s="10">
        <v>0.68627450980392157</v>
      </c>
      <c r="C441">
        <v>1</v>
      </c>
      <c r="D441">
        <v>0</v>
      </c>
      <c r="E441">
        <v>0</v>
      </c>
      <c r="F441">
        <v>0</v>
      </c>
      <c r="G441">
        <v>1</v>
      </c>
      <c r="H441">
        <v>3</v>
      </c>
      <c r="I441">
        <v>0</v>
      </c>
      <c r="J441" s="10">
        <v>0.6937473415567843</v>
      </c>
      <c r="K441">
        <v>0</v>
      </c>
      <c r="L441">
        <v>0</v>
      </c>
      <c r="M441">
        <v>1</v>
      </c>
      <c r="N441" s="10">
        <v>0.56595798876857095</v>
      </c>
      <c r="O441" s="11">
        <v>0.48306052435662689</v>
      </c>
      <c r="P441" s="10">
        <v>0.875</v>
      </c>
      <c r="Q441">
        <v>2</v>
      </c>
      <c r="R441">
        <v>1</v>
      </c>
      <c r="S441">
        <v>0</v>
      </c>
      <c r="T441">
        <v>1</v>
      </c>
      <c r="U441">
        <v>1</v>
      </c>
      <c r="V441" s="10">
        <v>6.7605633802816895E-2</v>
      </c>
      <c r="W441" s="5">
        <v>3</v>
      </c>
      <c r="X441" s="5">
        <v>3</v>
      </c>
      <c r="Y441" s="5">
        <v>3</v>
      </c>
      <c r="Z441" s="5">
        <v>9</v>
      </c>
    </row>
    <row r="442" spans="1:26" x14ac:dyDescent="0.35">
      <c r="A442">
        <v>441</v>
      </c>
      <c r="B442" s="10">
        <v>0.11764705882352941</v>
      </c>
      <c r="C442">
        <v>0</v>
      </c>
      <c r="D442">
        <v>0</v>
      </c>
      <c r="E442">
        <v>1</v>
      </c>
      <c r="F442">
        <v>0</v>
      </c>
      <c r="G442">
        <v>0</v>
      </c>
      <c r="H442">
        <v>2</v>
      </c>
      <c r="I442">
        <v>1</v>
      </c>
      <c r="J442" s="10">
        <v>0.87749893662271372</v>
      </c>
      <c r="K442">
        <v>1</v>
      </c>
      <c r="L442">
        <v>0</v>
      </c>
      <c r="M442">
        <v>0</v>
      </c>
      <c r="N442" s="10">
        <v>0.75544392578726638</v>
      </c>
      <c r="O442" s="11">
        <v>0.64396667941004859</v>
      </c>
      <c r="P442" s="10">
        <v>0.875</v>
      </c>
      <c r="Q442">
        <v>1</v>
      </c>
      <c r="R442">
        <v>1</v>
      </c>
      <c r="S442">
        <v>1</v>
      </c>
      <c r="T442">
        <v>0</v>
      </c>
      <c r="U442">
        <v>0</v>
      </c>
      <c r="V442" s="10">
        <v>0</v>
      </c>
      <c r="W442" s="5">
        <v>3</v>
      </c>
      <c r="X442" s="5">
        <v>3</v>
      </c>
      <c r="Y442" s="5">
        <v>3</v>
      </c>
      <c r="Z442" s="5">
        <v>9</v>
      </c>
    </row>
    <row r="443" spans="1:26" x14ac:dyDescent="0.35">
      <c r="A443">
        <v>442</v>
      </c>
      <c r="B443" s="10">
        <v>0.33333333333333331</v>
      </c>
      <c r="C443">
        <v>1</v>
      </c>
      <c r="D443">
        <v>1</v>
      </c>
      <c r="E443">
        <v>0</v>
      </c>
      <c r="F443">
        <v>0</v>
      </c>
      <c r="G443">
        <v>0</v>
      </c>
      <c r="H443">
        <v>2</v>
      </c>
      <c r="I443">
        <v>0</v>
      </c>
      <c r="J443" s="10">
        <v>0.71416418545299876</v>
      </c>
      <c r="K443">
        <v>1</v>
      </c>
      <c r="L443">
        <v>0</v>
      </c>
      <c r="M443">
        <v>0</v>
      </c>
      <c r="N443" s="10">
        <v>0.11928950548539202</v>
      </c>
      <c r="O443" s="11">
        <v>0.83009718505402519</v>
      </c>
      <c r="P443" s="10">
        <v>0</v>
      </c>
      <c r="Q443">
        <v>1</v>
      </c>
      <c r="R443">
        <v>0</v>
      </c>
      <c r="S443">
        <v>0</v>
      </c>
      <c r="T443">
        <v>1</v>
      </c>
      <c r="U443">
        <v>0</v>
      </c>
      <c r="V443" s="10">
        <v>0.26197183098591548</v>
      </c>
      <c r="W443" s="5">
        <v>1</v>
      </c>
      <c r="X443" s="5">
        <v>1</v>
      </c>
      <c r="Y443" s="5">
        <v>1</v>
      </c>
      <c r="Z443" s="5">
        <v>3</v>
      </c>
    </row>
    <row r="444" spans="1:26" x14ac:dyDescent="0.35">
      <c r="A444">
        <v>443</v>
      </c>
      <c r="B444" s="10">
        <v>0.13725490196078433</v>
      </c>
      <c r="C444">
        <v>0</v>
      </c>
      <c r="D444">
        <v>1</v>
      </c>
      <c r="E444">
        <v>0</v>
      </c>
      <c r="F444">
        <v>0</v>
      </c>
      <c r="G444">
        <v>0</v>
      </c>
      <c r="H444">
        <v>2</v>
      </c>
      <c r="I444">
        <v>0</v>
      </c>
      <c r="J444" s="10">
        <v>0.57124627817949813</v>
      </c>
      <c r="K444">
        <v>0</v>
      </c>
      <c r="L444">
        <v>1</v>
      </c>
      <c r="M444">
        <v>0</v>
      </c>
      <c r="N444" s="10">
        <v>0.32753595715944361</v>
      </c>
      <c r="O444" s="11">
        <v>0.44895873156401533</v>
      </c>
      <c r="P444" s="10">
        <v>0.5</v>
      </c>
      <c r="Q444">
        <v>0</v>
      </c>
      <c r="R444">
        <v>0</v>
      </c>
      <c r="S444">
        <v>0</v>
      </c>
      <c r="T444">
        <v>0</v>
      </c>
      <c r="U444">
        <v>0</v>
      </c>
      <c r="V444" s="10">
        <v>0.3436619718309859</v>
      </c>
      <c r="W444" s="5">
        <v>1</v>
      </c>
      <c r="X444" s="5">
        <v>2</v>
      </c>
      <c r="Y444" s="5">
        <v>2</v>
      </c>
      <c r="Z444" s="5">
        <v>5</v>
      </c>
    </row>
    <row r="445" spans="1:26" x14ac:dyDescent="0.35">
      <c r="A445">
        <v>444</v>
      </c>
      <c r="B445" s="10">
        <v>0.39215686274509803</v>
      </c>
      <c r="C445">
        <v>1</v>
      </c>
      <c r="D445">
        <v>0</v>
      </c>
      <c r="E445">
        <v>0</v>
      </c>
      <c r="F445">
        <v>0</v>
      </c>
      <c r="G445">
        <v>1</v>
      </c>
      <c r="H445">
        <v>2</v>
      </c>
      <c r="I445">
        <v>0</v>
      </c>
      <c r="J445" s="10">
        <v>0.63249680986814127</v>
      </c>
      <c r="K445">
        <v>1</v>
      </c>
      <c r="L445">
        <v>0</v>
      </c>
      <c r="M445">
        <v>0</v>
      </c>
      <c r="N445" s="10">
        <v>0.11187297111579744</v>
      </c>
      <c r="O445" s="11">
        <v>0.38985693877140382</v>
      </c>
      <c r="P445" s="10">
        <v>0.125</v>
      </c>
      <c r="Q445">
        <v>0</v>
      </c>
      <c r="R445">
        <v>0</v>
      </c>
      <c r="S445">
        <v>0</v>
      </c>
      <c r="T445">
        <v>0</v>
      </c>
      <c r="U445">
        <v>0</v>
      </c>
      <c r="V445" s="10">
        <v>5.9154929577464786E-2</v>
      </c>
      <c r="W445" s="5">
        <v>3</v>
      </c>
      <c r="X445" s="5">
        <v>1</v>
      </c>
      <c r="Y445" s="5">
        <v>1</v>
      </c>
      <c r="Z445" s="5">
        <v>5</v>
      </c>
    </row>
    <row r="446" spans="1:26" x14ac:dyDescent="0.35">
      <c r="A446">
        <v>445</v>
      </c>
      <c r="B446" s="10">
        <v>0.49019607843137253</v>
      </c>
      <c r="C446">
        <v>1</v>
      </c>
      <c r="D446">
        <v>0</v>
      </c>
      <c r="E446">
        <v>0</v>
      </c>
      <c r="F446">
        <v>1</v>
      </c>
      <c r="G446">
        <v>0</v>
      </c>
      <c r="H446">
        <v>3</v>
      </c>
      <c r="I446">
        <v>0</v>
      </c>
      <c r="J446" s="10">
        <v>0.61207996597192693</v>
      </c>
      <c r="K446">
        <v>0</v>
      </c>
      <c r="L446">
        <v>0</v>
      </c>
      <c r="M446">
        <v>1</v>
      </c>
      <c r="N446" s="10">
        <v>0.29401345875885598</v>
      </c>
      <c r="O446" s="11">
        <v>0.40341254351194195</v>
      </c>
      <c r="P446" s="10">
        <v>0.5</v>
      </c>
      <c r="Q446">
        <v>2</v>
      </c>
      <c r="R446">
        <v>1</v>
      </c>
      <c r="S446">
        <v>0</v>
      </c>
      <c r="T446">
        <v>1</v>
      </c>
      <c r="U446">
        <v>1</v>
      </c>
      <c r="V446" s="10">
        <v>0.18309859154929578</v>
      </c>
      <c r="W446" s="5">
        <v>2</v>
      </c>
      <c r="X446" s="5">
        <v>2</v>
      </c>
      <c r="Y446" s="5">
        <v>2</v>
      </c>
      <c r="Z446" s="5">
        <v>6</v>
      </c>
    </row>
    <row r="447" spans="1:26" x14ac:dyDescent="0.35">
      <c r="A447">
        <v>446</v>
      </c>
      <c r="B447" s="10">
        <v>3.9215686274509803E-2</v>
      </c>
      <c r="C447">
        <v>0</v>
      </c>
      <c r="D447">
        <v>1</v>
      </c>
      <c r="E447">
        <v>0</v>
      </c>
      <c r="F447">
        <v>0</v>
      </c>
      <c r="G447">
        <v>0</v>
      </c>
      <c r="H447">
        <v>3</v>
      </c>
      <c r="I447">
        <v>0</v>
      </c>
      <c r="J447" s="10">
        <v>0.65291365376435562</v>
      </c>
      <c r="K447">
        <v>1</v>
      </c>
      <c r="L447">
        <v>0</v>
      </c>
      <c r="M447">
        <v>0</v>
      </c>
      <c r="N447" s="10">
        <v>0.44639302893159255</v>
      </c>
      <c r="O447" s="11">
        <v>0.50870574189956874</v>
      </c>
      <c r="P447" s="10">
        <v>0.625</v>
      </c>
      <c r="Q447">
        <v>2</v>
      </c>
      <c r="R447">
        <v>1</v>
      </c>
      <c r="S447">
        <v>0</v>
      </c>
      <c r="T447">
        <v>1</v>
      </c>
      <c r="U447">
        <v>1</v>
      </c>
      <c r="V447" s="10">
        <v>0.30985915492957744</v>
      </c>
      <c r="W447" s="5">
        <v>1</v>
      </c>
      <c r="X447" s="5">
        <v>2</v>
      </c>
      <c r="Y447" s="5">
        <v>2</v>
      </c>
      <c r="Z447" s="5">
        <v>5</v>
      </c>
    </row>
    <row r="448" spans="1:26" x14ac:dyDescent="0.35">
      <c r="A448">
        <v>447</v>
      </c>
      <c r="B448" s="10">
        <v>0.31372549019607843</v>
      </c>
      <c r="C448">
        <v>0</v>
      </c>
      <c r="D448">
        <v>0</v>
      </c>
      <c r="E448">
        <v>1</v>
      </c>
      <c r="F448">
        <v>0</v>
      </c>
      <c r="G448">
        <v>0</v>
      </c>
      <c r="H448">
        <v>3</v>
      </c>
      <c r="I448">
        <v>0</v>
      </c>
      <c r="J448" s="10">
        <v>0.26499361973628244</v>
      </c>
      <c r="K448">
        <v>0</v>
      </c>
      <c r="L448">
        <v>1</v>
      </c>
      <c r="M448">
        <v>0</v>
      </c>
      <c r="N448" s="10">
        <v>4.7357415349619687E-2</v>
      </c>
      <c r="O448" s="11">
        <v>0.34143544135696896</v>
      </c>
      <c r="P448" s="10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 s="10">
        <v>2.8169014084507044E-3</v>
      </c>
      <c r="W448" s="5">
        <v>3</v>
      </c>
      <c r="X448" s="5">
        <v>1</v>
      </c>
      <c r="Y448" s="5">
        <v>1</v>
      </c>
      <c r="Z448" s="5">
        <v>5</v>
      </c>
    </row>
    <row r="449" spans="1:26" x14ac:dyDescent="0.35">
      <c r="A449">
        <v>448</v>
      </c>
      <c r="B449" s="10">
        <v>0.98039215686274506</v>
      </c>
      <c r="C449">
        <v>1</v>
      </c>
      <c r="D449">
        <v>0</v>
      </c>
      <c r="E449">
        <v>1</v>
      </c>
      <c r="F449">
        <v>0</v>
      </c>
      <c r="G449">
        <v>0</v>
      </c>
      <c r="H449">
        <v>1</v>
      </c>
      <c r="I449">
        <v>0</v>
      </c>
      <c r="J449" s="10">
        <v>0.83666524883028492</v>
      </c>
      <c r="K449">
        <v>1</v>
      </c>
      <c r="L449">
        <v>0</v>
      </c>
      <c r="M449">
        <v>0</v>
      </c>
      <c r="N449" s="10">
        <v>0.42983614908892726</v>
      </c>
      <c r="O449" s="11">
        <v>0.41996533416883919</v>
      </c>
      <c r="P449" s="10">
        <v>0.75</v>
      </c>
      <c r="Q449">
        <v>0</v>
      </c>
      <c r="R449">
        <v>0</v>
      </c>
      <c r="S449">
        <v>0</v>
      </c>
      <c r="T449">
        <v>0</v>
      </c>
      <c r="U449">
        <v>0</v>
      </c>
      <c r="V449" s="10">
        <v>6.7605633802816895E-2</v>
      </c>
      <c r="W449" s="5">
        <v>3</v>
      </c>
      <c r="X449" s="5">
        <v>2</v>
      </c>
      <c r="Y449" s="5">
        <v>2</v>
      </c>
      <c r="Z449" s="5">
        <v>7</v>
      </c>
    </row>
    <row r="450" spans="1:26" x14ac:dyDescent="0.35">
      <c r="A450">
        <v>449</v>
      </c>
      <c r="B450" s="10">
        <v>0.88235294117647056</v>
      </c>
      <c r="C450">
        <v>0</v>
      </c>
      <c r="D450">
        <v>1</v>
      </c>
      <c r="E450">
        <v>0</v>
      </c>
      <c r="F450">
        <v>0</v>
      </c>
      <c r="G450">
        <v>0</v>
      </c>
      <c r="H450">
        <v>3</v>
      </c>
      <c r="I450">
        <v>0</v>
      </c>
      <c r="J450" s="10">
        <v>0.6937473415567843</v>
      </c>
      <c r="K450">
        <v>1</v>
      </c>
      <c r="L450">
        <v>0</v>
      </c>
      <c r="M450">
        <v>0</v>
      </c>
      <c r="N450" s="10">
        <v>0.42972359784849412</v>
      </c>
      <c r="O450" s="11">
        <v>0.58779854725447189</v>
      </c>
      <c r="P450" s="10">
        <v>0.5</v>
      </c>
      <c r="Q450">
        <v>2</v>
      </c>
      <c r="R450">
        <v>1</v>
      </c>
      <c r="S450">
        <v>1</v>
      </c>
      <c r="T450">
        <v>1</v>
      </c>
      <c r="U450">
        <v>0</v>
      </c>
      <c r="V450" s="10">
        <v>0.25070422535211268</v>
      </c>
      <c r="W450" s="5">
        <v>1</v>
      </c>
      <c r="X450" s="5">
        <v>2</v>
      </c>
      <c r="Y450" s="5">
        <v>2</v>
      </c>
      <c r="Z450" s="5">
        <v>5</v>
      </c>
    </row>
    <row r="451" spans="1:26" x14ac:dyDescent="0.35">
      <c r="A451">
        <v>450</v>
      </c>
      <c r="B451" s="10">
        <v>0.45098039215686275</v>
      </c>
      <c r="C451">
        <v>1</v>
      </c>
      <c r="D451">
        <v>0</v>
      </c>
      <c r="E451">
        <v>0</v>
      </c>
      <c r="F451">
        <v>0</v>
      </c>
      <c r="G451">
        <v>1</v>
      </c>
      <c r="H451">
        <v>1</v>
      </c>
      <c r="I451">
        <v>1</v>
      </c>
      <c r="J451" s="10">
        <v>0.16290940025521056</v>
      </c>
      <c r="K451">
        <v>0</v>
      </c>
      <c r="L451">
        <v>1</v>
      </c>
      <c r="M451">
        <v>0</v>
      </c>
      <c r="N451" s="10">
        <v>0.44956223491221003</v>
      </c>
      <c r="O451" s="11">
        <v>0.6147528119278054</v>
      </c>
      <c r="P451" s="10">
        <v>0.5</v>
      </c>
      <c r="Q451">
        <v>0</v>
      </c>
      <c r="R451">
        <v>0</v>
      </c>
      <c r="S451">
        <v>0</v>
      </c>
      <c r="T451">
        <v>0</v>
      </c>
      <c r="U451">
        <v>0</v>
      </c>
      <c r="V451" s="10">
        <v>3.9436619718309862E-2</v>
      </c>
      <c r="W451" s="5">
        <v>3</v>
      </c>
      <c r="X451" s="5">
        <v>2</v>
      </c>
      <c r="Y451" s="5">
        <v>2</v>
      </c>
      <c r="Z451" s="5">
        <v>7</v>
      </c>
    </row>
    <row r="452" spans="1:26" x14ac:dyDescent="0.35">
      <c r="A452">
        <v>451</v>
      </c>
      <c r="B452" s="10">
        <v>0.47058823529411764</v>
      </c>
      <c r="C452">
        <v>1</v>
      </c>
      <c r="D452">
        <v>0</v>
      </c>
      <c r="E452">
        <v>0</v>
      </c>
      <c r="F452">
        <v>0</v>
      </c>
      <c r="G452">
        <v>1</v>
      </c>
      <c r="H452">
        <v>2</v>
      </c>
      <c r="I452">
        <v>0</v>
      </c>
      <c r="J452" s="10">
        <v>0.85708209272649938</v>
      </c>
      <c r="K452">
        <v>1</v>
      </c>
      <c r="L452">
        <v>0</v>
      </c>
      <c r="M452">
        <v>0</v>
      </c>
      <c r="N452" s="10">
        <v>0.10504584982110275</v>
      </c>
      <c r="O452" s="11">
        <v>0.36666733737097323</v>
      </c>
      <c r="P452" s="10">
        <v>0.125</v>
      </c>
      <c r="Q452">
        <v>2</v>
      </c>
      <c r="R452">
        <v>1</v>
      </c>
      <c r="S452">
        <v>1</v>
      </c>
      <c r="T452">
        <v>1</v>
      </c>
      <c r="U452">
        <v>0</v>
      </c>
      <c r="V452" s="10">
        <v>0.38309859154929576</v>
      </c>
      <c r="W452" s="5">
        <v>1</v>
      </c>
      <c r="X452" s="5">
        <v>1</v>
      </c>
      <c r="Y452" s="5">
        <v>1</v>
      </c>
      <c r="Z452" s="5">
        <v>3</v>
      </c>
    </row>
    <row r="453" spans="1:26" x14ac:dyDescent="0.35">
      <c r="A453">
        <v>452</v>
      </c>
      <c r="B453" s="10">
        <v>7.8431372549019607E-2</v>
      </c>
      <c r="C453">
        <v>1</v>
      </c>
      <c r="D453">
        <v>1</v>
      </c>
      <c r="E453">
        <v>0</v>
      </c>
      <c r="F453">
        <v>0</v>
      </c>
      <c r="G453">
        <v>0</v>
      </c>
      <c r="H453">
        <v>3</v>
      </c>
      <c r="I453">
        <v>0</v>
      </c>
      <c r="J453" s="10">
        <v>0.509995746490855</v>
      </c>
      <c r="K453">
        <v>0</v>
      </c>
      <c r="L453">
        <v>0</v>
      </c>
      <c r="M453">
        <v>1</v>
      </c>
      <c r="N453" s="10">
        <v>0.6906144112977749</v>
      </c>
      <c r="O453" s="11">
        <v>0.58891526992494814</v>
      </c>
      <c r="P453" s="10">
        <v>0.875</v>
      </c>
      <c r="Q453">
        <v>1</v>
      </c>
      <c r="R453">
        <v>1</v>
      </c>
      <c r="S453">
        <v>1</v>
      </c>
      <c r="T453">
        <v>0</v>
      </c>
      <c r="U453">
        <v>0</v>
      </c>
      <c r="V453" s="10">
        <v>6.4788732394366194E-2</v>
      </c>
      <c r="W453" s="5">
        <v>3</v>
      </c>
      <c r="X453" s="5">
        <v>3</v>
      </c>
      <c r="Y453" s="5">
        <v>3</v>
      </c>
      <c r="Z453" s="5">
        <v>9</v>
      </c>
    </row>
    <row r="454" spans="1:26" x14ac:dyDescent="0.35">
      <c r="A454">
        <v>453</v>
      </c>
      <c r="B454" s="10">
        <v>0.70588235294117652</v>
      </c>
      <c r="C454">
        <v>0</v>
      </c>
      <c r="D454">
        <v>0</v>
      </c>
      <c r="E454">
        <v>1</v>
      </c>
      <c r="F454">
        <v>0</v>
      </c>
      <c r="G454">
        <v>0</v>
      </c>
      <c r="H454">
        <v>3</v>
      </c>
      <c r="I454">
        <v>0</v>
      </c>
      <c r="J454" s="10">
        <v>0.67333049766056996</v>
      </c>
      <c r="K454">
        <v>0</v>
      </c>
      <c r="L454">
        <v>0</v>
      </c>
      <c r="M454">
        <v>1</v>
      </c>
      <c r="N454" s="10">
        <v>9.9738170272255525E-2</v>
      </c>
      <c r="O454" s="11">
        <v>0.69727761121954168</v>
      </c>
      <c r="P454" s="10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 s="10">
        <v>0.43380281690140843</v>
      </c>
      <c r="W454" s="5">
        <v>1</v>
      </c>
      <c r="X454" s="5">
        <v>1</v>
      </c>
      <c r="Y454" s="5">
        <v>1</v>
      </c>
      <c r="Z454" s="5">
        <v>3</v>
      </c>
    </row>
    <row r="455" spans="1:26" x14ac:dyDescent="0.35">
      <c r="A455">
        <v>454</v>
      </c>
      <c r="B455" s="10">
        <v>0.86274509803921573</v>
      </c>
      <c r="C455">
        <v>0</v>
      </c>
      <c r="D455">
        <v>0</v>
      </c>
      <c r="E455">
        <v>0</v>
      </c>
      <c r="F455">
        <v>1</v>
      </c>
      <c r="G455">
        <v>0</v>
      </c>
      <c r="H455">
        <v>3</v>
      </c>
      <c r="I455">
        <v>0</v>
      </c>
      <c r="J455" s="10">
        <v>0.2037430880476393</v>
      </c>
      <c r="K455">
        <v>0</v>
      </c>
      <c r="L455">
        <v>0</v>
      </c>
      <c r="M455">
        <v>1</v>
      </c>
      <c r="N455" s="10">
        <v>0.13715849584152784</v>
      </c>
      <c r="O455" s="11">
        <v>0.47574397875208757</v>
      </c>
      <c r="P455" s="10">
        <v>0.125</v>
      </c>
      <c r="Q455">
        <v>0</v>
      </c>
      <c r="R455">
        <v>0</v>
      </c>
      <c r="S455">
        <v>0</v>
      </c>
      <c r="T455">
        <v>0</v>
      </c>
      <c r="U455">
        <v>0</v>
      </c>
      <c r="V455" s="10">
        <v>1.4084507042253521E-2</v>
      </c>
      <c r="W455" s="5">
        <v>3</v>
      </c>
      <c r="X455" s="5">
        <v>1</v>
      </c>
      <c r="Y455" s="5">
        <v>1</v>
      </c>
      <c r="Z455" s="5">
        <v>5</v>
      </c>
    </row>
    <row r="456" spans="1:26" x14ac:dyDescent="0.35">
      <c r="A456">
        <v>455</v>
      </c>
      <c r="B456" s="10">
        <v>0.96078431372549022</v>
      </c>
      <c r="C456">
        <v>0</v>
      </c>
      <c r="D456">
        <v>0</v>
      </c>
      <c r="E456">
        <v>1</v>
      </c>
      <c r="F456">
        <v>0</v>
      </c>
      <c r="G456">
        <v>0</v>
      </c>
      <c r="H456">
        <v>3</v>
      </c>
      <c r="I456">
        <v>0</v>
      </c>
      <c r="J456" s="10">
        <v>0.81624840493407058</v>
      </c>
      <c r="K456">
        <v>0</v>
      </c>
      <c r="L456">
        <v>1</v>
      </c>
      <c r="M456">
        <v>0</v>
      </c>
      <c r="N456" s="10">
        <v>0.16467727412743169</v>
      </c>
      <c r="O456" s="11">
        <v>0.37947778962688716</v>
      </c>
      <c r="P456" s="10">
        <v>0.25</v>
      </c>
      <c r="Q456">
        <v>2</v>
      </c>
      <c r="R456">
        <v>0</v>
      </c>
      <c r="S456">
        <v>1</v>
      </c>
      <c r="T456">
        <v>0</v>
      </c>
      <c r="U456">
        <v>1</v>
      </c>
      <c r="V456" s="10">
        <v>3.6619718309859155E-2</v>
      </c>
      <c r="W456" s="5">
        <v>3</v>
      </c>
      <c r="X456" s="5">
        <v>2</v>
      </c>
      <c r="Y456" s="5">
        <v>1</v>
      </c>
      <c r="Z456" s="5">
        <v>6</v>
      </c>
    </row>
    <row r="457" spans="1:26" x14ac:dyDescent="0.35">
      <c r="A457">
        <v>456</v>
      </c>
      <c r="B457" s="10">
        <v>0.45098039215686275</v>
      </c>
      <c r="C457">
        <v>1</v>
      </c>
      <c r="D457">
        <v>0</v>
      </c>
      <c r="E457">
        <v>0</v>
      </c>
      <c r="F457">
        <v>1</v>
      </c>
      <c r="G457">
        <v>0</v>
      </c>
      <c r="H457">
        <v>3</v>
      </c>
      <c r="I457">
        <v>0</v>
      </c>
      <c r="J457" s="10">
        <v>0.6937473415567843</v>
      </c>
      <c r="K457">
        <v>1</v>
      </c>
      <c r="L457">
        <v>0</v>
      </c>
      <c r="M457">
        <v>0</v>
      </c>
      <c r="N457" s="10">
        <v>0.70853967727412737</v>
      </c>
      <c r="O457" s="11">
        <v>0.53701058147827707</v>
      </c>
      <c r="P457" s="10">
        <v>1</v>
      </c>
      <c r="Q457">
        <v>1</v>
      </c>
      <c r="R457">
        <v>1</v>
      </c>
      <c r="S457">
        <v>1</v>
      </c>
      <c r="T457">
        <v>0</v>
      </c>
      <c r="U457">
        <v>0</v>
      </c>
      <c r="V457" s="10">
        <v>0.10704225352112676</v>
      </c>
      <c r="W457" s="5">
        <v>2</v>
      </c>
      <c r="X457" s="5">
        <v>3</v>
      </c>
      <c r="Y457" s="5">
        <v>3</v>
      </c>
      <c r="Z457" s="5">
        <v>8</v>
      </c>
    </row>
    <row r="458" spans="1:26" x14ac:dyDescent="0.35">
      <c r="A458">
        <v>457</v>
      </c>
      <c r="B458" s="10">
        <v>0.58823529411764708</v>
      </c>
      <c r="C458">
        <v>1</v>
      </c>
      <c r="D458">
        <v>0</v>
      </c>
      <c r="E458">
        <v>0</v>
      </c>
      <c r="F458">
        <v>1</v>
      </c>
      <c r="G458">
        <v>0</v>
      </c>
      <c r="H458">
        <v>2</v>
      </c>
      <c r="I458">
        <v>0</v>
      </c>
      <c r="J458" s="10">
        <v>0.89791578051892806</v>
      </c>
      <c r="K458">
        <v>0</v>
      </c>
      <c r="L458">
        <v>1</v>
      </c>
      <c r="M458">
        <v>0</v>
      </c>
      <c r="N458" s="10">
        <v>0.50959943605904801</v>
      </c>
      <c r="O458" s="11">
        <v>0.43520241855972958</v>
      </c>
      <c r="P458" s="10">
        <v>0.875</v>
      </c>
      <c r="Q458">
        <v>2</v>
      </c>
      <c r="R458">
        <v>1</v>
      </c>
      <c r="S458">
        <v>1</v>
      </c>
      <c r="T458">
        <v>0</v>
      </c>
      <c r="U458">
        <v>1</v>
      </c>
      <c r="V458" s="10">
        <v>0.20845070422535211</v>
      </c>
      <c r="W458" s="5">
        <v>2</v>
      </c>
      <c r="X458" s="5">
        <v>3</v>
      </c>
      <c r="Y458" s="5">
        <v>3</v>
      </c>
      <c r="Z458" s="5">
        <v>8</v>
      </c>
    </row>
    <row r="459" spans="1:26" x14ac:dyDescent="0.35">
      <c r="A459">
        <v>458</v>
      </c>
      <c r="B459" s="10">
        <v>0.49019607843137253</v>
      </c>
      <c r="C459">
        <v>1</v>
      </c>
      <c r="D459">
        <v>1</v>
      </c>
      <c r="E459">
        <v>0</v>
      </c>
      <c r="F459">
        <v>0</v>
      </c>
      <c r="G459">
        <v>0</v>
      </c>
      <c r="H459">
        <v>3</v>
      </c>
      <c r="I459">
        <v>0</v>
      </c>
      <c r="J459" s="10">
        <v>0.67333049766056996</v>
      </c>
      <c r="K459">
        <v>0</v>
      </c>
      <c r="L459">
        <v>1</v>
      </c>
      <c r="M459">
        <v>0</v>
      </c>
      <c r="N459" s="10">
        <v>0.81669253370613459</v>
      </c>
      <c r="O459" s="11">
        <v>0.61864647399567618</v>
      </c>
      <c r="P459" s="10">
        <v>1</v>
      </c>
      <c r="Q459">
        <v>0</v>
      </c>
      <c r="R459">
        <v>0</v>
      </c>
      <c r="S459">
        <v>0</v>
      </c>
      <c r="T459">
        <v>0</v>
      </c>
      <c r="U459">
        <v>0</v>
      </c>
      <c r="V459" s="10">
        <v>0.26197183098591548</v>
      </c>
      <c r="W459" s="5">
        <v>1</v>
      </c>
      <c r="X459" s="5">
        <v>3</v>
      </c>
      <c r="Y459" s="5">
        <v>3</v>
      </c>
      <c r="Z459" s="5">
        <v>7</v>
      </c>
    </row>
    <row r="460" spans="1:26" x14ac:dyDescent="0.35">
      <c r="A460">
        <v>459</v>
      </c>
      <c r="B460" s="10">
        <v>0.39215686274509803</v>
      </c>
      <c r="C460">
        <v>0</v>
      </c>
      <c r="D460">
        <v>0</v>
      </c>
      <c r="E460">
        <v>0</v>
      </c>
      <c r="F460">
        <v>0</v>
      </c>
      <c r="G460">
        <v>1</v>
      </c>
      <c r="H460">
        <v>1</v>
      </c>
      <c r="I460">
        <v>0</v>
      </c>
      <c r="J460" s="10">
        <v>0.10165886856656743</v>
      </c>
      <c r="K460">
        <v>1</v>
      </c>
      <c r="L460">
        <v>0</v>
      </c>
      <c r="M460">
        <v>0</v>
      </c>
      <c r="N460" s="10">
        <v>1.5718669288913106E-2</v>
      </c>
      <c r="O460" s="11">
        <v>0.12650153926638363</v>
      </c>
      <c r="P460" s="10">
        <v>0</v>
      </c>
      <c r="Q460">
        <v>1</v>
      </c>
      <c r="R460">
        <v>1</v>
      </c>
      <c r="S460">
        <v>0</v>
      </c>
      <c r="T460">
        <v>0</v>
      </c>
      <c r="U460">
        <v>1</v>
      </c>
      <c r="V460" s="10">
        <v>0.27605633802816903</v>
      </c>
      <c r="W460" s="5">
        <v>1</v>
      </c>
      <c r="X460" s="5">
        <v>1</v>
      </c>
      <c r="Y460" s="5">
        <v>1</v>
      </c>
      <c r="Z460" s="5">
        <v>3</v>
      </c>
    </row>
    <row r="461" spans="1:26" x14ac:dyDescent="0.35">
      <c r="A461">
        <v>460</v>
      </c>
      <c r="B461" s="10">
        <v>0.6470588235294118</v>
      </c>
      <c r="C461">
        <v>1</v>
      </c>
      <c r="D461">
        <v>0</v>
      </c>
      <c r="E461">
        <v>0</v>
      </c>
      <c r="F461">
        <v>1</v>
      </c>
      <c r="G461">
        <v>0</v>
      </c>
      <c r="H461">
        <v>1</v>
      </c>
      <c r="I461">
        <v>0</v>
      </c>
      <c r="J461" s="10">
        <v>0.91833262441514252</v>
      </c>
      <c r="K461">
        <v>0</v>
      </c>
      <c r="L461">
        <v>0</v>
      </c>
      <c r="M461">
        <v>1</v>
      </c>
      <c r="N461" s="10">
        <v>9.6829609269483211E-2</v>
      </c>
      <c r="O461" s="11">
        <v>0.67751866234733094</v>
      </c>
      <c r="P461" s="10">
        <v>0</v>
      </c>
      <c r="Q461">
        <v>2</v>
      </c>
      <c r="R461">
        <v>1</v>
      </c>
      <c r="S461">
        <v>0</v>
      </c>
      <c r="T461">
        <v>0</v>
      </c>
      <c r="U461">
        <v>1</v>
      </c>
      <c r="V461" s="10">
        <v>0.6788732394366197</v>
      </c>
      <c r="W461" s="5">
        <v>1</v>
      </c>
      <c r="X461" s="5">
        <v>1</v>
      </c>
      <c r="Y461" s="5">
        <v>1</v>
      </c>
      <c r="Z461" s="5">
        <v>3</v>
      </c>
    </row>
    <row r="462" spans="1:26" x14ac:dyDescent="0.35">
      <c r="A462">
        <v>461</v>
      </c>
      <c r="B462" s="10">
        <v>0.72549019607843135</v>
      </c>
      <c r="C462">
        <v>0</v>
      </c>
      <c r="D462">
        <v>0</v>
      </c>
      <c r="E462">
        <v>1</v>
      </c>
      <c r="F462">
        <v>0</v>
      </c>
      <c r="G462">
        <v>0</v>
      </c>
      <c r="H462">
        <v>3</v>
      </c>
      <c r="I462">
        <v>0</v>
      </c>
      <c r="J462" s="10">
        <v>0.55082943428328379</v>
      </c>
      <c r="K462">
        <v>0</v>
      </c>
      <c r="L462">
        <v>0</v>
      </c>
      <c r="M462">
        <v>1</v>
      </c>
      <c r="N462" s="10">
        <v>0.1303432220458261</v>
      </c>
      <c r="O462" s="11">
        <v>0.90518923922010508</v>
      </c>
      <c r="P462" s="10">
        <v>0</v>
      </c>
      <c r="Q462">
        <v>2</v>
      </c>
      <c r="R462">
        <v>1</v>
      </c>
      <c r="S462">
        <v>0</v>
      </c>
      <c r="T462">
        <v>1</v>
      </c>
      <c r="U462">
        <v>1</v>
      </c>
      <c r="V462" s="10">
        <v>0.9746478873239437</v>
      </c>
      <c r="W462" s="5">
        <v>1</v>
      </c>
      <c r="X462" s="5">
        <v>1</v>
      </c>
      <c r="Y462" s="5">
        <v>1</v>
      </c>
      <c r="Z462" s="5">
        <v>3</v>
      </c>
    </row>
    <row r="463" spans="1:26" x14ac:dyDescent="0.35">
      <c r="A463">
        <v>462</v>
      </c>
      <c r="B463" s="10">
        <v>0.45098039215686275</v>
      </c>
      <c r="C463">
        <v>0</v>
      </c>
      <c r="D463">
        <v>0</v>
      </c>
      <c r="E463">
        <v>0</v>
      </c>
      <c r="F463">
        <v>0</v>
      </c>
      <c r="G463">
        <v>1</v>
      </c>
      <c r="H463">
        <v>1</v>
      </c>
      <c r="I463">
        <v>1</v>
      </c>
      <c r="J463" s="10">
        <v>0.16290940025521056</v>
      </c>
      <c r="K463">
        <v>0</v>
      </c>
      <c r="L463">
        <v>0</v>
      </c>
      <c r="M463">
        <v>1</v>
      </c>
      <c r="N463" s="10">
        <v>0.11301329289387009</v>
      </c>
      <c r="O463" s="11">
        <v>0.26248683742798312</v>
      </c>
      <c r="P463" s="10">
        <v>0.25</v>
      </c>
      <c r="Q463">
        <v>0</v>
      </c>
      <c r="R463">
        <v>0</v>
      </c>
      <c r="S463">
        <v>0</v>
      </c>
      <c r="T463">
        <v>0</v>
      </c>
      <c r="U463">
        <v>0</v>
      </c>
      <c r="V463" s="10">
        <v>0.6422535211267606</v>
      </c>
      <c r="W463" s="5">
        <v>1</v>
      </c>
      <c r="X463" s="5">
        <v>2</v>
      </c>
      <c r="Y463" s="5">
        <v>1</v>
      </c>
      <c r="Z463" s="5">
        <v>4</v>
      </c>
    </row>
    <row r="464" spans="1:26" x14ac:dyDescent="0.35">
      <c r="A464">
        <v>463</v>
      </c>
      <c r="B464" s="10">
        <v>0.52941176470588236</v>
      </c>
      <c r="C464">
        <v>0</v>
      </c>
      <c r="D464">
        <v>0</v>
      </c>
      <c r="E464">
        <v>0</v>
      </c>
      <c r="F464">
        <v>0</v>
      </c>
      <c r="G464">
        <v>1</v>
      </c>
      <c r="H464">
        <v>3</v>
      </c>
      <c r="I464">
        <v>0</v>
      </c>
      <c r="J464" s="10">
        <v>0.14249255635899619</v>
      </c>
      <c r="K464">
        <v>0</v>
      </c>
      <c r="L464">
        <v>0</v>
      </c>
      <c r="M464">
        <v>1</v>
      </c>
      <c r="N464" s="10">
        <v>0.49120323199772525</v>
      </c>
      <c r="O464" s="11">
        <v>0.47952100214721194</v>
      </c>
      <c r="P464" s="10">
        <v>0.75</v>
      </c>
      <c r="Q464">
        <v>0</v>
      </c>
      <c r="R464">
        <v>0</v>
      </c>
      <c r="S464">
        <v>0</v>
      </c>
      <c r="T464">
        <v>0</v>
      </c>
      <c r="U464">
        <v>0</v>
      </c>
      <c r="V464" s="10">
        <v>6.4788732394366194E-2</v>
      </c>
      <c r="W464" s="5">
        <v>3</v>
      </c>
      <c r="X464" s="5">
        <v>2</v>
      </c>
      <c r="Y464" s="5">
        <v>3</v>
      </c>
      <c r="Z464" s="5">
        <v>8</v>
      </c>
    </row>
    <row r="465" spans="1:26" x14ac:dyDescent="0.35">
      <c r="A465">
        <v>464</v>
      </c>
      <c r="B465" s="10">
        <v>0.56862745098039214</v>
      </c>
      <c r="C465">
        <v>0</v>
      </c>
      <c r="D465">
        <v>0</v>
      </c>
      <c r="E465">
        <v>1</v>
      </c>
      <c r="F465">
        <v>0</v>
      </c>
      <c r="G465">
        <v>0</v>
      </c>
      <c r="H465">
        <v>2</v>
      </c>
      <c r="I465">
        <v>0</v>
      </c>
      <c r="J465" s="10">
        <v>0.44874521480221186</v>
      </c>
      <c r="K465">
        <v>0</v>
      </c>
      <c r="L465">
        <v>1</v>
      </c>
      <c r="M465">
        <v>0</v>
      </c>
      <c r="N465" s="10">
        <v>0.63873717508234018</v>
      </c>
      <c r="O465" s="11">
        <v>0.48432228683340384</v>
      </c>
      <c r="P465" s="10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 s="10">
        <v>8.7323943661971826E-2</v>
      </c>
      <c r="W465" s="5">
        <v>2</v>
      </c>
      <c r="X465" s="5">
        <v>3</v>
      </c>
      <c r="Y465" s="5">
        <v>3</v>
      </c>
      <c r="Z465" s="5">
        <v>8</v>
      </c>
    </row>
    <row r="466" spans="1:26" x14ac:dyDescent="0.35">
      <c r="A466">
        <v>465</v>
      </c>
      <c r="B466" s="10">
        <v>0.6470588235294118</v>
      </c>
      <c r="C466">
        <v>0</v>
      </c>
      <c r="D466">
        <v>1</v>
      </c>
      <c r="E466">
        <v>0</v>
      </c>
      <c r="F466">
        <v>0</v>
      </c>
      <c r="G466">
        <v>0</v>
      </c>
      <c r="H466">
        <v>1</v>
      </c>
      <c r="I466">
        <v>0</v>
      </c>
      <c r="J466" s="10">
        <v>0.93874946831135686</v>
      </c>
      <c r="K466">
        <v>0</v>
      </c>
      <c r="L466">
        <v>1</v>
      </c>
      <c r="M466">
        <v>0</v>
      </c>
      <c r="N466" s="10">
        <v>0.35758121460559678</v>
      </c>
      <c r="O466" s="11">
        <v>0.61222559810056543</v>
      </c>
      <c r="P466" s="10">
        <v>0.375</v>
      </c>
      <c r="Q466">
        <v>0</v>
      </c>
      <c r="R466">
        <v>0</v>
      </c>
      <c r="S466">
        <v>0</v>
      </c>
      <c r="T466">
        <v>0</v>
      </c>
      <c r="U466">
        <v>0</v>
      </c>
      <c r="V466" s="10">
        <v>2.8169014084507044E-3</v>
      </c>
      <c r="W466" s="5">
        <v>3</v>
      </c>
      <c r="X466" s="5">
        <v>2</v>
      </c>
      <c r="Y466" s="5">
        <v>2</v>
      </c>
      <c r="Z466" s="5">
        <v>7</v>
      </c>
    </row>
    <row r="467" spans="1:26" x14ac:dyDescent="0.35">
      <c r="A467">
        <v>466</v>
      </c>
      <c r="B467" s="10">
        <v>1</v>
      </c>
      <c r="C467">
        <v>1</v>
      </c>
      <c r="D467">
        <v>0</v>
      </c>
      <c r="E467">
        <v>0</v>
      </c>
      <c r="F467">
        <v>0</v>
      </c>
      <c r="G467">
        <v>1</v>
      </c>
      <c r="H467">
        <v>3</v>
      </c>
      <c r="I467">
        <v>1</v>
      </c>
      <c r="J467" s="10">
        <v>0.57124627817949813</v>
      </c>
      <c r="K467">
        <v>0</v>
      </c>
      <c r="L467">
        <v>0</v>
      </c>
      <c r="M467">
        <v>1</v>
      </c>
      <c r="N467" s="10">
        <v>0.56523232945525193</v>
      </c>
      <c r="O467" s="11">
        <v>0.48244431477494515</v>
      </c>
      <c r="P467" s="10">
        <v>0.875</v>
      </c>
      <c r="Q467">
        <v>0</v>
      </c>
      <c r="R467">
        <v>0</v>
      </c>
      <c r="S467">
        <v>0</v>
      </c>
      <c r="T467">
        <v>0</v>
      </c>
      <c r="U467">
        <v>0</v>
      </c>
      <c r="V467" s="10">
        <v>0.18309859154929578</v>
      </c>
      <c r="W467" s="5">
        <v>2</v>
      </c>
      <c r="X467" s="5">
        <v>3</v>
      </c>
      <c r="Y467" s="5">
        <v>3</v>
      </c>
      <c r="Z467" s="5">
        <v>8</v>
      </c>
    </row>
    <row r="468" spans="1:26" x14ac:dyDescent="0.35">
      <c r="A468">
        <v>467</v>
      </c>
      <c r="B468" s="10">
        <v>1</v>
      </c>
      <c r="C468">
        <v>1</v>
      </c>
      <c r="D468">
        <v>0</v>
      </c>
      <c r="E468">
        <v>0</v>
      </c>
      <c r="F468">
        <v>1</v>
      </c>
      <c r="G468">
        <v>0</v>
      </c>
      <c r="H468">
        <v>1</v>
      </c>
      <c r="I468">
        <v>0</v>
      </c>
      <c r="J468" s="10">
        <v>0.18332624415142493</v>
      </c>
      <c r="K468">
        <v>0</v>
      </c>
      <c r="L468">
        <v>1</v>
      </c>
      <c r="M468">
        <v>0</v>
      </c>
      <c r="N468" s="10">
        <v>0.32415053432220459</v>
      </c>
      <c r="O468" s="11">
        <v>0.55544880178675626</v>
      </c>
      <c r="P468" s="10">
        <v>0.375</v>
      </c>
      <c r="Q468">
        <v>1</v>
      </c>
      <c r="R468">
        <v>0</v>
      </c>
      <c r="S468">
        <v>0</v>
      </c>
      <c r="T468">
        <v>0</v>
      </c>
      <c r="U468">
        <v>1</v>
      </c>
      <c r="V468" s="10">
        <v>9.5774647887323941E-2</v>
      </c>
      <c r="W468" s="5">
        <v>2</v>
      </c>
      <c r="X468" s="5">
        <v>2</v>
      </c>
      <c r="Y468" s="5">
        <v>2</v>
      </c>
      <c r="Z468" s="5">
        <v>6</v>
      </c>
    </row>
    <row r="469" spans="1:26" x14ac:dyDescent="0.35">
      <c r="A469">
        <v>468</v>
      </c>
      <c r="B469" s="10">
        <v>0.43137254901960786</v>
      </c>
      <c r="C469">
        <v>1</v>
      </c>
      <c r="D469">
        <v>0</v>
      </c>
      <c r="E469">
        <v>1</v>
      </c>
      <c r="F469">
        <v>0</v>
      </c>
      <c r="G469">
        <v>0</v>
      </c>
      <c r="H469">
        <v>3</v>
      </c>
      <c r="I469">
        <v>0</v>
      </c>
      <c r="J469" s="10">
        <v>0.63249680986814127</v>
      </c>
      <c r="K469">
        <v>0</v>
      </c>
      <c r="L469">
        <v>0</v>
      </c>
      <c r="M469">
        <v>1</v>
      </c>
      <c r="N469" s="10">
        <v>0.23947053527000448</v>
      </c>
      <c r="O469" s="11">
        <v>0.41163303084569103</v>
      </c>
      <c r="P469" s="10">
        <v>0.375</v>
      </c>
      <c r="Q469">
        <v>0</v>
      </c>
      <c r="R469">
        <v>0</v>
      </c>
      <c r="S469">
        <v>0</v>
      </c>
      <c r="T469">
        <v>0</v>
      </c>
      <c r="U469">
        <v>0</v>
      </c>
      <c r="V469" s="10">
        <v>0.61690140845070418</v>
      </c>
      <c r="W469" s="5">
        <v>1</v>
      </c>
      <c r="X469" s="5">
        <v>2</v>
      </c>
      <c r="Y469" s="5">
        <v>1</v>
      </c>
      <c r="Z469" s="5">
        <v>4</v>
      </c>
    </row>
    <row r="470" spans="1:26" x14ac:dyDescent="0.35">
      <c r="A470">
        <v>469</v>
      </c>
      <c r="B470" s="10">
        <v>0.13725490196078433</v>
      </c>
      <c r="C470">
        <v>1</v>
      </c>
      <c r="D470">
        <v>0</v>
      </c>
      <c r="E470">
        <v>0</v>
      </c>
      <c r="F470">
        <v>1</v>
      </c>
      <c r="G470">
        <v>0</v>
      </c>
      <c r="H470">
        <v>1</v>
      </c>
      <c r="I470">
        <v>1</v>
      </c>
      <c r="J470" s="10">
        <v>8.1242024670353047E-2</v>
      </c>
      <c r="K470">
        <v>1</v>
      </c>
      <c r="L470">
        <v>0</v>
      </c>
      <c r="M470">
        <v>0</v>
      </c>
      <c r="N470" s="10">
        <v>0.47890552804303005</v>
      </c>
      <c r="O470" s="11">
        <v>0.54551734776688987</v>
      </c>
      <c r="P470" s="10">
        <v>0.625</v>
      </c>
      <c r="Q470">
        <v>2</v>
      </c>
      <c r="R470">
        <v>1</v>
      </c>
      <c r="S470">
        <v>0</v>
      </c>
      <c r="T470">
        <v>1</v>
      </c>
      <c r="U470">
        <v>0</v>
      </c>
      <c r="V470" s="10">
        <v>4.2253521126760563E-2</v>
      </c>
      <c r="W470" s="5">
        <v>3</v>
      </c>
      <c r="X470" s="5">
        <v>2</v>
      </c>
      <c r="Y470" s="5">
        <v>3</v>
      </c>
      <c r="Z470" s="5">
        <v>8</v>
      </c>
    </row>
    <row r="471" spans="1:26" x14ac:dyDescent="0.35">
      <c r="A471">
        <v>470</v>
      </c>
      <c r="B471" s="10">
        <v>0.80392156862745101</v>
      </c>
      <c r="C471">
        <v>0</v>
      </c>
      <c r="D471">
        <v>0</v>
      </c>
      <c r="E471">
        <v>1</v>
      </c>
      <c r="F471">
        <v>0</v>
      </c>
      <c r="G471">
        <v>0</v>
      </c>
      <c r="H471">
        <v>2</v>
      </c>
      <c r="I471">
        <v>1</v>
      </c>
      <c r="J471" s="10">
        <v>0.10165886856656743</v>
      </c>
      <c r="K471">
        <v>0</v>
      </c>
      <c r="L471">
        <v>1</v>
      </c>
      <c r="M471">
        <v>0</v>
      </c>
      <c r="N471" s="10">
        <v>0.56479397199251236</v>
      </c>
      <c r="O471" s="11">
        <v>0.6427627651797152</v>
      </c>
      <c r="P471" s="10">
        <v>0.625</v>
      </c>
      <c r="Q471">
        <v>1</v>
      </c>
      <c r="R471">
        <v>1</v>
      </c>
      <c r="S471">
        <v>0</v>
      </c>
      <c r="T471">
        <v>0</v>
      </c>
      <c r="U471">
        <v>1</v>
      </c>
      <c r="V471" s="10">
        <v>0.10422535211267606</v>
      </c>
      <c r="W471" s="5">
        <v>2</v>
      </c>
      <c r="X471" s="5">
        <v>2</v>
      </c>
      <c r="Y471" s="5">
        <v>3</v>
      </c>
      <c r="Z471" s="5">
        <v>7</v>
      </c>
    </row>
    <row r="472" spans="1:26" x14ac:dyDescent="0.35">
      <c r="A472">
        <v>471</v>
      </c>
      <c r="B472" s="10">
        <v>0.96078431372549022</v>
      </c>
      <c r="C472">
        <v>0</v>
      </c>
      <c r="D472">
        <v>0</v>
      </c>
      <c r="E472">
        <v>1</v>
      </c>
      <c r="F472">
        <v>0</v>
      </c>
      <c r="G472">
        <v>0</v>
      </c>
      <c r="H472">
        <v>1</v>
      </c>
      <c r="I472">
        <v>0</v>
      </c>
      <c r="J472" s="10">
        <v>0.26499361973628244</v>
      </c>
      <c r="K472">
        <v>1</v>
      </c>
      <c r="L472">
        <v>0</v>
      </c>
      <c r="M472">
        <v>0</v>
      </c>
      <c r="N472" s="10">
        <v>0.32561962419733198</v>
      </c>
      <c r="O472" s="11">
        <v>0.44635505744582388</v>
      </c>
      <c r="P472" s="10">
        <v>0.5</v>
      </c>
      <c r="Q472">
        <v>2</v>
      </c>
      <c r="R472">
        <v>1</v>
      </c>
      <c r="S472">
        <v>1</v>
      </c>
      <c r="T472">
        <v>1</v>
      </c>
      <c r="U472">
        <v>0</v>
      </c>
      <c r="V472" s="10">
        <v>0.3352112676056338</v>
      </c>
      <c r="W472" s="5">
        <v>1</v>
      </c>
      <c r="X472" s="5">
        <v>2</v>
      </c>
      <c r="Y472" s="5">
        <v>2</v>
      </c>
      <c r="Z472" s="5">
        <v>5</v>
      </c>
    </row>
    <row r="473" spans="1:26" x14ac:dyDescent="0.35">
      <c r="A473">
        <v>472</v>
      </c>
      <c r="B473" s="10">
        <v>0.17647058823529413</v>
      </c>
      <c r="C473">
        <v>0</v>
      </c>
      <c r="D473">
        <v>0</v>
      </c>
      <c r="E473">
        <v>0</v>
      </c>
      <c r="F473">
        <v>0</v>
      </c>
      <c r="G473">
        <v>1</v>
      </c>
      <c r="H473">
        <v>1</v>
      </c>
      <c r="I473">
        <v>0</v>
      </c>
      <c r="J473" s="10">
        <v>0.1220757124627818</v>
      </c>
      <c r="K473">
        <v>1</v>
      </c>
      <c r="L473">
        <v>0</v>
      </c>
      <c r="M473">
        <v>0</v>
      </c>
      <c r="N473" s="10">
        <v>0.65382792692462621</v>
      </c>
      <c r="O473" s="11">
        <v>0.49571308164036393</v>
      </c>
      <c r="P473" s="10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 s="10">
        <v>2.8169014084507044E-3</v>
      </c>
      <c r="W473" s="5">
        <v>3</v>
      </c>
      <c r="X473" s="5">
        <v>3</v>
      </c>
      <c r="Y473" s="5">
        <v>3</v>
      </c>
      <c r="Z473" s="5">
        <v>9</v>
      </c>
    </row>
    <row r="474" spans="1:26" x14ac:dyDescent="0.35">
      <c r="A474">
        <v>473</v>
      </c>
      <c r="B474" s="10">
        <v>0</v>
      </c>
      <c r="C474">
        <v>1</v>
      </c>
      <c r="D474">
        <v>0</v>
      </c>
      <c r="E474">
        <v>1</v>
      </c>
      <c r="F474">
        <v>0</v>
      </c>
      <c r="G474">
        <v>0</v>
      </c>
      <c r="H474">
        <v>1</v>
      </c>
      <c r="I474">
        <v>0</v>
      </c>
      <c r="J474" s="10">
        <v>0.46916205869842625</v>
      </c>
      <c r="K474">
        <v>0</v>
      </c>
      <c r="L474">
        <v>0</v>
      </c>
      <c r="M474">
        <v>1</v>
      </c>
      <c r="N474" s="10">
        <v>7.1576665165983461E-2</v>
      </c>
      <c r="O474" s="11">
        <v>0.16865530493571301</v>
      </c>
      <c r="P474" s="10">
        <v>0.25</v>
      </c>
      <c r="Q474">
        <v>0</v>
      </c>
      <c r="R474">
        <v>0</v>
      </c>
      <c r="S474">
        <v>0</v>
      </c>
      <c r="T474">
        <v>0</v>
      </c>
      <c r="U474">
        <v>0</v>
      </c>
      <c r="V474" s="10">
        <v>2.2535211267605635E-2</v>
      </c>
      <c r="W474" s="5">
        <v>3</v>
      </c>
      <c r="X474" s="5">
        <v>2</v>
      </c>
      <c r="Y474" s="5">
        <v>1</v>
      </c>
      <c r="Z474" s="5">
        <v>6</v>
      </c>
    </row>
    <row r="475" spans="1:26" x14ac:dyDescent="0.35">
      <c r="A475">
        <v>474</v>
      </c>
      <c r="B475" s="10">
        <v>0.37254901960784315</v>
      </c>
      <c r="C475">
        <v>1</v>
      </c>
      <c r="D475">
        <v>0</v>
      </c>
      <c r="E475">
        <v>0</v>
      </c>
      <c r="F475">
        <v>0</v>
      </c>
      <c r="G475">
        <v>1</v>
      </c>
      <c r="H475">
        <v>1</v>
      </c>
      <c r="I475">
        <v>0</v>
      </c>
      <c r="J475" s="10">
        <v>0.9591663122075712</v>
      </c>
      <c r="K475">
        <v>0</v>
      </c>
      <c r="L475">
        <v>0</v>
      </c>
      <c r="M475">
        <v>1</v>
      </c>
      <c r="N475" s="10">
        <v>0.7257392839371607</v>
      </c>
      <c r="O475" s="11">
        <v>0.54999318117288298</v>
      </c>
      <c r="P475" s="10">
        <v>1</v>
      </c>
      <c r="Q475">
        <v>2</v>
      </c>
      <c r="R475">
        <v>1</v>
      </c>
      <c r="S475">
        <v>1</v>
      </c>
      <c r="T475">
        <v>1</v>
      </c>
      <c r="U475">
        <v>0</v>
      </c>
      <c r="V475" s="10">
        <v>1.1267605633802818E-2</v>
      </c>
      <c r="W475" s="5">
        <v>3</v>
      </c>
      <c r="X475" s="5">
        <v>3</v>
      </c>
      <c r="Y475" s="5">
        <v>3</v>
      </c>
      <c r="Z475" s="5">
        <v>9</v>
      </c>
    </row>
    <row r="476" spans="1:26" x14ac:dyDescent="0.35">
      <c r="A476">
        <v>475</v>
      </c>
      <c r="B476" s="10">
        <v>0.70588235294117652</v>
      </c>
      <c r="C476">
        <v>0</v>
      </c>
      <c r="D476">
        <v>0</v>
      </c>
      <c r="E476">
        <v>1</v>
      </c>
      <c r="F476">
        <v>0</v>
      </c>
      <c r="G476">
        <v>0</v>
      </c>
      <c r="H476">
        <v>3</v>
      </c>
      <c r="I476">
        <v>0</v>
      </c>
      <c r="J476" s="10">
        <v>0.71416418545299876</v>
      </c>
      <c r="K476">
        <v>1</v>
      </c>
      <c r="L476">
        <v>0</v>
      </c>
      <c r="M476">
        <v>0</v>
      </c>
      <c r="N476" s="10">
        <v>0.48140238845579691</v>
      </c>
      <c r="O476" s="11">
        <v>0.54834436641917672</v>
      </c>
      <c r="P476" s="10">
        <v>0.625</v>
      </c>
      <c r="Q476">
        <v>1</v>
      </c>
      <c r="R476">
        <v>0</v>
      </c>
      <c r="S476">
        <v>1</v>
      </c>
      <c r="T476">
        <v>0</v>
      </c>
      <c r="U476">
        <v>0</v>
      </c>
      <c r="V476" s="10">
        <v>0.16619718309859155</v>
      </c>
      <c r="W476" s="5">
        <v>2</v>
      </c>
      <c r="X476" s="5">
        <v>2</v>
      </c>
      <c r="Y476" s="5">
        <v>3</v>
      </c>
      <c r="Z476" s="5">
        <v>7</v>
      </c>
    </row>
    <row r="477" spans="1:26" x14ac:dyDescent="0.35">
      <c r="A477">
        <v>476</v>
      </c>
      <c r="B477" s="10">
        <v>0.33333333333333331</v>
      </c>
      <c r="C477">
        <v>1</v>
      </c>
      <c r="D477">
        <v>0</v>
      </c>
      <c r="E477">
        <v>0</v>
      </c>
      <c r="F477">
        <v>0</v>
      </c>
      <c r="G477">
        <v>1</v>
      </c>
      <c r="H477">
        <v>2</v>
      </c>
      <c r="I477">
        <v>0</v>
      </c>
      <c r="J477" s="10">
        <v>0.6937473415567843</v>
      </c>
      <c r="K477">
        <v>1</v>
      </c>
      <c r="L477">
        <v>0</v>
      </c>
      <c r="M477">
        <v>0</v>
      </c>
      <c r="N477" s="10">
        <v>0.63269495059592906</v>
      </c>
      <c r="O477" s="11">
        <v>0.53973168474214772</v>
      </c>
      <c r="P477" s="10">
        <v>0.875</v>
      </c>
      <c r="Q477">
        <v>1</v>
      </c>
      <c r="R477">
        <v>0</v>
      </c>
      <c r="S477">
        <v>0</v>
      </c>
      <c r="T477">
        <v>1</v>
      </c>
      <c r="U477">
        <v>0</v>
      </c>
      <c r="V477" s="10">
        <v>0.14929577464788732</v>
      </c>
      <c r="W477" s="5">
        <v>2</v>
      </c>
      <c r="X477" s="5">
        <v>3</v>
      </c>
      <c r="Y477" s="5">
        <v>3</v>
      </c>
      <c r="Z477" s="5">
        <v>8</v>
      </c>
    </row>
    <row r="478" spans="1:26" x14ac:dyDescent="0.35">
      <c r="A478">
        <v>477</v>
      </c>
      <c r="B478" s="10">
        <v>0.39215686274509803</v>
      </c>
      <c r="C478">
        <v>1</v>
      </c>
      <c r="D478">
        <v>0</v>
      </c>
      <c r="E478">
        <v>0</v>
      </c>
      <c r="F478">
        <v>0</v>
      </c>
      <c r="G478">
        <v>1</v>
      </c>
      <c r="H478">
        <v>2</v>
      </c>
      <c r="I478">
        <v>0</v>
      </c>
      <c r="J478" s="10">
        <v>0.7754147171416419</v>
      </c>
      <c r="K478">
        <v>0</v>
      </c>
      <c r="L478">
        <v>0</v>
      </c>
      <c r="M478">
        <v>1</v>
      </c>
      <c r="N478" s="10">
        <v>0.23610880743075136</v>
      </c>
      <c r="O478" s="11">
        <v>0.27061577362388239</v>
      </c>
      <c r="P478" s="10">
        <v>0.625</v>
      </c>
      <c r="Q478">
        <v>0</v>
      </c>
      <c r="R478">
        <v>0</v>
      </c>
      <c r="S478">
        <v>0</v>
      </c>
      <c r="T478">
        <v>0</v>
      </c>
      <c r="U478">
        <v>0</v>
      </c>
      <c r="V478" s="10">
        <v>7.605633802816901E-2</v>
      </c>
      <c r="W478" s="5">
        <v>3</v>
      </c>
      <c r="X478" s="5">
        <v>2</v>
      </c>
      <c r="Y478" s="5">
        <v>1</v>
      </c>
      <c r="Z478" s="5">
        <v>6</v>
      </c>
    </row>
    <row r="479" spans="1:26" x14ac:dyDescent="0.35">
      <c r="A479">
        <v>478</v>
      </c>
      <c r="B479" s="10">
        <v>0.94117647058823528</v>
      </c>
      <c r="C479">
        <v>1</v>
      </c>
      <c r="D479">
        <v>1</v>
      </c>
      <c r="E479">
        <v>0</v>
      </c>
      <c r="F479">
        <v>0</v>
      </c>
      <c r="G479">
        <v>0</v>
      </c>
      <c r="H479">
        <v>1</v>
      </c>
      <c r="I479">
        <v>1</v>
      </c>
      <c r="J479" s="10">
        <v>0.6937473415567843</v>
      </c>
      <c r="K479">
        <v>1</v>
      </c>
      <c r="L479">
        <v>0</v>
      </c>
      <c r="M479">
        <v>0</v>
      </c>
      <c r="N479" s="10">
        <v>0.47568893206644081</v>
      </c>
      <c r="O479" s="11">
        <v>0.65025050805851226</v>
      </c>
      <c r="P479" s="10">
        <v>0.5</v>
      </c>
      <c r="Q479">
        <v>0</v>
      </c>
      <c r="R479">
        <v>0</v>
      </c>
      <c r="S479">
        <v>0</v>
      </c>
      <c r="T479">
        <v>0</v>
      </c>
      <c r="U479">
        <v>0</v>
      </c>
      <c r="V479" s="10">
        <v>0.12676056338028169</v>
      </c>
      <c r="W479" s="5">
        <v>2</v>
      </c>
      <c r="X479" s="5">
        <v>2</v>
      </c>
      <c r="Y479" s="5">
        <v>3</v>
      </c>
      <c r="Z479" s="5">
        <v>7</v>
      </c>
    </row>
    <row r="480" spans="1:26" x14ac:dyDescent="0.35">
      <c r="A480">
        <v>479</v>
      </c>
      <c r="B480" s="10">
        <v>5.8823529411764705E-2</v>
      </c>
      <c r="C480">
        <v>0</v>
      </c>
      <c r="D480">
        <v>0</v>
      </c>
      <c r="E480">
        <v>0</v>
      </c>
      <c r="F480">
        <v>0</v>
      </c>
      <c r="G480">
        <v>1</v>
      </c>
      <c r="H480">
        <v>1</v>
      </c>
      <c r="I480">
        <v>0</v>
      </c>
      <c r="J480" s="10">
        <v>0.22415993194385367</v>
      </c>
      <c r="K480">
        <v>0</v>
      </c>
      <c r="L480">
        <v>1</v>
      </c>
      <c r="M480">
        <v>0</v>
      </c>
      <c r="N480" s="10">
        <v>0.34786626543136751</v>
      </c>
      <c r="O480" s="11">
        <v>0.47658101772671491</v>
      </c>
      <c r="P480" s="10">
        <v>0.5</v>
      </c>
      <c r="Q480">
        <v>2</v>
      </c>
      <c r="R480">
        <v>1</v>
      </c>
      <c r="S480">
        <v>0</v>
      </c>
      <c r="T480">
        <v>0</v>
      </c>
      <c r="U480">
        <v>1</v>
      </c>
      <c r="V480" s="10">
        <v>0.15774647887323945</v>
      </c>
      <c r="W480" s="5">
        <v>2</v>
      </c>
      <c r="X480" s="5">
        <v>2</v>
      </c>
      <c r="Y480" s="5">
        <v>2</v>
      </c>
      <c r="Z480" s="5">
        <v>6</v>
      </c>
    </row>
    <row r="481" spans="1:26" x14ac:dyDescent="0.35">
      <c r="A481">
        <v>480</v>
      </c>
      <c r="B481" s="10">
        <v>0.82352941176470584</v>
      </c>
      <c r="C481">
        <v>1</v>
      </c>
      <c r="D481">
        <v>0</v>
      </c>
      <c r="E481">
        <v>0</v>
      </c>
      <c r="F481">
        <v>0</v>
      </c>
      <c r="G481">
        <v>1</v>
      </c>
      <c r="H481">
        <v>2</v>
      </c>
      <c r="I481">
        <v>1</v>
      </c>
      <c r="J481" s="10">
        <v>0.1220757124627818</v>
      </c>
      <c r="K481">
        <v>0</v>
      </c>
      <c r="L481">
        <v>1</v>
      </c>
      <c r="M481">
        <v>0</v>
      </c>
      <c r="N481" s="10">
        <v>0.39724960310878371</v>
      </c>
      <c r="O481" s="11">
        <v>0.33979808446850035</v>
      </c>
      <c r="P481" s="10">
        <v>0.875</v>
      </c>
      <c r="Q481">
        <v>1</v>
      </c>
      <c r="R481">
        <v>1</v>
      </c>
      <c r="S481">
        <v>0</v>
      </c>
      <c r="T481">
        <v>0</v>
      </c>
      <c r="U481">
        <v>1</v>
      </c>
      <c r="V481" s="10">
        <v>0.11549295774647887</v>
      </c>
      <c r="W481" s="5">
        <v>2</v>
      </c>
      <c r="X481" s="5">
        <v>3</v>
      </c>
      <c r="Y481" s="5">
        <v>2</v>
      </c>
      <c r="Z481" s="5">
        <v>7</v>
      </c>
    </row>
    <row r="482" spans="1:26" x14ac:dyDescent="0.35">
      <c r="A482">
        <v>481</v>
      </c>
      <c r="B482" s="10">
        <v>1.9607843137254902E-2</v>
      </c>
      <c r="C482">
        <v>0</v>
      </c>
      <c r="D482">
        <v>0</v>
      </c>
      <c r="E482">
        <v>0</v>
      </c>
      <c r="F482">
        <v>0</v>
      </c>
      <c r="G482">
        <v>1</v>
      </c>
      <c r="H482">
        <v>2</v>
      </c>
      <c r="I482">
        <v>0</v>
      </c>
      <c r="J482" s="10">
        <v>0.65291365376435562</v>
      </c>
      <c r="K482">
        <v>0</v>
      </c>
      <c r="L482">
        <v>1</v>
      </c>
      <c r="M482">
        <v>0</v>
      </c>
      <c r="N482" s="10">
        <v>1</v>
      </c>
      <c r="O482" s="11">
        <v>0.75701053676465657</v>
      </c>
      <c r="P482" s="10">
        <v>1</v>
      </c>
      <c r="Q482">
        <v>1</v>
      </c>
      <c r="R482">
        <v>0</v>
      </c>
      <c r="S482">
        <v>0</v>
      </c>
      <c r="T482">
        <v>1</v>
      </c>
      <c r="U482">
        <v>0</v>
      </c>
      <c r="V482" s="10">
        <v>0.43098591549295773</v>
      </c>
      <c r="W482" s="5">
        <v>1</v>
      </c>
      <c r="X482" s="5">
        <v>3</v>
      </c>
      <c r="Y482" s="5">
        <v>3</v>
      </c>
      <c r="Z482" s="5">
        <v>7</v>
      </c>
    </row>
    <row r="483" spans="1:26" x14ac:dyDescent="0.35">
      <c r="A483">
        <v>482</v>
      </c>
      <c r="B483" s="10">
        <v>0.39215686274509803</v>
      </c>
      <c r="C483">
        <v>1</v>
      </c>
      <c r="D483">
        <v>1</v>
      </c>
      <c r="E483">
        <v>0</v>
      </c>
      <c r="F483">
        <v>0</v>
      </c>
      <c r="G483">
        <v>0</v>
      </c>
      <c r="H483">
        <v>2</v>
      </c>
      <c r="I483">
        <v>1</v>
      </c>
      <c r="J483" s="10">
        <v>0.71416418545299876</v>
      </c>
      <c r="K483">
        <v>0</v>
      </c>
      <c r="L483">
        <v>1</v>
      </c>
      <c r="M483">
        <v>0</v>
      </c>
      <c r="N483" s="10">
        <v>0.77441769542449579</v>
      </c>
      <c r="O483" s="11">
        <v>0.58673659876903406</v>
      </c>
      <c r="P483" s="10">
        <v>1</v>
      </c>
      <c r="Q483">
        <v>2</v>
      </c>
      <c r="R483">
        <v>0</v>
      </c>
      <c r="S483">
        <v>0</v>
      </c>
      <c r="T483">
        <v>0</v>
      </c>
      <c r="U483">
        <v>1</v>
      </c>
      <c r="V483" s="10">
        <v>0.24225352112676057</v>
      </c>
      <c r="W483" s="5">
        <v>1</v>
      </c>
      <c r="X483" s="5">
        <v>3</v>
      </c>
      <c r="Y483" s="5">
        <v>3</v>
      </c>
      <c r="Z483" s="5">
        <v>7</v>
      </c>
    </row>
    <row r="484" spans="1:26" x14ac:dyDescent="0.35">
      <c r="A484">
        <v>483</v>
      </c>
      <c r="B484" s="10">
        <v>0.70588235294117652</v>
      </c>
      <c r="C484">
        <v>0</v>
      </c>
      <c r="D484">
        <v>0</v>
      </c>
      <c r="E484">
        <v>0</v>
      </c>
      <c r="F484">
        <v>1</v>
      </c>
      <c r="G484">
        <v>0</v>
      </c>
      <c r="H484">
        <v>2</v>
      </c>
      <c r="I484">
        <v>0</v>
      </c>
      <c r="J484" s="10">
        <v>0.6937473415567843</v>
      </c>
      <c r="K484">
        <v>1</v>
      </c>
      <c r="L484">
        <v>0</v>
      </c>
      <c r="M484">
        <v>0</v>
      </c>
      <c r="N484" s="10">
        <v>0.37102812596260931</v>
      </c>
      <c r="O484" s="11">
        <v>0.42337538649335665</v>
      </c>
      <c r="P484" s="10">
        <v>0.625</v>
      </c>
      <c r="Q484">
        <v>1</v>
      </c>
      <c r="R484">
        <v>1</v>
      </c>
      <c r="S484">
        <v>0</v>
      </c>
      <c r="T484">
        <v>0</v>
      </c>
      <c r="U484">
        <v>1</v>
      </c>
      <c r="V484" s="10">
        <v>0.16619718309859155</v>
      </c>
      <c r="W484" s="5">
        <v>2</v>
      </c>
      <c r="X484" s="5">
        <v>2</v>
      </c>
      <c r="Y484" s="5">
        <v>2</v>
      </c>
      <c r="Z484" s="5">
        <v>6</v>
      </c>
    </row>
    <row r="485" spans="1:26" x14ac:dyDescent="0.35">
      <c r="A485">
        <v>484</v>
      </c>
      <c r="B485" s="10">
        <v>7.8431372549019607E-2</v>
      </c>
      <c r="C485">
        <v>1</v>
      </c>
      <c r="D485">
        <v>0</v>
      </c>
      <c r="E485">
        <v>0</v>
      </c>
      <c r="F485">
        <v>1</v>
      </c>
      <c r="G485">
        <v>0</v>
      </c>
      <c r="H485">
        <v>1</v>
      </c>
      <c r="I485">
        <v>0</v>
      </c>
      <c r="J485" s="10">
        <v>0.87749893662271372</v>
      </c>
      <c r="K485">
        <v>1</v>
      </c>
      <c r="L485">
        <v>0</v>
      </c>
      <c r="M485">
        <v>0</v>
      </c>
      <c r="N485" s="10">
        <v>0.28984610098808139</v>
      </c>
      <c r="O485" s="11">
        <v>0.28410746982549229</v>
      </c>
      <c r="P485" s="10">
        <v>0.75</v>
      </c>
      <c r="Q485">
        <v>0</v>
      </c>
      <c r="R485">
        <v>0</v>
      </c>
      <c r="S485">
        <v>0</v>
      </c>
      <c r="T485">
        <v>0</v>
      </c>
      <c r="U485">
        <v>0</v>
      </c>
      <c r="V485" s="10">
        <v>0.12676056338028169</v>
      </c>
      <c r="W485" s="5">
        <v>2</v>
      </c>
      <c r="X485" s="5">
        <v>2</v>
      </c>
      <c r="Y485" s="5">
        <v>2</v>
      </c>
      <c r="Z485" s="5">
        <v>6</v>
      </c>
    </row>
    <row r="486" spans="1:26" x14ac:dyDescent="0.35">
      <c r="A486">
        <v>485</v>
      </c>
      <c r="B486" s="10">
        <v>0.31372549019607843</v>
      </c>
      <c r="C486">
        <v>1</v>
      </c>
      <c r="D486">
        <v>1</v>
      </c>
      <c r="E486">
        <v>0</v>
      </c>
      <c r="F486">
        <v>0</v>
      </c>
      <c r="G486">
        <v>0</v>
      </c>
      <c r="H486">
        <v>2</v>
      </c>
      <c r="I486">
        <v>0</v>
      </c>
      <c r="J486" s="10">
        <v>0.57124627817949813</v>
      </c>
      <c r="K486">
        <v>1</v>
      </c>
      <c r="L486">
        <v>0</v>
      </c>
      <c r="M486">
        <v>0</v>
      </c>
      <c r="N486" s="10">
        <v>0.62789078975428281</v>
      </c>
      <c r="O486" s="11">
        <v>0.61217385805405677</v>
      </c>
      <c r="P486" s="10">
        <v>0.75</v>
      </c>
      <c r="Q486">
        <v>1</v>
      </c>
      <c r="R486">
        <v>0</v>
      </c>
      <c r="S486">
        <v>0</v>
      </c>
      <c r="T486">
        <v>1</v>
      </c>
      <c r="U486">
        <v>0</v>
      </c>
      <c r="V486" s="10">
        <v>3.0985915492957747E-2</v>
      </c>
      <c r="W486" s="5">
        <v>3</v>
      </c>
      <c r="X486" s="5">
        <v>2</v>
      </c>
      <c r="Y486" s="5">
        <v>3</v>
      </c>
      <c r="Z486" s="5">
        <v>8</v>
      </c>
    </row>
    <row r="487" spans="1:26" x14ac:dyDescent="0.35">
      <c r="A487">
        <v>486</v>
      </c>
      <c r="B487" s="10">
        <v>0.94117647058823528</v>
      </c>
      <c r="C487">
        <v>0</v>
      </c>
      <c r="D487">
        <v>0</v>
      </c>
      <c r="E487">
        <v>0</v>
      </c>
      <c r="F487">
        <v>0</v>
      </c>
      <c r="G487">
        <v>1</v>
      </c>
      <c r="H487">
        <v>1</v>
      </c>
      <c r="I487">
        <v>0</v>
      </c>
      <c r="J487" s="10">
        <v>0.10165886856656743</v>
      </c>
      <c r="K487">
        <v>0</v>
      </c>
      <c r="L487">
        <v>0</v>
      </c>
      <c r="M487">
        <v>1</v>
      </c>
      <c r="N487" s="10">
        <v>0.22182368551998671</v>
      </c>
      <c r="O487" s="11">
        <v>0.38166260890561171</v>
      </c>
      <c r="P487" s="10">
        <v>0.375</v>
      </c>
      <c r="Q487">
        <v>2</v>
      </c>
      <c r="R487">
        <v>1</v>
      </c>
      <c r="S487">
        <v>1</v>
      </c>
      <c r="T487">
        <v>0</v>
      </c>
      <c r="U487">
        <v>1</v>
      </c>
      <c r="V487" s="10">
        <v>0.16901408450704225</v>
      </c>
      <c r="W487" s="5">
        <v>2</v>
      </c>
      <c r="X487" s="5">
        <v>2</v>
      </c>
      <c r="Y487" s="5">
        <v>1</v>
      </c>
      <c r="Z487" s="5">
        <v>5</v>
      </c>
    </row>
    <row r="488" spans="1:26" x14ac:dyDescent="0.35">
      <c r="A488">
        <v>487</v>
      </c>
      <c r="B488" s="10">
        <v>0.92156862745098034</v>
      </c>
      <c r="C488">
        <v>0</v>
      </c>
      <c r="D488">
        <v>0</v>
      </c>
      <c r="E488">
        <v>0</v>
      </c>
      <c r="F488">
        <v>0</v>
      </c>
      <c r="G488">
        <v>1</v>
      </c>
      <c r="H488">
        <v>1</v>
      </c>
      <c r="I488">
        <v>0</v>
      </c>
      <c r="J488" s="10">
        <v>0.6937473415567843</v>
      </c>
      <c r="K488">
        <v>1</v>
      </c>
      <c r="L488">
        <v>0</v>
      </c>
      <c r="M488">
        <v>0</v>
      </c>
      <c r="N488" s="10">
        <v>0.47817394498021465</v>
      </c>
      <c r="O488" s="11">
        <v>0.46687630966992727</v>
      </c>
      <c r="P488" s="10">
        <v>0.75</v>
      </c>
      <c r="Q488">
        <v>2</v>
      </c>
      <c r="R488">
        <v>1</v>
      </c>
      <c r="S488">
        <v>0</v>
      </c>
      <c r="T488">
        <v>1</v>
      </c>
      <c r="U488">
        <v>0</v>
      </c>
      <c r="V488" s="10">
        <v>1.9718309859154931E-2</v>
      </c>
      <c r="W488" s="5">
        <v>3</v>
      </c>
      <c r="X488" s="5">
        <v>2</v>
      </c>
      <c r="Y488" s="5">
        <v>3</v>
      </c>
      <c r="Z488" s="5">
        <v>8</v>
      </c>
    </row>
    <row r="489" spans="1:26" x14ac:dyDescent="0.35">
      <c r="A489">
        <v>488</v>
      </c>
      <c r="B489" s="10">
        <v>0.19607843137254902</v>
      </c>
      <c r="C489">
        <v>0</v>
      </c>
      <c r="D489">
        <v>0</v>
      </c>
      <c r="E489">
        <v>1</v>
      </c>
      <c r="F489">
        <v>0</v>
      </c>
      <c r="G489">
        <v>0</v>
      </c>
      <c r="H489">
        <v>2</v>
      </c>
      <c r="I489">
        <v>1</v>
      </c>
      <c r="J489" s="10">
        <v>0.67333049766056996</v>
      </c>
      <c r="K489">
        <v>1</v>
      </c>
      <c r="L489">
        <v>0</v>
      </c>
      <c r="M489">
        <v>0</v>
      </c>
      <c r="N489" s="10">
        <v>0.11374783783143376</v>
      </c>
      <c r="O489" s="11">
        <v>0.79245055232499639</v>
      </c>
      <c r="P489" s="10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 s="10">
        <v>0.26197183098591548</v>
      </c>
      <c r="W489" s="5">
        <v>1</v>
      </c>
      <c r="X489" s="5">
        <v>1</v>
      </c>
      <c r="Y489" s="5">
        <v>1</v>
      </c>
      <c r="Z489" s="5">
        <v>3</v>
      </c>
    </row>
    <row r="490" spans="1:26" x14ac:dyDescent="0.35">
      <c r="A490">
        <v>489</v>
      </c>
      <c r="B490" s="10">
        <v>0.88235294117647056</v>
      </c>
      <c r="C490">
        <v>1</v>
      </c>
      <c r="D490">
        <v>0</v>
      </c>
      <c r="E490">
        <v>0</v>
      </c>
      <c r="F490">
        <v>1</v>
      </c>
      <c r="G490">
        <v>0</v>
      </c>
      <c r="H490">
        <v>3</v>
      </c>
      <c r="I490">
        <v>0</v>
      </c>
      <c r="J490" s="10">
        <v>0.24457677584006807</v>
      </c>
      <c r="K490">
        <v>0</v>
      </c>
      <c r="L490">
        <v>0</v>
      </c>
      <c r="M490">
        <v>1</v>
      </c>
      <c r="N490" s="10">
        <v>0.32323235315025001</v>
      </c>
      <c r="O490" s="11">
        <v>0.36925960951595271</v>
      </c>
      <c r="P490" s="10">
        <v>0.625</v>
      </c>
      <c r="Q490">
        <v>0</v>
      </c>
      <c r="R490">
        <v>0</v>
      </c>
      <c r="S490">
        <v>0</v>
      </c>
      <c r="T490">
        <v>0</v>
      </c>
      <c r="U490">
        <v>0</v>
      </c>
      <c r="V490" s="10">
        <v>0.11549295774647887</v>
      </c>
      <c r="W490" s="5">
        <v>2</v>
      </c>
      <c r="X490" s="5">
        <v>2</v>
      </c>
      <c r="Y490" s="5">
        <v>2</v>
      </c>
      <c r="Z490" s="5">
        <v>6</v>
      </c>
    </row>
    <row r="491" spans="1:26" x14ac:dyDescent="0.35">
      <c r="A491">
        <v>490</v>
      </c>
      <c r="B491" s="10">
        <v>0.78431372549019607</v>
      </c>
      <c r="C491">
        <v>0</v>
      </c>
      <c r="D491">
        <v>0</v>
      </c>
      <c r="E491">
        <v>0</v>
      </c>
      <c r="F491">
        <v>0</v>
      </c>
      <c r="G491">
        <v>1</v>
      </c>
      <c r="H491">
        <v>1</v>
      </c>
      <c r="I491">
        <v>0</v>
      </c>
      <c r="J491" s="10">
        <v>0.81624840493407058</v>
      </c>
      <c r="K491">
        <v>0</v>
      </c>
      <c r="L491">
        <v>0</v>
      </c>
      <c r="M491">
        <v>1</v>
      </c>
      <c r="N491" s="10">
        <v>0.60815581830675536</v>
      </c>
      <c r="O491" s="11">
        <v>0.59302141750480752</v>
      </c>
      <c r="P491" s="10">
        <v>0.75</v>
      </c>
      <c r="Q491">
        <v>2</v>
      </c>
      <c r="R491">
        <v>1</v>
      </c>
      <c r="S491">
        <v>0</v>
      </c>
      <c r="T491">
        <v>0</v>
      </c>
      <c r="U491">
        <v>1</v>
      </c>
      <c r="V491" s="10">
        <v>0.11549295774647887</v>
      </c>
      <c r="W491" s="5">
        <v>2</v>
      </c>
      <c r="X491" s="5">
        <v>2</v>
      </c>
      <c r="Y491" s="5">
        <v>3</v>
      </c>
      <c r="Z491" s="5">
        <v>7</v>
      </c>
    </row>
    <row r="492" spans="1:26" x14ac:dyDescent="0.35">
      <c r="A492">
        <v>491</v>
      </c>
      <c r="B492" s="10">
        <v>0.58823529411764708</v>
      </c>
      <c r="C492">
        <v>1</v>
      </c>
      <c r="D492">
        <v>0</v>
      </c>
      <c r="E492">
        <v>0</v>
      </c>
      <c r="F492">
        <v>0</v>
      </c>
      <c r="G492">
        <v>1</v>
      </c>
      <c r="H492">
        <v>2</v>
      </c>
      <c r="I492">
        <v>1</v>
      </c>
      <c r="J492" s="10">
        <v>0.89791578051892806</v>
      </c>
      <c r="K492">
        <v>0</v>
      </c>
      <c r="L492">
        <v>1</v>
      </c>
      <c r="M492">
        <v>0</v>
      </c>
      <c r="N492" s="10">
        <v>0.43637893040779085</v>
      </c>
      <c r="O492" s="11">
        <v>0.49736748559662497</v>
      </c>
      <c r="P492" s="10">
        <v>0.625</v>
      </c>
      <c r="Q492">
        <v>1</v>
      </c>
      <c r="R492">
        <v>0</v>
      </c>
      <c r="S492">
        <v>0</v>
      </c>
      <c r="T492">
        <v>1</v>
      </c>
      <c r="U492">
        <v>0</v>
      </c>
      <c r="V492" s="10">
        <v>0.15211267605633802</v>
      </c>
      <c r="W492" s="5">
        <v>2</v>
      </c>
      <c r="X492" s="5">
        <v>2</v>
      </c>
      <c r="Y492" s="5">
        <v>2</v>
      </c>
      <c r="Z492" s="5">
        <v>6</v>
      </c>
    </row>
    <row r="493" spans="1:26" x14ac:dyDescent="0.35">
      <c r="A493">
        <v>492</v>
      </c>
      <c r="B493" s="10">
        <v>0.52941176470588236</v>
      </c>
      <c r="C493">
        <v>0</v>
      </c>
      <c r="D493">
        <v>0</v>
      </c>
      <c r="E493">
        <v>0</v>
      </c>
      <c r="F493">
        <v>1</v>
      </c>
      <c r="G493">
        <v>0</v>
      </c>
      <c r="H493">
        <v>1</v>
      </c>
      <c r="I493">
        <v>0</v>
      </c>
      <c r="J493" s="10">
        <v>0.7754147171416419</v>
      </c>
      <c r="K493">
        <v>0</v>
      </c>
      <c r="L493">
        <v>0</v>
      </c>
      <c r="M493">
        <v>1</v>
      </c>
      <c r="N493" s="10">
        <v>0.43894983768926377</v>
      </c>
      <c r="O493" s="11">
        <v>0.60033401074468296</v>
      </c>
      <c r="P493" s="10">
        <v>0.5</v>
      </c>
      <c r="Q493">
        <v>0</v>
      </c>
      <c r="R493">
        <v>0</v>
      </c>
      <c r="S493">
        <v>0</v>
      </c>
      <c r="T493">
        <v>0</v>
      </c>
      <c r="U493">
        <v>0</v>
      </c>
      <c r="V493" s="10">
        <v>3.3802816901408447E-2</v>
      </c>
      <c r="W493" s="5">
        <v>3</v>
      </c>
      <c r="X493" s="5">
        <v>2</v>
      </c>
      <c r="Y493" s="5">
        <v>2</v>
      </c>
      <c r="Z493" s="5">
        <v>7</v>
      </c>
    </row>
    <row r="494" spans="1:26" x14ac:dyDescent="0.35">
      <c r="A494">
        <v>493</v>
      </c>
      <c r="B494" s="10">
        <v>0.84313725490196079</v>
      </c>
      <c r="C494">
        <v>1</v>
      </c>
      <c r="D494">
        <v>0</v>
      </c>
      <c r="E494">
        <v>0</v>
      </c>
      <c r="F494">
        <v>0</v>
      </c>
      <c r="G494">
        <v>1</v>
      </c>
      <c r="H494">
        <v>3</v>
      </c>
      <c r="I494">
        <v>0</v>
      </c>
      <c r="J494" s="10">
        <v>0.89791578051892806</v>
      </c>
      <c r="K494">
        <v>0</v>
      </c>
      <c r="L494">
        <v>0</v>
      </c>
      <c r="M494">
        <v>1</v>
      </c>
      <c r="N494" s="10">
        <v>0.28617633817501126</v>
      </c>
      <c r="O494" s="11">
        <v>0.49095555242560213</v>
      </c>
      <c r="P494" s="10">
        <v>0.375</v>
      </c>
      <c r="Q494">
        <v>0</v>
      </c>
      <c r="R494">
        <v>0</v>
      </c>
      <c r="S494">
        <v>0</v>
      </c>
      <c r="T494">
        <v>0</v>
      </c>
      <c r="U494">
        <v>0</v>
      </c>
      <c r="V494" s="10">
        <v>8.1690140845070425E-2</v>
      </c>
      <c r="W494" s="5">
        <v>2</v>
      </c>
      <c r="X494" s="5">
        <v>2</v>
      </c>
      <c r="Y494" s="5">
        <v>2</v>
      </c>
      <c r="Z494" s="5">
        <v>6</v>
      </c>
    </row>
    <row r="495" spans="1:26" x14ac:dyDescent="0.35">
      <c r="A495">
        <v>494</v>
      </c>
      <c r="B495" s="10">
        <v>0.60784313725490191</v>
      </c>
      <c r="C495">
        <v>1</v>
      </c>
      <c r="D495">
        <v>1</v>
      </c>
      <c r="E495">
        <v>0</v>
      </c>
      <c r="F495">
        <v>0</v>
      </c>
      <c r="G495">
        <v>0</v>
      </c>
      <c r="H495">
        <v>2</v>
      </c>
      <c r="I495">
        <v>0</v>
      </c>
      <c r="J495" s="10">
        <v>0.24457677584006807</v>
      </c>
      <c r="K495">
        <v>1</v>
      </c>
      <c r="L495">
        <v>0</v>
      </c>
      <c r="M495">
        <v>0</v>
      </c>
      <c r="N495" s="10">
        <v>7.6988010331019124E-2</v>
      </c>
      <c r="O495" s="11">
        <v>0.54272721785146583</v>
      </c>
      <c r="P495" s="10">
        <v>0</v>
      </c>
      <c r="Q495">
        <v>1</v>
      </c>
      <c r="R495">
        <v>0</v>
      </c>
      <c r="S495">
        <v>1</v>
      </c>
      <c r="T495">
        <v>0</v>
      </c>
      <c r="U495">
        <v>0</v>
      </c>
      <c r="V495" s="10">
        <v>0.60281690140845068</v>
      </c>
      <c r="W495" s="5">
        <v>1</v>
      </c>
      <c r="X495" s="5">
        <v>1</v>
      </c>
      <c r="Y495" s="5">
        <v>1</v>
      </c>
      <c r="Z495" s="5">
        <v>3</v>
      </c>
    </row>
    <row r="496" spans="1:26" x14ac:dyDescent="0.35">
      <c r="A496">
        <v>495</v>
      </c>
      <c r="B496" s="10">
        <v>0.39215686274509803</v>
      </c>
      <c r="C496">
        <v>1</v>
      </c>
      <c r="D496">
        <v>0</v>
      </c>
      <c r="E496">
        <v>0</v>
      </c>
      <c r="F496">
        <v>0</v>
      </c>
      <c r="G496">
        <v>1</v>
      </c>
      <c r="H496">
        <v>1</v>
      </c>
      <c r="I496">
        <v>0</v>
      </c>
      <c r="J496" s="10">
        <v>0.75499787324542744</v>
      </c>
      <c r="K496">
        <v>0</v>
      </c>
      <c r="L496">
        <v>0</v>
      </c>
      <c r="M496">
        <v>1</v>
      </c>
      <c r="N496" s="10">
        <v>0.51191266023742388</v>
      </c>
      <c r="O496" s="11">
        <v>0.58288899173021591</v>
      </c>
      <c r="P496" s="10">
        <v>0.625</v>
      </c>
      <c r="Q496">
        <v>1</v>
      </c>
      <c r="R496">
        <v>1</v>
      </c>
      <c r="S496">
        <v>0</v>
      </c>
      <c r="T496">
        <v>1</v>
      </c>
      <c r="U496">
        <v>0</v>
      </c>
      <c r="V496" s="10">
        <v>6.4788732394366194E-2</v>
      </c>
      <c r="W496" s="5">
        <v>3</v>
      </c>
      <c r="X496" s="5">
        <v>2</v>
      </c>
      <c r="Y496" s="5">
        <v>3</v>
      </c>
      <c r="Z496" s="5">
        <v>8</v>
      </c>
    </row>
    <row r="497" spans="1:26" x14ac:dyDescent="0.35">
      <c r="A497">
        <v>496</v>
      </c>
      <c r="B497" s="10">
        <v>0.11764705882352941</v>
      </c>
      <c r="C497">
        <v>0</v>
      </c>
      <c r="D497">
        <v>0</v>
      </c>
      <c r="E497">
        <v>0</v>
      </c>
      <c r="F497">
        <v>0</v>
      </c>
      <c r="G497">
        <v>1</v>
      </c>
      <c r="H497">
        <v>3</v>
      </c>
      <c r="I497">
        <v>0</v>
      </c>
      <c r="J497" s="10">
        <v>1.9991492981709911E-2</v>
      </c>
      <c r="K497">
        <v>0</v>
      </c>
      <c r="L497">
        <v>1</v>
      </c>
      <c r="M497">
        <v>0</v>
      </c>
      <c r="N497" s="10">
        <v>6.1307845413833127E-2</v>
      </c>
      <c r="O497" s="11">
        <v>0.21810297993923417</v>
      </c>
      <c r="P497" s="10">
        <v>0.125</v>
      </c>
      <c r="Q497">
        <v>1</v>
      </c>
      <c r="R497">
        <v>0</v>
      </c>
      <c r="S497">
        <v>0</v>
      </c>
      <c r="T497">
        <v>0</v>
      </c>
      <c r="U497">
        <v>1</v>
      </c>
      <c r="V497" s="10">
        <v>0.62816901408450709</v>
      </c>
      <c r="W497" s="5">
        <v>1</v>
      </c>
      <c r="X497" s="5">
        <v>1</v>
      </c>
      <c r="Y497" s="5">
        <v>1</v>
      </c>
      <c r="Z497" s="5">
        <v>3</v>
      </c>
    </row>
    <row r="498" spans="1:26" x14ac:dyDescent="0.35">
      <c r="A498">
        <v>497</v>
      </c>
      <c r="B498" s="10">
        <v>0.17647058823529413</v>
      </c>
      <c r="C498">
        <v>1</v>
      </c>
      <c r="D498">
        <v>0</v>
      </c>
      <c r="E498">
        <v>0</v>
      </c>
      <c r="F498">
        <v>1</v>
      </c>
      <c r="G498">
        <v>0</v>
      </c>
      <c r="H498">
        <v>3</v>
      </c>
      <c r="I498">
        <v>0</v>
      </c>
      <c r="J498" s="10">
        <v>0.81624840493407058</v>
      </c>
      <c r="K498">
        <v>1</v>
      </c>
      <c r="L498">
        <v>0</v>
      </c>
      <c r="M498">
        <v>0</v>
      </c>
      <c r="N498" s="10">
        <v>0.45760076297893515</v>
      </c>
      <c r="O498" s="11">
        <v>0.52139546738029607</v>
      </c>
      <c r="P498" s="10">
        <v>0.625</v>
      </c>
      <c r="Q498">
        <v>2</v>
      </c>
      <c r="R498">
        <v>1</v>
      </c>
      <c r="S498">
        <v>1</v>
      </c>
      <c r="T498">
        <v>0</v>
      </c>
      <c r="U498">
        <v>0</v>
      </c>
      <c r="V498" s="10">
        <v>4.788732394366197E-2</v>
      </c>
      <c r="W498" s="5">
        <v>3</v>
      </c>
      <c r="X498" s="5">
        <v>2</v>
      </c>
      <c r="Y498" s="5">
        <v>2</v>
      </c>
      <c r="Z498" s="5">
        <v>7</v>
      </c>
    </row>
    <row r="499" spans="1:26" x14ac:dyDescent="0.35">
      <c r="A499">
        <v>498</v>
      </c>
      <c r="B499" s="10">
        <v>0.52941176470588236</v>
      </c>
      <c r="C499">
        <v>0</v>
      </c>
      <c r="D499">
        <v>1</v>
      </c>
      <c r="E499">
        <v>0</v>
      </c>
      <c r="F499">
        <v>0</v>
      </c>
      <c r="G499">
        <v>0</v>
      </c>
      <c r="H499">
        <v>1</v>
      </c>
      <c r="I499">
        <v>1</v>
      </c>
      <c r="J499" s="10">
        <v>0.10165886856656743</v>
      </c>
      <c r="K499">
        <v>0</v>
      </c>
      <c r="L499">
        <v>1</v>
      </c>
      <c r="M499">
        <v>0</v>
      </c>
      <c r="N499" s="10">
        <v>0.22335793663957537</v>
      </c>
      <c r="O499" s="11">
        <v>0.76853659027344612</v>
      </c>
      <c r="P499" s="10">
        <v>0.125</v>
      </c>
      <c r="Q499">
        <v>0</v>
      </c>
      <c r="R499">
        <v>0</v>
      </c>
      <c r="S499">
        <v>0</v>
      </c>
      <c r="T499">
        <v>0</v>
      </c>
      <c r="U499">
        <v>0</v>
      </c>
      <c r="V499" s="10">
        <v>0.45352112676056339</v>
      </c>
      <c r="W499" s="5">
        <v>1</v>
      </c>
      <c r="X499" s="5">
        <v>1</v>
      </c>
      <c r="Y499" s="5">
        <v>1</v>
      </c>
      <c r="Z499" s="5">
        <v>3</v>
      </c>
    </row>
    <row r="500" spans="1:26" x14ac:dyDescent="0.35">
      <c r="A500">
        <v>499</v>
      </c>
      <c r="B500" s="10">
        <v>0.92156862745098034</v>
      </c>
      <c r="C500">
        <v>1</v>
      </c>
      <c r="D500">
        <v>0</v>
      </c>
      <c r="E500">
        <v>1</v>
      </c>
      <c r="F500">
        <v>0</v>
      </c>
      <c r="G500">
        <v>0</v>
      </c>
      <c r="H500">
        <v>2</v>
      </c>
      <c r="I500">
        <v>0</v>
      </c>
      <c r="J500" s="10">
        <v>4.0408336877924292E-2</v>
      </c>
      <c r="K500">
        <v>1</v>
      </c>
      <c r="L500">
        <v>0</v>
      </c>
      <c r="M500">
        <v>0</v>
      </c>
      <c r="N500" s="10">
        <v>0.13297929057176028</v>
      </c>
      <c r="O500" s="11">
        <v>0.46154852210306041</v>
      </c>
      <c r="P500" s="10">
        <v>0.125</v>
      </c>
      <c r="Q500">
        <v>1</v>
      </c>
      <c r="R500">
        <v>0</v>
      </c>
      <c r="S500">
        <v>1</v>
      </c>
      <c r="T500">
        <v>0</v>
      </c>
      <c r="U500">
        <v>0</v>
      </c>
      <c r="V500" s="10">
        <v>9.8591549295774641E-2</v>
      </c>
      <c r="W500" s="5">
        <v>2</v>
      </c>
      <c r="X500" s="5">
        <v>1</v>
      </c>
      <c r="Y500" s="5">
        <v>1</v>
      </c>
      <c r="Z500" s="5">
        <v>4</v>
      </c>
    </row>
    <row r="501" spans="1:26" x14ac:dyDescent="0.35">
      <c r="A501">
        <v>500</v>
      </c>
      <c r="B501" s="10">
        <v>0.68627450980392157</v>
      </c>
      <c r="C501">
        <v>1</v>
      </c>
      <c r="D501">
        <v>0</v>
      </c>
      <c r="E501">
        <v>0</v>
      </c>
      <c r="F501">
        <v>1</v>
      </c>
      <c r="G501">
        <v>0</v>
      </c>
      <c r="H501">
        <v>2</v>
      </c>
      <c r="I501">
        <v>0</v>
      </c>
      <c r="J501" s="10">
        <v>0.93874946831135686</v>
      </c>
      <c r="K501">
        <v>0</v>
      </c>
      <c r="L501">
        <v>0</v>
      </c>
      <c r="M501">
        <v>1</v>
      </c>
      <c r="N501" s="10">
        <v>0.71660190033883842</v>
      </c>
      <c r="O501" s="11">
        <v>0.54309610522009166</v>
      </c>
      <c r="P501" s="10"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 s="10">
        <v>0.18028169014084508</v>
      </c>
      <c r="W501" s="5">
        <v>2</v>
      </c>
      <c r="X501" s="5">
        <v>3</v>
      </c>
      <c r="Y501" s="5">
        <v>3</v>
      </c>
      <c r="Z501" s="5">
        <v>8</v>
      </c>
    </row>
    <row r="502" spans="1:26" x14ac:dyDescent="0.35">
      <c r="A502">
        <v>501</v>
      </c>
      <c r="B502" s="10">
        <v>0.37254901960784315</v>
      </c>
      <c r="C502">
        <v>1</v>
      </c>
      <c r="D502">
        <v>0</v>
      </c>
      <c r="E502">
        <v>1</v>
      </c>
      <c r="F502">
        <v>0</v>
      </c>
      <c r="G502">
        <v>0</v>
      </c>
      <c r="H502">
        <v>1</v>
      </c>
      <c r="I502">
        <v>0</v>
      </c>
      <c r="J502" s="10">
        <v>0.509995746490855</v>
      </c>
      <c r="K502">
        <v>0</v>
      </c>
      <c r="L502">
        <v>0</v>
      </c>
      <c r="M502">
        <v>1</v>
      </c>
      <c r="N502" s="10">
        <v>0.38722958083548559</v>
      </c>
      <c r="O502" s="11">
        <v>0.33128936195899311</v>
      </c>
      <c r="P502" s="10">
        <v>0.875</v>
      </c>
      <c r="Q502">
        <v>0</v>
      </c>
      <c r="R502">
        <v>0</v>
      </c>
      <c r="S502">
        <v>0</v>
      </c>
      <c r="T502">
        <v>0</v>
      </c>
      <c r="U502">
        <v>0</v>
      </c>
      <c r="V502" s="10">
        <v>5.6338028169014088E-3</v>
      </c>
      <c r="W502" s="5">
        <v>3</v>
      </c>
      <c r="X502" s="5">
        <v>3</v>
      </c>
      <c r="Y502" s="5">
        <v>2</v>
      </c>
      <c r="Z502" s="5">
        <v>8</v>
      </c>
    </row>
    <row r="503" spans="1:26" x14ac:dyDescent="0.35">
      <c r="A503">
        <v>502</v>
      </c>
      <c r="B503" s="10">
        <v>0.23529411764705882</v>
      </c>
      <c r="C503">
        <v>1</v>
      </c>
      <c r="D503">
        <v>0</v>
      </c>
      <c r="E503">
        <v>1</v>
      </c>
      <c r="F503">
        <v>0</v>
      </c>
      <c r="G503">
        <v>0</v>
      </c>
      <c r="H503">
        <v>3</v>
      </c>
      <c r="I503">
        <v>0</v>
      </c>
      <c r="J503" s="10">
        <v>0.7754147171416419</v>
      </c>
      <c r="K503">
        <v>1</v>
      </c>
      <c r="L503">
        <v>0</v>
      </c>
      <c r="M503">
        <v>0</v>
      </c>
      <c r="N503" s="10">
        <v>0.20541489941473354</v>
      </c>
      <c r="O503" s="11">
        <v>0.3537948449666995</v>
      </c>
      <c r="P503" s="10">
        <v>0.375</v>
      </c>
      <c r="Q503">
        <v>2</v>
      </c>
      <c r="R503">
        <v>1</v>
      </c>
      <c r="S503">
        <v>1</v>
      </c>
      <c r="T503">
        <v>0</v>
      </c>
      <c r="U503">
        <v>1</v>
      </c>
      <c r="V503" s="10">
        <v>0.11830985915492957</v>
      </c>
      <c r="W503" s="5">
        <v>2</v>
      </c>
      <c r="X503" s="5">
        <v>2</v>
      </c>
      <c r="Y503" s="5">
        <v>1</v>
      </c>
      <c r="Z503" s="5">
        <v>5</v>
      </c>
    </row>
    <row r="504" spans="1:26" x14ac:dyDescent="0.35">
      <c r="A504">
        <v>503</v>
      </c>
      <c r="B504" s="10">
        <v>0.35294117647058826</v>
      </c>
      <c r="C504">
        <v>0</v>
      </c>
      <c r="D504">
        <v>1</v>
      </c>
      <c r="E504">
        <v>0</v>
      </c>
      <c r="F504">
        <v>0</v>
      </c>
      <c r="G504">
        <v>0</v>
      </c>
      <c r="H504">
        <v>3</v>
      </c>
      <c r="I504">
        <v>0</v>
      </c>
      <c r="J504" s="10">
        <v>0.509995746490855</v>
      </c>
      <c r="K504">
        <v>0</v>
      </c>
      <c r="L504">
        <v>1</v>
      </c>
      <c r="M504">
        <v>0</v>
      </c>
      <c r="N504" s="10">
        <v>0.39297561784707247</v>
      </c>
      <c r="O504" s="11">
        <v>0.44822498105260333</v>
      </c>
      <c r="P504" s="10">
        <v>0.625</v>
      </c>
      <c r="Q504">
        <v>0</v>
      </c>
      <c r="R504">
        <v>0</v>
      </c>
      <c r="S504">
        <v>0</v>
      </c>
      <c r="T504">
        <v>0</v>
      </c>
      <c r="U504">
        <v>0</v>
      </c>
      <c r="V504" s="10">
        <v>8.1690140845070425E-2</v>
      </c>
      <c r="W504" s="5">
        <v>2</v>
      </c>
      <c r="X504" s="5">
        <v>2</v>
      </c>
      <c r="Y504" s="5">
        <v>2</v>
      </c>
      <c r="Z504" s="5">
        <v>6</v>
      </c>
    </row>
    <row r="505" spans="1:26" x14ac:dyDescent="0.35">
      <c r="A505">
        <v>504</v>
      </c>
      <c r="B505" s="10">
        <v>0.96078431372549022</v>
      </c>
      <c r="C505">
        <v>1</v>
      </c>
      <c r="D505">
        <v>0</v>
      </c>
      <c r="E505">
        <v>1</v>
      </c>
      <c r="F505">
        <v>0</v>
      </c>
      <c r="G505">
        <v>0</v>
      </c>
      <c r="H505">
        <v>3</v>
      </c>
      <c r="I505">
        <v>0</v>
      </c>
      <c r="J505" s="10">
        <v>0.97958315610378566</v>
      </c>
      <c r="K505">
        <v>1</v>
      </c>
      <c r="L505">
        <v>0</v>
      </c>
      <c r="M505">
        <v>0</v>
      </c>
      <c r="N505" s="10">
        <v>0.16057211572637015</v>
      </c>
      <c r="O505" s="11">
        <v>0.37018182793751714</v>
      </c>
      <c r="P505" s="10">
        <v>0.25</v>
      </c>
      <c r="Q505">
        <v>1</v>
      </c>
      <c r="R505">
        <v>1</v>
      </c>
      <c r="S505">
        <v>0</v>
      </c>
      <c r="T505">
        <v>0</v>
      </c>
      <c r="U505">
        <v>1</v>
      </c>
      <c r="V505" s="10">
        <v>0.61408450704225348</v>
      </c>
      <c r="W505" s="5">
        <v>1</v>
      </c>
      <c r="X505" s="5">
        <v>2</v>
      </c>
      <c r="Y505" s="5">
        <v>1</v>
      </c>
      <c r="Z505" s="5">
        <v>4</v>
      </c>
    </row>
    <row r="506" spans="1:26" x14ac:dyDescent="0.35">
      <c r="A506">
        <v>505</v>
      </c>
      <c r="B506" s="10">
        <v>0.19607843137254902</v>
      </c>
      <c r="C506">
        <v>1</v>
      </c>
      <c r="D506">
        <v>1</v>
      </c>
      <c r="E506">
        <v>0</v>
      </c>
      <c r="F506">
        <v>0</v>
      </c>
      <c r="G506">
        <v>0</v>
      </c>
      <c r="H506">
        <v>3</v>
      </c>
      <c r="I506">
        <v>0</v>
      </c>
      <c r="J506" s="10">
        <v>0.44874521480221186</v>
      </c>
      <c r="K506">
        <v>1</v>
      </c>
      <c r="L506">
        <v>0</v>
      </c>
      <c r="M506">
        <v>0</v>
      </c>
      <c r="N506" s="10">
        <v>0.68209013577233835</v>
      </c>
      <c r="O506" s="11">
        <v>0.66477336422405731</v>
      </c>
      <c r="P506" s="10">
        <v>0.75</v>
      </c>
      <c r="Q506">
        <v>2</v>
      </c>
      <c r="R506">
        <v>1</v>
      </c>
      <c r="S506">
        <v>1</v>
      </c>
      <c r="T506">
        <v>0</v>
      </c>
      <c r="U506">
        <v>0</v>
      </c>
      <c r="V506" s="10">
        <v>3.3802816901408447E-2</v>
      </c>
      <c r="W506" s="5">
        <v>3</v>
      </c>
      <c r="X506" s="5">
        <v>2</v>
      </c>
      <c r="Y506" s="5">
        <v>3</v>
      </c>
      <c r="Z506" s="5">
        <v>8</v>
      </c>
    </row>
    <row r="507" spans="1:26" x14ac:dyDescent="0.35">
      <c r="A507">
        <v>506</v>
      </c>
      <c r="B507" s="10">
        <v>0.66666666666666663</v>
      </c>
      <c r="C507">
        <v>0</v>
      </c>
      <c r="D507">
        <v>0</v>
      </c>
      <c r="E507">
        <v>0</v>
      </c>
      <c r="F507">
        <v>0</v>
      </c>
      <c r="G507">
        <v>1</v>
      </c>
      <c r="H507">
        <v>1</v>
      </c>
      <c r="I507">
        <v>1</v>
      </c>
      <c r="J507" s="10">
        <v>1.9991492981709911E-2</v>
      </c>
      <c r="K507">
        <v>0</v>
      </c>
      <c r="L507">
        <v>0</v>
      </c>
      <c r="M507">
        <v>1</v>
      </c>
      <c r="N507" s="10">
        <v>0.2961697035755752</v>
      </c>
      <c r="O507" s="11">
        <v>0.50792772490392157</v>
      </c>
      <c r="P507" s="10">
        <v>0.375</v>
      </c>
      <c r="Q507">
        <v>2</v>
      </c>
      <c r="R507">
        <v>1</v>
      </c>
      <c r="S507">
        <v>1</v>
      </c>
      <c r="T507">
        <v>1</v>
      </c>
      <c r="U507">
        <v>0</v>
      </c>
      <c r="V507" s="10">
        <v>0.80845070422535215</v>
      </c>
      <c r="W507" s="5">
        <v>1</v>
      </c>
      <c r="X507" s="5">
        <v>2</v>
      </c>
      <c r="Y507" s="5">
        <v>2</v>
      </c>
      <c r="Z507" s="5">
        <v>5</v>
      </c>
    </row>
    <row r="508" spans="1:26" x14ac:dyDescent="0.35">
      <c r="A508">
        <v>507</v>
      </c>
      <c r="B508" s="10">
        <v>0.6470588235294118</v>
      </c>
      <c r="C508">
        <v>1</v>
      </c>
      <c r="D508">
        <v>1</v>
      </c>
      <c r="E508">
        <v>0</v>
      </c>
      <c r="F508">
        <v>0</v>
      </c>
      <c r="G508">
        <v>0</v>
      </c>
      <c r="H508">
        <v>3</v>
      </c>
      <c r="I508">
        <v>1</v>
      </c>
      <c r="J508" s="10">
        <v>0.509995746490855</v>
      </c>
      <c r="K508">
        <v>0</v>
      </c>
      <c r="L508">
        <v>0</v>
      </c>
      <c r="M508">
        <v>1</v>
      </c>
      <c r="N508" s="10">
        <v>0.68574212733691908</v>
      </c>
      <c r="O508" s="11">
        <v>0.51980254465213926</v>
      </c>
      <c r="P508" s="10">
        <v>1</v>
      </c>
      <c r="Q508">
        <v>2</v>
      </c>
      <c r="R508">
        <v>1</v>
      </c>
      <c r="S508">
        <v>1</v>
      </c>
      <c r="T508">
        <v>1</v>
      </c>
      <c r="U508">
        <v>0</v>
      </c>
      <c r="V508" s="10">
        <v>0.22816901408450704</v>
      </c>
      <c r="W508" s="5">
        <v>2</v>
      </c>
      <c r="X508" s="5">
        <v>3</v>
      </c>
      <c r="Y508" s="5">
        <v>3</v>
      </c>
      <c r="Z508" s="5">
        <v>8</v>
      </c>
    </row>
    <row r="509" spans="1:26" x14ac:dyDescent="0.35">
      <c r="A509">
        <v>508</v>
      </c>
      <c r="B509" s="10">
        <v>0.84313725490196079</v>
      </c>
      <c r="C509">
        <v>0</v>
      </c>
      <c r="D509">
        <v>0</v>
      </c>
      <c r="E509">
        <v>0</v>
      </c>
      <c r="F509">
        <v>1</v>
      </c>
      <c r="G509">
        <v>0</v>
      </c>
      <c r="H509">
        <v>1</v>
      </c>
      <c r="I509">
        <v>0</v>
      </c>
      <c r="J509" s="10">
        <v>0.67333049766056996</v>
      </c>
      <c r="K509">
        <v>0</v>
      </c>
      <c r="L509">
        <v>0</v>
      </c>
      <c r="M509">
        <v>1</v>
      </c>
      <c r="N509" s="10">
        <v>0.45222199843613009</v>
      </c>
      <c r="O509" s="11">
        <v>0.61836656673172496</v>
      </c>
      <c r="P509" s="10">
        <v>0.5</v>
      </c>
      <c r="Q509">
        <v>0</v>
      </c>
      <c r="R509">
        <v>0</v>
      </c>
      <c r="S509">
        <v>0</v>
      </c>
      <c r="T509">
        <v>0</v>
      </c>
      <c r="U509">
        <v>0</v>
      </c>
      <c r="V509" s="10">
        <v>0.26197183098591548</v>
      </c>
      <c r="W509" s="5">
        <v>1</v>
      </c>
      <c r="X509" s="5">
        <v>2</v>
      </c>
      <c r="Y509" s="5">
        <v>2</v>
      </c>
      <c r="Z509" s="5">
        <v>5</v>
      </c>
    </row>
    <row r="510" spans="1:26" x14ac:dyDescent="0.35">
      <c r="A510">
        <v>509</v>
      </c>
      <c r="B510" s="10">
        <v>5.8823529411764705E-2</v>
      </c>
      <c r="C510">
        <v>0</v>
      </c>
      <c r="D510">
        <v>0</v>
      </c>
      <c r="E510">
        <v>1</v>
      </c>
      <c r="F510">
        <v>0</v>
      </c>
      <c r="G510">
        <v>0</v>
      </c>
      <c r="H510">
        <v>2</v>
      </c>
      <c r="I510">
        <v>1</v>
      </c>
      <c r="J510" s="10">
        <v>0.44874521480221186</v>
      </c>
      <c r="K510">
        <v>0</v>
      </c>
      <c r="L510">
        <v>1</v>
      </c>
      <c r="M510">
        <v>0</v>
      </c>
      <c r="N510" s="10">
        <v>0.72173186740279116</v>
      </c>
      <c r="O510" s="11">
        <v>0.54696830475015146</v>
      </c>
      <c r="P510" s="10">
        <v>1</v>
      </c>
      <c r="Q510">
        <v>1</v>
      </c>
      <c r="R510">
        <v>1</v>
      </c>
      <c r="S510">
        <v>0</v>
      </c>
      <c r="T510">
        <v>1</v>
      </c>
      <c r="U510">
        <v>0</v>
      </c>
      <c r="V510" s="10">
        <v>1.1267605633802818E-2</v>
      </c>
      <c r="W510" s="5">
        <v>3</v>
      </c>
      <c r="X510" s="5">
        <v>3</v>
      </c>
      <c r="Y510" s="5">
        <v>3</v>
      </c>
      <c r="Z510" s="5">
        <v>9</v>
      </c>
    </row>
    <row r="511" spans="1:26" x14ac:dyDescent="0.35">
      <c r="A511">
        <v>510</v>
      </c>
      <c r="B511" s="10">
        <v>0.23529411764705882</v>
      </c>
      <c r="C511">
        <v>1</v>
      </c>
      <c r="D511">
        <v>1</v>
      </c>
      <c r="E511">
        <v>0</v>
      </c>
      <c r="F511">
        <v>0</v>
      </c>
      <c r="G511">
        <v>0</v>
      </c>
      <c r="H511">
        <v>2</v>
      </c>
      <c r="I511">
        <v>1</v>
      </c>
      <c r="J511" s="10">
        <v>0.63249680986814127</v>
      </c>
      <c r="K511">
        <v>1</v>
      </c>
      <c r="L511">
        <v>0</v>
      </c>
      <c r="M511">
        <v>0</v>
      </c>
      <c r="N511" s="10">
        <v>0.1132324716252399</v>
      </c>
      <c r="O511" s="11">
        <v>0.78894947584458441</v>
      </c>
      <c r="P511" s="10">
        <v>0</v>
      </c>
      <c r="Q511">
        <v>1</v>
      </c>
      <c r="R511">
        <v>1</v>
      </c>
      <c r="S511">
        <v>1</v>
      </c>
      <c r="T511">
        <v>0</v>
      </c>
      <c r="U511">
        <v>0</v>
      </c>
      <c r="V511" s="10">
        <v>0.77183098591549293</v>
      </c>
      <c r="W511" s="5">
        <v>1</v>
      </c>
      <c r="X511" s="5">
        <v>1</v>
      </c>
      <c r="Y511" s="5">
        <v>1</v>
      </c>
      <c r="Z511" s="5">
        <v>3</v>
      </c>
    </row>
    <row r="512" spans="1:26" x14ac:dyDescent="0.35">
      <c r="A512">
        <v>511</v>
      </c>
      <c r="B512" s="10">
        <v>0.70588235294117652</v>
      </c>
      <c r="C512">
        <v>1</v>
      </c>
      <c r="D512">
        <v>0</v>
      </c>
      <c r="E512">
        <v>0</v>
      </c>
      <c r="F512">
        <v>1</v>
      </c>
      <c r="G512">
        <v>0</v>
      </c>
      <c r="H512">
        <v>3</v>
      </c>
      <c r="I512">
        <v>1</v>
      </c>
      <c r="J512" s="10">
        <v>0.38749468311356872</v>
      </c>
      <c r="K512">
        <v>0</v>
      </c>
      <c r="L512">
        <v>0</v>
      </c>
      <c r="M512">
        <v>1</v>
      </c>
      <c r="N512" s="10">
        <v>0.59773001919294833</v>
      </c>
      <c r="O512" s="11">
        <v>0.45336928308416674</v>
      </c>
      <c r="P512" s="10">
        <v>1</v>
      </c>
      <c r="Q512">
        <v>1</v>
      </c>
      <c r="R512">
        <v>0</v>
      </c>
      <c r="S512">
        <v>1</v>
      </c>
      <c r="T512">
        <v>0</v>
      </c>
      <c r="U512">
        <v>0</v>
      </c>
      <c r="V512" s="10">
        <v>1.9718309859154931E-2</v>
      </c>
      <c r="W512" s="5">
        <v>3</v>
      </c>
      <c r="X512" s="5">
        <v>3</v>
      </c>
      <c r="Y512" s="5">
        <v>3</v>
      </c>
      <c r="Z512" s="5">
        <v>9</v>
      </c>
    </row>
    <row r="513" spans="1:26" x14ac:dyDescent="0.35">
      <c r="A513">
        <v>512</v>
      </c>
      <c r="B513" s="10">
        <v>1.9607843137254902E-2</v>
      </c>
      <c r="C513">
        <v>0</v>
      </c>
      <c r="D513">
        <v>1</v>
      </c>
      <c r="E513">
        <v>0</v>
      </c>
      <c r="F513">
        <v>0</v>
      </c>
      <c r="G513">
        <v>0</v>
      </c>
      <c r="H513">
        <v>3</v>
      </c>
      <c r="I513">
        <v>0</v>
      </c>
      <c r="J513" s="10">
        <v>0.97958315610378566</v>
      </c>
      <c r="K513">
        <v>1</v>
      </c>
      <c r="L513">
        <v>0</v>
      </c>
      <c r="M513">
        <v>0</v>
      </c>
      <c r="N513" s="10">
        <v>0.40060836907328856</v>
      </c>
      <c r="O513" s="11">
        <v>0.5482404072516549</v>
      </c>
      <c r="P513" s="10">
        <v>0.5</v>
      </c>
      <c r="Q513">
        <v>0</v>
      </c>
      <c r="R513">
        <v>0</v>
      </c>
      <c r="S513">
        <v>0</v>
      </c>
      <c r="T513">
        <v>0</v>
      </c>
      <c r="U513">
        <v>0</v>
      </c>
      <c r="V513" s="10">
        <v>7.8873239436619724E-2</v>
      </c>
      <c r="W513" s="5">
        <v>3</v>
      </c>
      <c r="X513" s="5">
        <v>2</v>
      </c>
      <c r="Y513" s="5">
        <v>2</v>
      </c>
      <c r="Z513" s="5">
        <v>7</v>
      </c>
    </row>
    <row r="514" spans="1:26" x14ac:dyDescent="0.35">
      <c r="A514">
        <v>513</v>
      </c>
      <c r="B514" s="10">
        <v>0.96078431372549022</v>
      </c>
      <c r="C514">
        <v>0</v>
      </c>
      <c r="D514">
        <v>0</v>
      </c>
      <c r="E514">
        <v>1</v>
      </c>
      <c r="F514">
        <v>0</v>
      </c>
      <c r="G514">
        <v>0</v>
      </c>
      <c r="H514">
        <v>3</v>
      </c>
      <c r="I514">
        <v>0</v>
      </c>
      <c r="J514" s="10">
        <v>0.36707783921735437</v>
      </c>
      <c r="K514">
        <v>0</v>
      </c>
      <c r="L514">
        <v>0</v>
      </c>
      <c r="M514">
        <v>1</v>
      </c>
      <c r="N514" s="10">
        <v>4.8281520271070771E-2</v>
      </c>
      <c r="O514" s="11">
        <v>0.34771323366667339</v>
      </c>
      <c r="P514" s="10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 s="10">
        <v>0.54929577464788737</v>
      </c>
      <c r="W514" s="5">
        <v>1</v>
      </c>
      <c r="X514" s="5">
        <v>1</v>
      </c>
      <c r="Y514" s="5">
        <v>1</v>
      </c>
      <c r="Z514" s="5">
        <v>3</v>
      </c>
    </row>
    <row r="515" spans="1:26" x14ac:dyDescent="0.35">
      <c r="A515">
        <v>514</v>
      </c>
      <c r="B515" s="10">
        <v>0</v>
      </c>
      <c r="C515">
        <v>0</v>
      </c>
      <c r="D515">
        <v>0</v>
      </c>
      <c r="E515">
        <v>1</v>
      </c>
      <c r="F515">
        <v>0</v>
      </c>
      <c r="G515">
        <v>0</v>
      </c>
      <c r="H515">
        <v>2</v>
      </c>
      <c r="I515">
        <v>0</v>
      </c>
      <c r="J515" s="10">
        <v>1.9991492981709911E-2</v>
      </c>
      <c r="K515">
        <v>1</v>
      </c>
      <c r="L515">
        <v>0</v>
      </c>
      <c r="M515">
        <v>0</v>
      </c>
      <c r="N515" s="10">
        <v>0.47286034168187091</v>
      </c>
      <c r="O515" s="11">
        <v>0.53867281031811498</v>
      </c>
      <c r="P515" s="10">
        <v>0.625</v>
      </c>
      <c r="Q515">
        <v>0</v>
      </c>
      <c r="R515">
        <v>0</v>
      </c>
      <c r="S515">
        <v>0</v>
      </c>
      <c r="T515">
        <v>0</v>
      </c>
      <c r="U515">
        <v>0</v>
      </c>
      <c r="V515" s="10">
        <v>0.18028169014084508</v>
      </c>
      <c r="W515" s="5">
        <v>2</v>
      </c>
      <c r="X515" s="5">
        <v>2</v>
      </c>
      <c r="Y515" s="5">
        <v>3</v>
      </c>
      <c r="Z515" s="5">
        <v>7</v>
      </c>
    </row>
    <row r="516" spans="1:26" x14ac:dyDescent="0.35">
      <c r="A516">
        <v>515</v>
      </c>
      <c r="B516" s="10">
        <v>0.76470588235294112</v>
      </c>
      <c r="C516">
        <v>0</v>
      </c>
      <c r="D516">
        <v>0</v>
      </c>
      <c r="E516">
        <v>0</v>
      </c>
      <c r="F516">
        <v>1</v>
      </c>
      <c r="G516">
        <v>0</v>
      </c>
      <c r="H516">
        <v>1</v>
      </c>
      <c r="I516">
        <v>0</v>
      </c>
      <c r="J516" s="10">
        <v>0.38749468311356872</v>
      </c>
      <c r="K516">
        <v>0</v>
      </c>
      <c r="L516">
        <v>0</v>
      </c>
      <c r="M516">
        <v>1</v>
      </c>
      <c r="N516" s="10">
        <v>0.48272042271876414</v>
      </c>
      <c r="O516" s="11">
        <v>0.54983668350134485</v>
      </c>
      <c r="P516" s="10">
        <v>0.625</v>
      </c>
      <c r="Q516">
        <v>0</v>
      </c>
      <c r="R516">
        <v>0</v>
      </c>
      <c r="S516">
        <v>0</v>
      </c>
      <c r="T516">
        <v>0</v>
      </c>
      <c r="U516">
        <v>0</v>
      </c>
      <c r="V516" s="10">
        <v>7.8873239436619724E-2</v>
      </c>
      <c r="W516" s="5">
        <v>3</v>
      </c>
      <c r="X516" s="5">
        <v>2</v>
      </c>
      <c r="Y516" s="5">
        <v>3</v>
      </c>
      <c r="Z516" s="5">
        <v>8</v>
      </c>
    </row>
    <row r="517" spans="1:26" x14ac:dyDescent="0.35">
      <c r="A517">
        <v>516</v>
      </c>
      <c r="B517" s="10">
        <v>0.47058823529411764</v>
      </c>
      <c r="C517">
        <v>0</v>
      </c>
      <c r="D517">
        <v>0</v>
      </c>
      <c r="E517">
        <v>0</v>
      </c>
      <c r="F517">
        <v>1</v>
      </c>
      <c r="G517">
        <v>0</v>
      </c>
      <c r="H517">
        <v>1</v>
      </c>
      <c r="I517">
        <v>1</v>
      </c>
      <c r="J517" s="10">
        <v>0.28541046363249684</v>
      </c>
      <c r="K517">
        <v>1</v>
      </c>
      <c r="L517">
        <v>0</v>
      </c>
      <c r="M517">
        <v>0</v>
      </c>
      <c r="N517" s="10">
        <v>0.17842925858351302</v>
      </c>
      <c r="O517" s="11">
        <v>0.41061859058197014</v>
      </c>
      <c r="P517" s="10">
        <v>0.25</v>
      </c>
      <c r="Q517">
        <v>0</v>
      </c>
      <c r="R517">
        <v>0</v>
      </c>
      <c r="S517">
        <v>0</v>
      </c>
      <c r="T517">
        <v>0</v>
      </c>
      <c r="U517">
        <v>0</v>
      </c>
      <c r="V517" s="10">
        <v>0.27605633802816903</v>
      </c>
      <c r="W517" s="5">
        <v>1</v>
      </c>
      <c r="X517" s="5">
        <v>2</v>
      </c>
      <c r="Y517" s="5">
        <v>1</v>
      </c>
      <c r="Z517" s="5">
        <v>4</v>
      </c>
    </row>
    <row r="518" spans="1:26" x14ac:dyDescent="0.35">
      <c r="A518">
        <v>517</v>
      </c>
      <c r="B518" s="10">
        <v>0.70588235294117652</v>
      </c>
      <c r="C518">
        <v>0</v>
      </c>
      <c r="D518">
        <v>0</v>
      </c>
      <c r="E518">
        <v>0</v>
      </c>
      <c r="F518">
        <v>1</v>
      </c>
      <c r="G518">
        <v>0</v>
      </c>
      <c r="H518">
        <v>1</v>
      </c>
      <c r="I518">
        <v>0</v>
      </c>
      <c r="J518" s="10">
        <v>0.22415993194385367</v>
      </c>
      <c r="K518">
        <v>0</v>
      </c>
      <c r="L518">
        <v>0</v>
      </c>
      <c r="M518">
        <v>1</v>
      </c>
      <c r="N518" s="10">
        <v>0.31519678695827308</v>
      </c>
      <c r="O518" s="11">
        <v>0.43219380671643293</v>
      </c>
      <c r="P518" s="10">
        <v>0.5</v>
      </c>
      <c r="Q518">
        <v>0</v>
      </c>
      <c r="R518">
        <v>0</v>
      </c>
      <c r="S518">
        <v>0</v>
      </c>
      <c r="T518">
        <v>0</v>
      </c>
      <c r="U518">
        <v>0</v>
      </c>
      <c r="V518" s="10">
        <v>2.8169014084507043E-2</v>
      </c>
      <c r="W518" s="5">
        <v>3</v>
      </c>
      <c r="X518" s="5">
        <v>2</v>
      </c>
      <c r="Y518" s="5">
        <v>2</v>
      </c>
      <c r="Z518" s="5">
        <v>7</v>
      </c>
    </row>
    <row r="519" spans="1:26" x14ac:dyDescent="0.35">
      <c r="A519">
        <v>518</v>
      </c>
      <c r="B519" s="10">
        <v>0.68627450980392157</v>
      </c>
      <c r="C519">
        <v>0</v>
      </c>
      <c r="D519">
        <v>0</v>
      </c>
      <c r="E519">
        <v>0</v>
      </c>
      <c r="F519">
        <v>1</v>
      </c>
      <c r="G519">
        <v>0</v>
      </c>
      <c r="H519">
        <v>3</v>
      </c>
      <c r="I519">
        <v>1</v>
      </c>
      <c r="J519" s="10">
        <v>0.16290940025521056</v>
      </c>
      <c r="K519">
        <v>1</v>
      </c>
      <c r="L519">
        <v>0</v>
      </c>
      <c r="M519">
        <v>0</v>
      </c>
      <c r="N519" s="10">
        <v>0.9089401227400894</v>
      </c>
      <c r="O519" s="11">
        <v>0.68827675942507227</v>
      </c>
      <c r="P519" s="10">
        <v>1</v>
      </c>
      <c r="Q519">
        <v>2</v>
      </c>
      <c r="R519">
        <v>1</v>
      </c>
      <c r="S519">
        <v>0</v>
      </c>
      <c r="T519">
        <v>1</v>
      </c>
      <c r="U519">
        <v>1</v>
      </c>
      <c r="V519" s="10">
        <v>0.13521126760563379</v>
      </c>
      <c r="W519" s="5">
        <v>2</v>
      </c>
      <c r="X519" s="5">
        <v>3</v>
      </c>
      <c r="Y519" s="5">
        <v>3</v>
      </c>
      <c r="Z519" s="5">
        <v>8</v>
      </c>
    </row>
    <row r="520" spans="1:26" x14ac:dyDescent="0.35">
      <c r="A520">
        <v>519</v>
      </c>
      <c r="B520" s="10">
        <v>9.8039215686274508E-2</v>
      </c>
      <c r="C520">
        <v>0</v>
      </c>
      <c r="D520">
        <v>0</v>
      </c>
      <c r="E520">
        <v>0</v>
      </c>
      <c r="F520">
        <v>1</v>
      </c>
      <c r="G520">
        <v>0</v>
      </c>
      <c r="H520">
        <v>1</v>
      </c>
      <c r="I520">
        <v>0</v>
      </c>
      <c r="J520" s="10">
        <v>0.36707783921735437</v>
      </c>
      <c r="K520">
        <v>1</v>
      </c>
      <c r="L520">
        <v>0</v>
      </c>
      <c r="M520">
        <v>0</v>
      </c>
      <c r="N520" s="10">
        <v>0.55819491505343222</v>
      </c>
      <c r="O520" s="11">
        <v>0.42352741280285094</v>
      </c>
      <c r="P520" s="10">
        <v>1</v>
      </c>
      <c r="Q520">
        <v>2</v>
      </c>
      <c r="R520">
        <v>1</v>
      </c>
      <c r="S520">
        <v>1</v>
      </c>
      <c r="T520">
        <v>0</v>
      </c>
      <c r="U520">
        <v>0</v>
      </c>
      <c r="V520" s="10">
        <v>0.10985915492957747</v>
      </c>
      <c r="W520" s="5">
        <v>2</v>
      </c>
      <c r="X520" s="5">
        <v>3</v>
      </c>
      <c r="Y520" s="5">
        <v>3</v>
      </c>
      <c r="Z520" s="5">
        <v>8</v>
      </c>
    </row>
    <row r="521" spans="1:26" x14ac:dyDescent="0.35">
      <c r="A521">
        <v>520</v>
      </c>
      <c r="B521" s="10">
        <v>0.11764705882352941</v>
      </c>
      <c r="C521">
        <v>1</v>
      </c>
      <c r="D521">
        <v>0</v>
      </c>
      <c r="E521">
        <v>1</v>
      </c>
      <c r="F521">
        <v>0</v>
      </c>
      <c r="G521">
        <v>0</v>
      </c>
      <c r="H521">
        <v>3</v>
      </c>
      <c r="I521">
        <v>0</v>
      </c>
      <c r="J521" s="10">
        <v>0.18332624415142493</v>
      </c>
      <c r="K521">
        <v>1</v>
      </c>
      <c r="L521">
        <v>0</v>
      </c>
      <c r="M521">
        <v>0</v>
      </c>
      <c r="N521" s="10">
        <v>0.5774145202947657</v>
      </c>
      <c r="O521" s="11">
        <v>0.78846254451799835</v>
      </c>
      <c r="P521" s="10">
        <v>0.5</v>
      </c>
      <c r="Q521">
        <v>2</v>
      </c>
      <c r="R521">
        <v>0</v>
      </c>
      <c r="S521">
        <v>1</v>
      </c>
      <c r="T521">
        <v>1</v>
      </c>
      <c r="U521">
        <v>0</v>
      </c>
      <c r="V521" s="10">
        <v>4.2253521126760563E-2</v>
      </c>
      <c r="W521" s="5">
        <v>3</v>
      </c>
      <c r="X521" s="5">
        <v>2</v>
      </c>
      <c r="Y521" s="5">
        <v>3</v>
      </c>
      <c r="Z521" s="5">
        <v>8</v>
      </c>
    </row>
    <row r="522" spans="1:26" x14ac:dyDescent="0.35">
      <c r="A522">
        <v>521</v>
      </c>
      <c r="B522" s="10">
        <v>5.8823529411764705E-2</v>
      </c>
      <c r="C522">
        <v>0</v>
      </c>
      <c r="D522">
        <v>0</v>
      </c>
      <c r="E522">
        <v>0</v>
      </c>
      <c r="F522">
        <v>0</v>
      </c>
      <c r="G522">
        <v>1</v>
      </c>
      <c r="H522">
        <v>2</v>
      </c>
      <c r="I522">
        <v>1</v>
      </c>
      <c r="J522" s="10">
        <v>0.87749893662271372</v>
      </c>
      <c r="K522">
        <v>0</v>
      </c>
      <c r="L522">
        <v>1</v>
      </c>
      <c r="M522">
        <v>0</v>
      </c>
      <c r="N522" s="10">
        <v>0.18836042461436392</v>
      </c>
      <c r="O522" s="11">
        <v>0.64966095897301757</v>
      </c>
      <c r="P522" s="10">
        <v>0.125</v>
      </c>
      <c r="Q522">
        <v>2</v>
      </c>
      <c r="R522">
        <v>1</v>
      </c>
      <c r="S522">
        <v>1</v>
      </c>
      <c r="T522">
        <v>0</v>
      </c>
      <c r="U522">
        <v>1</v>
      </c>
      <c r="V522" s="10">
        <v>0.74084507042253522</v>
      </c>
      <c r="W522" s="5">
        <v>1</v>
      </c>
      <c r="X522" s="5">
        <v>1</v>
      </c>
      <c r="Y522" s="5">
        <v>1</v>
      </c>
      <c r="Z522" s="5">
        <v>3</v>
      </c>
    </row>
    <row r="523" spans="1:26" x14ac:dyDescent="0.35">
      <c r="A523">
        <v>522</v>
      </c>
      <c r="B523" s="10">
        <v>0.66666666666666663</v>
      </c>
      <c r="C523">
        <v>1</v>
      </c>
      <c r="D523">
        <v>0</v>
      </c>
      <c r="E523">
        <v>0</v>
      </c>
      <c r="F523">
        <v>1</v>
      </c>
      <c r="G523">
        <v>0</v>
      </c>
      <c r="H523">
        <v>1</v>
      </c>
      <c r="I523">
        <v>0</v>
      </c>
      <c r="J523" s="10">
        <v>0.57124627817949813</v>
      </c>
      <c r="K523">
        <v>0</v>
      </c>
      <c r="L523">
        <v>1</v>
      </c>
      <c r="M523">
        <v>0</v>
      </c>
      <c r="N523" s="10">
        <v>0.75460867710826229</v>
      </c>
      <c r="O523" s="11">
        <v>0.57178436409406841</v>
      </c>
      <c r="P523" s="10">
        <v>1</v>
      </c>
      <c r="Q523">
        <v>2</v>
      </c>
      <c r="R523">
        <v>1</v>
      </c>
      <c r="S523">
        <v>0</v>
      </c>
      <c r="T523">
        <v>0</v>
      </c>
      <c r="U523">
        <v>1</v>
      </c>
      <c r="V523" s="10">
        <v>0.14647887323943662</v>
      </c>
      <c r="W523" s="5">
        <v>2</v>
      </c>
      <c r="X523" s="5">
        <v>3</v>
      </c>
      <c r="Y523" s="5">
        <v>3</v>
      </c>
      <c r="Z523" s="5">
        <v>8</v>
      </c>
    </row>
    <row r="524" spans="1:26" x14ac:dyDescent="0.35">
      <c r="A524">
        <v>523</v>
      </c>
      <c r="B524" s="10">
        <v>0.78431372549019607</v>
      </c>
      <c r="C524">
        <v>1</v>
      </c>
      <c r="D524">
        <v>0</v>
      </c>
      <c r="E524">
        <v>0</v>
      </c>
      <c r="F524">
        <v>0</v>
      </c>
      <c r="G524">
        <v>1</v>
      </c>
      <c r="H524">
        <v>3</v>
      </c>
      <c r="I524">
        <v>0</v>
      </c>
      <c r="J524" s="10">
        <v>0.22415993194385367</v>
      </c>
      <c r="K524">
        <v>1</v>
      </c>
      <c r="L524">
        <v>0</v>
      </c>
      <c r="M524">
        <v>0</v>
      </c>
      <c r="N524" s="10">
        <v>0.61613510887851564</v>
      </c>
      <c r="O524" s="11">
        <v>0.46726180495471625</v>
      </c>
      <c r="P524" s="10">
        <v>1</v>
      </c>
      <c r="Q524">
        <v>0</v>
      </c>
      <c r="R524">
        <v>0</v>
      </c>
      <c r="S524">
        <v>0</v>
      </c>
      <c r="T524">
        <v>0</v>
      </c>
      <c r="U524">
        <v>0</v>
      </c>
      <c r="V524" s="10">
        <v>1.9718309859154931E-2</v>
      </c>
      <c r="W524" s="5">
        <v>3</v>
      </c>
      <c r="X524" s="5">
        <v>3</v>
      </c>
      <c r="Y524" s="5">
        <v>3</v>
      </c>
      <c r="Z524" s="5">
        <v>9</v>
      </c>
    </row>
    <row r="525" spans="1:26" x14ac:dyDescent="0.35">
      <c r="A525">
        <v>524</v>
      </c>
      <c r="B525" s="10">
        <v>0.6470588235294118</v>
      </c>
      <c r="C525">
        <v>0</v>
      </c>
      <c r="D525">
        <v>0</v>
      </c>
      <c r="E525">
        <v>0</v>
      </c>
      <c r="F525">
        <v>1</v>
      </c>
      <c r="G525">
        <v>0</v>
      </c>
      <c r="H525">
        <v>1</v>
      </c>
      <c r="I525">
        <v>0</v>
      </c>
      <c r="J525" s="10">
        <v>1</v>
      </c>
      <c r="K525">
        <v>0</v>
      </c>
      <c r="L525">
        <v>0</v>
      </c>
      <c r="M525">
        <v>1</v>
      </c>
      <c r="N525" s="10">
        <v>0.75692486316138652</v>
      </c>
      <c r="O525" s="11">
        <v>0.57353266665325264</v>
      </c>
      <c r="P525" s="10">
        <v>1</v>
      </c>
      <c r="Q525">
        <v>1</v>
      </c>
      <c r="R525">
        <v>1</v>
      </c>
      <c r="S525">
        <v>0</v>
      </c>
      <c r="T525">
        <v>0</v>
      </c>
      <c r="U525">
        <v>1</v>
      </c>
      <c r="V525" s="10">
        <v>0.10704225352112676</v>
      </c>
      <c r="W525" s="5">
        <v>2</v>
      </c>
      <c r="X525" s="5">
        <v>3</v>
      </c>
      <c r="Y525" s="5">
        <v>3</v>
      </c>
      <c r="Z525" s="5">
        <v>8</v>
      </c>
    </row>
    <row r="526" spans="1:26" x14ac:dyDescent="0.35">
      <c r="A526">
        <v>525</v>
      </c>
      <c r="B526" s="10">
        <v>0.5490196078431373</v>
      </c>
      <c r="C526">
        <v>0</v>
      </c>
      <c r="D526">
        <v>0</v>
      </c>
      <c r="E526">
        <v>0</v>
      </c>
      <c r="F526">
        <v>1</v>
      </c>
      <c r="G526">
        <v>0</v>
      </c>
      <c r="H526">
        <v>2</v>
      </c>
      <c r="I526">
        <v>0</v>
      </c>
      <c r="J526" s="10">
        <v>0.83666524883028492</v>
      </c>
      <c r="K526">
        <v>0</v>
      </c>
      <c r="L526">
        <v>1</v>
      </c>
      <c r="M526">
        <v>0</v>
      </c>
      <c r="N526" s="10">
        <v>0.13406629860436461</v>
      </c>
      <c r="O526" s="11">
        <v>0.23262037465542565</v>
      </c>
      <c r="P526" s="10">
        <v>0.375</v>
      </c>
      <c r="Q526">
        <v>1</v>
      </c>
      <c r="R526">
        <v>1</v>
      </c>
      <c r="S526">
        <v>0</v>
      </c>
      <c r="T526">
        <v>1</v>
      </c>
      <c r="U526">
        <v>0</v>
      </c>
      <c r="V526" s="10">
        <v>0.29859154929577464</v>
      </c>
      <c r="W526" s="5">
        <v>1</v>
      </c>
      <c r="X526" s="5">
        <v>2</v>
      </c>
      <c r="Y526" s="5">
        <v>1</v>
      </c>
      <c r="Z526" s="5">
        <v>4</v>
      </c>
    </row>
    <row r="527" spans="1:26" x14ac:dyDescent="0.35">
      <c r="A527">
        <v>526</v>
      </c>
      <c r="B527" s="10">
        <v>7.8431372549019607E-2</v>
      </c>
      <c r="C527">
        <v>1</v>
      </c>
      <c r="D527">
        <v>0</v>
      </c>
      <c r="E527">
        <v>0</v>
      </c>
      <c r="F527">
        <v>1</v>
      </c>
      <c r="G527">
        <v>0</v>
      </c>
      <c r="H527">
        <v>1</v>
      </c>
      <c r="I527">
        <v>0</v>
      </c>
      <c r="J527" s="10">
        <v>0.61207996597192693</v>
      </c>
      <c r="K527">
        <v>0</v>
      </c>
      <c r="L527">
        <v>0</v>
      </c>
      <c r="M527">
        <v>1</v>
      </c>
      <c r="N527" s="10">
        <v>0.12929175651020069</v>
      </c>
      <c r="O527" s="11">
        <v>0.22451155958872412</v>
      </c>
      <c r="P527" s="10">
        <v>0.375</v>
      </c>
      <c r="Q527">
        <v>1</v>
      </c>
      <c r="R527">
        <v>0</v>
      </c>
      <c r="S527">
        <v>0</v>
      </c>
      <c r="T527">
        <v>0</v>
      </c>
      <c r="U527">
        <v>1</v>
      </c>
      <c r="V527" s="10">
        <v>0.27323943661971833</v>
      </c>
      <c r="W527" s="5">
        <v>1</v>
      </c>
      <c r="X527" s="5">
        <v>2</v>
      </c>
      <c r="Y527" s="5">
        <v>1</v>
      </c>
      <c r="Z527" s="5">
        <v>4</v>
      </c>
    </row>
    <row r="528" spans="1:26" x14ac:dyDescent="0.35">
      <c r="A528">
        <v>527</v>
      </c>
      <c r="B528" s="10">
        <v>0.50980392156862742</v>
      </c>
      <c r="C528">
        <v>1</v>
      </c>
      <c r="D528">
        <v>0</v>
      </c>
      <c r="E528">
        <v>1</v>
      </c>
      <c r="F528">
        <v>0</v>
      </c>
      <c r="G528">
        <v>0</v>
      </c>
      <c r="H528">
        <v>1</v>
      </c>
      <c r="I528">
        <v>0</v>
      </c>
      <c r="J528" s="10">
        <v>0.89791578051892806</v>
      </c>
      <c r="K528">
        <v>0</v>
      </c>
      <c r="L528">
        <v>0</v>
      </c>
      <c r="M528">
        <v>1</v>
      </c>
      <c r="N528" s="10">
        <v>9.884072222353861E-2</v>
      </c>
      <c r="O528" s="11">
        <v>0.23039363635753907</v>
      </c>
      <c r="P528" s="10">
        <v>0.25</v>
      </c>
      <c r="Q528">
        <v>0</v>
      </c>
      <c r="R528">
        <v>0</v>
      </c>
      <c r="S528">
        <v>0</v>
      </c>
      <c r="T528">
        <v>0</v>
      </c>
      <c r="U528">
        <v>0</v>
      </c>
      <c r="V528" s="10">
        <v>2.5352112676056339E-2</v>
      </c>
      <c r="W528" s="5">
        <v>3</v>
      </c>
      <c r="X528" s="5">
        <v>2</v>
      </c>
      <c r="Y528" s="5">
        <v>1</v>
      </c>
      <c r="Z528" s="5">
        <v>6</v>
      </c>
    </row>
    <row r="529" spans="1:26" x14ac:dyDescent="0.35">
      <c r="A529">
        <v>528</v>
      </c>
      <c r="B529" s="10">
        <v>0.62745098039215685</v>
      </c>
      <c r="C529">
        <v>0</v>
      </c>
      <c r="D529">
        <v>0</v>
      </c>
      <c r="E529">
        <v>0</v>
      </c>
      <c r="F529">
        <v>0</v>
      </c>
      <c r="G529">
        <v>1</v>
      </c>
      <c r="H529">
        <v>2</v>
      </c>
      <c r="I529">
        <v>0</v>
      </c>
      <c r="J529" s="10">
        <v>0.55082943428328379</v>
      </c>
      <c r="K529">
        <v>0</v>
      </c>
      <c r="L529">
        <v>0</v>
      </c>
      <c r="M529">
        <v>1</v>
      </c>
      <c r="N529" s="10">
        <v>0.39800191929483686</v>
      </c>
      <c r="O529" s="11">
        <v>0.45391590709403945</v>
      </c>
      <c r="P529" s="10">
        <v>0.625</v>
      </c>
      <c r="Q529">
        <v>1</v>
      </c>
      <c r="R529">
        <v>0</v>
      </c>
      <c r="S529">
        <v>0</v>
      </c>
      <c r="T529">
        <v>0</v>
      </c>
      <c r="U529">
        <v>1</v>
      </c>
      <c r="V529" s="10">
        <v>3.3802816901408447E-2</v>
      </c>
      <c r="W529" s="5">
        <v>3</v>
      </c>
      <c r="X529" s="5">
        <v>2</v>
      </c>
      <c r="Y529" s="5">
        <v>2</v>
      </c>
      <c r="Z529" s="5">
        <v>7</v>
      </c>
    </row>
    <row r="530" spans="1:26" x14ac:dyDescent="0.35">
      <c r="A530">
        <v>529</v>
      </c>
      <c r="B530" s="10">
        <v>0.88235294117647056</v>
      </c>
      <c r="C530">
        <v>0</v>
      </c>
      <c r="D530">
        <v>0</v>
      </c>
      <c r="E530">
        <v>1</v>
      </c>
      <c r="F530">
        <v>0</v>
      </c>
      <c r="G530">
        <v>0</v>
      </c>
      <c r="H530">
        <v>3</v>
      </c>
      <c r="I530">
        <v>0</v>
      </c>
      <c r="J530" s="10">
        <v>0.53041259038706934</v>
      </c>
      <c r="K530">
        <v>0</v>
      </c>
      <c r="L530">
        <v>0</v>
      </c>
      <c r="M530">
        <v>1</v>
      </c>
      <c r="N530" s="10">
        <v>0.68831599649314024</v>
      </c>
      <c r="O530" s="11">
        <v>0.58696352039276445</v>
      </c>
      <c r="P530" s="10">
        <v>0.875</v>
      </c>
      <c r="Q530">
        <v>1</v>
      </c>
      <c r="R530">
        <v>1</v>
      </c>
      <c r="S530">
        <v>0</v>
      </c>
      <c r="T530">
        <v>0</v>
      </c>
      <c r="U530">
        <v>1</v>
      </c>
      <c r="V530" s="10">
        <v>0.11267605633802817</v>
      </c>
      <c r="W530" s="5">
        <v>2</v>
      </c>
      <c r="X530" s="5">
        <v>3</v>
      </c>
      <c r="Y530" s="5">
        <v>3</v>
      </c>
      <c r="Z530" s="5">
        <v>8</v>
      </c>
    </row>
    <row r="531" spans="1:26" x14ac:dyDescent="0.35">
      <c r="A531">
        <v>530</v>
      </c>
      <c r="B531" s="10">
        <v>1</v>
      </c>
      <c r="C531">
        <v>0</v>
      </c>
      <c r="D531">
        <v>1</v>
      </c>
      <c r="E531">
        <v>0</v>
      </c>
      <c r="F531">
        <v>0</v>
      </c>
      <c r="G531">
        <v>0</v>
      </c>
      <c r="H531">
        <v>3</v>
      </c>
      <c r="I531">
        <v>1</v>
      </c>
      <c r="J531" s="10">
        <v>1</v>
      </c>
      <c r="K531">
        <v>1</v>
      </c>
      <c r="L531">
        <v>0</v>
      </c>
      <c r="M531">
        <v>0</v>
      </c>
      <c r="N531" s="10">
        <v>0.38558870222496028</v>
      </c>
      <c r="O531" s="11">
        <v>0.43986129834939669</v>
      </c>
      <c r="P531" s="10">
        <v>0.625</v>
      </c>
      <c r="Q531">
        <v>0</v>
      </c>
      <c r="R531">
        <v>0</v>
      </c>
      <c r="S531">
        <v>0</v>
      </c>
      <c r="T531">
        <v>0</v>
      </c>
      <c r="U531">
        <v>0</v>
      </c>
      <c r="V531" s="10">
        <v>9.8591549295774641E-2</v>
      </c>
      <c r="W531" s="5">
        <v>2</v>
      </c>
      <c r="X531" s="5">
        <v>2</v>
      </c>
      <c r="Y531" s="5">
        <v>2</v>
      </c>
      <c r="Z531" s="5">
        <v>6</v>
      </c>
    </row>
    <row r="532" spans="1:26" x14ac:dyDescent="0.35">
      <c r="A532">
        <v>531</v>
      </c>
      <c r="B532" s="10">
        <v>0.17647058823529413</v>
      </c>
      <c r="C532">
        <v>0</v>
      </c>
      <c r="D532">
        <v>0</v>
      </c>
      <c r="E532">
        <v>0</v>
      </c>
      <c r="F532">
        <v>1</v>
      </c>
      <c r="G532">
        <v>0</v>
      </c>
      <c r="H532">
        <v>3</v>
      </c>
      <c r="I532">
        <v>1</v>
      </c>
      <c r="J532" s="10">
        <v>0.24457677584006807</v>
      </c>
      <c r="K532">
        <v>0</v>
      </c>
      <c r="L532">
        <v>0</v>
      </c>
      <c r="M532">
        <v>1</v>
      </c>
      <c r="N532" s="10">
        <v>0.5918773546904248</v>
      </c>
      <c r="O532" s="11">
        <v>0.448951577384745</v>
      </c>
      <c r="P532" s="10">
        <v>1</v>
      </c>
      <c r="Q532">
        <v>1</v>
      </c>
      <c r="R532">
        <v>1</v>
      </c>
      <c r="S532">
        <v>1</v>
      </c>
      <c r="T532">
        <v>0</v>
      </c>
      <c r="U532">
        <v>0</v>
      </c>
      <c r="V532" s="10">
        <v>0.12957746478873239</v>
      </c>
      <c r="W532" s="5">
        <v>2</v>
      </c>
      <c r="X532" s="5">
        <v>3</v>
      </c>
      <c r="Y532" s="5">
        <v>3</v>
      </c>
      <c r="Z532" s="5">
        <v>8</v>
      </c>
    </row>
    <row r="533" spans="1:26" x14ac:dyDescent="0.35">
      <c r="A533">
        <v>532</v>
      </c>
      <c r="B533" s="10">
        <v>9.8039215686274508E-2</v>
      </c>
      <c r="C533">
        <v>1</v>
      </c>
      <c r="D533">
        <v>0</v>
      </c>
      <c r="E533">
        <v>0</v>
      </c>
      <c r="F533">
        <v>1</v>
      </c>
      <c r="G533">
        <v>0</v>
      </c>
      <c r="H533">
        <v>1</v>
      </c>
      <c r="I533">
        <v>0</v>
      </c>
      <c r="J533" s="10">
        <v>0.7754147171416419</v>
      </c>
      <c r="K533">
        <v>0</v>
      </c>
      <c r="L533">
        <v>1</v>
      </c>
      <c r="M533">
        <v>0</v>
      </c>
      <c r="N533" s="10">
        <v>0.69982584176480334</v>
      </c>
      <c r="O533" s="11">
        <v>0.59673735890058144</v>
      </c>
      <c r="P533" s="10">
        <v>0.875</v>
      </c>
      <c r="Q533">
        <v>2</v>
      </c>
      <c r="R533">
        <v>1</v>
      </c>
      <c r="S533">
        <v>1</v>
      </c>
      <c r="T533">
        <v>0</v>
      </c>
      <c r="U533">
        <v>1</v>
      </c>
      <c r="V533" s="10">
        <v>0.11267605633802817</v>
      </c>
      <c r="W533" s="5">
        <v>2</v>
      </c>
      <c r="X533" s="5">
        <v>3</v>
      </c>
      <c r="Y533" s="5">
        <v>3</v>
      </c>
      <c r="Z533" s="5">
        <v>8</v>
      </c>
    </row>
    <row r="534" spans="1:26" x14ac:dyDescent="0.35">
      <c r="A534">
        <v>533</v>
      </c>
      <c r="B534" s="10">
        <v>0.6470588235294118</v>
      </c>
      <c r="C534">
        <v>1</v>
      </c>
      <c r="D534">
        <v>0</v>
      </c>
      <c r="E534">
        <v>0</v>
      </c>
      <c r="F534">
        <v>0</v>
      </c>
      <c r="G534">
        <v>1</v>
      </c>
      <c r="H534">
        <v>1</v>
      </c>
      <c r="I534">
        <v>0</v>
      </c>
      <c r="J534" s="10">
        <v>0.55082943428328379</v>
      </c>
      <c r="K534">
        <v>1</v>
      </c>
      <c r="L534">
        <v>0</v>
      </c>
      <c r="M534">
        <v>0</v>
      </c>
      <c r="N534" s="10">
        <v>0.11210992109565669</v>
      </c>
      <c r="O534" s="11">
        <v>0.78132356787862933</v>
      </c>
      <c r="P534" s="10">
        <v>0</v>
      </c>
      <c r="Q534">
        <v>1</v>
      </c>
      <c r="R534">
        <v>1</v>
      </c>
      <c r="S534">
        <v>0</v>
      </c>
      <c r="T534">
        <v>0</v>
      </c>
      <c r="U534">
        <v>1</v>
      </c>
      <c r="V534" s="10">
        <v>0.3126760563380282</v>
      </c>
      <c r="W534" s="5">
        <v>1</v>
      </c>
      <c r="X534" s="5">
        <v>1</v>
      </c>
      <c r="Y534" s="5">
        <v>1</v>
      </c>
      <c r="Z534" s="5">
        <v>3</v>
      </c>
    </row>
    <row r="535" spans="1:26" x14ac:dyDescent="0.35">
      <c r="A535">
        <v>534</v>
      </c>
      <c r="B535" s="10">
        <v>0.13725490196078433</v>
      </c>
      <c r="C535">
        <v>1</v>
      </c>
      <c r="D535">
        <v>0</v>
      </c>
      <c r="E535">
        <v>1</v>
      </c>
      <c r="F535">
        <v>0</v>
      </c>
      <c r="G535">
        <v>0</v>
      </c>
      <c r="H535">
        <v>3</v>
      </c>
      <c r="I535">
        <v>0</v>
      </c>
      <c r="J535" s="10">
        <v>0.75499787324542744</v>
      </c>
      <c r="K535">
        <v>1</v>
      </c>
      <c r="L535">
        <v>0</v>
      </c>
      <c r="M535">
        <v>0</v>
      </c>
      <c r="N535" s="10">
        <v>0.15594566736961826</v>
      </c>
      <c r="O535" s="11">
        <v>0.3597054266685446</v>
      </c>
      <c r="P535" s="10">
        <v>0.25</v>
      </c>
      <c r="Q535">
        <v>2</v>
      </c>
      <c r="R535">
        <v>1</v>
      </c>
      <c r="S535">
        <v>1</v>
      </c>
      <c r="T535">
        <v>1</v>
      </c>
      <c r="U535">
        <v>0</v>
      </c>
      <c r="V535" s="10">
        <v>7.8873239436619724E-2</v>
      </c>
      <c r="W535" s="5">
        <v>3</v>
      </c>
      <c r="X535" s="5">
        <v>2</v>
      </c>
      <c r="Y535" s="5">
        <v>1</v>
      </c>
      <c r="Z535" s="5">
        <v>6</v>
      </c>
    </row>
    <row r="536" spans="1:26" x14ac:dyDescent="0.35">
      <c r="A536">
        <v>535</v>
      </c>
      <c r="B536" s="10">
        <v>0.58823529411764708</v>
      </c>
      <c r="C536">
        <v>1</v>
      </c>
      <c r="D536">
        <v>0</v>
      </c>
      <c r="E536">
        <v>1</v>
      </c>
      <c r="F536">
        <v>0</v>
      </c>
      <c r="G536">
        <v>0</v>
      </c>
      <c r="H536">
        <v>3</v>
      </c>
      <c r="I536">
        <v>0</v>
      </c>
      <c r="J536" s="10">
        <v>0.34666099532113998</v>
      </c>
      <c r="K536">
        <v>1</v>
      </c>
      <c r="L536">
        <v>0</v>
      </c>
      <c r="M536">
        <v>0</v>
      </c>
      <c r="N536" s="10">
        <v>0.63270975996967027</v>
      </c>
      <c r="O536" s="11">
        <v>0.53974426044789636</v>
      </c>
      <c r="P536" s="10">
        <v>0.875</v>
      </c>
      <c r="Q536">
        <v>0</v>
      </c>
      <c r="R536">
        <v>0</v>
      </c>
      <c r="S536">
        <v>0</v>
      </c>
      <c r="T536">
        <v>0</v>
      </c>
      <c r="U536">
        <v>0</v>
      </c>
      <c r="V536" s="10">
        <v>9.5774647887323941E-2</v>
      </c>
      <c r="W536" s="5">
        <v>2</v>
      </c>
      <c r="X536" s="5">
        <v>3</v>
      </c>
      <c r="Y536" s="5">
        <v>3</v>
      </c>
      <c r="Z536" s="5">
        <v>8</v>
      </c>
    </row>
    <row r="537" spans="1:26" x14ac:dyDescent="0.35">
      <c r="A537">
        <v>536</v>
      </c>
      <c r="B537" s="10">
        <v>0.15686274509803921</v>
      </c>
      <c r="C537">
        <v>1</v>
      </c>
      <c r="D537">
        <v>0</v>
      </c>
      <c r="E537">
        <v>1</v>
      </c>
      <c r="F537">
        <v>0</v>
      </c>
      <c r="G537">
        <v>0</v>
      </c>
      <c r="H537">
        <v>1</v>
      </c>
      <c r="I537">
        <v>0</v>
      </c>
      <c r="J537" s="10">
        <v>0.93874946831135686</v>
      </c>
      <c r="K537">
        <v>1</v>
      </c>
      <c r="L537">
        <v>0</v>
      </c>
      <c r="M537">
        <v>0</v>
      </c>
      <c r="N537" s="10">
        <v>0.48265526147430277</v>
      </c>
      <c r="O537" s="11">
        <v>0.82464435904142941</v>
      </c>
      <c r="P537" s="10">
        <v>0.375</v>
      </c>
      <c r="Q537">
        <v>1</v>
      </c>
      <c r="R537">
        <v>1</v>
      </c>
      <c r="S537">
        <v>0</v>
      </c>
      <c r="T537">
        <v>0</v>
      </c>
      <c r="U537">
        <v>1</v>
      </c>
      <c r="V537" s="10">
        <v>0.37464788732394366</v>
      </c>
      <c r="W537" s="5">
        <v>1</v>
      </c>
      <c r="X537" s="5">
        <v>2</v>
      </c>
      <c r="Y537" s="5">
        <v>3</v>
      </c>
      <c r="Z537" s="5">
        <v>6</v>
      </c>
    </row>
    <row r="538" spans="1:26" x14ac:dyDescent="0.35">
      <c r="A538">
        <v>537</v>
      </c>
      <c r="B538" s="10">
        <v>0.39215686274509803</v>
      </c>
      <c r="C538">
        <v>1</v>
      </c>
      <c r="D538">
        <v>0</v>
      </c>
      <c r="E538">
        <v>0</v>
      </c>
      <c r="F538">
        <v>1</v>
      </c>
      <c r="G538">
        <v>0</v>
      </c>
      <c r="H538">
        <v>3</v>
      </c>
      <c r="I538">
        <v>1</v>
      </c>
      <c r="J538" s="10">
        <v>0.18332624415142493</v>
      </c>
      <c r="K538">
        <v>0</v>
      </c>
      <c r="L538">
        <v>0</v>
      </c>
      <c r="M538">
        <v>1</v>
      </c>
      <c r="N538" s="10">
        <v>0.60948570006871527</v>
      </c>
      <c r="O538" s="11">
        <v>0.69336405159057524</v>
      </c>
      <c r="P538" s="10">
        <v>0.625</v>
      </c>
      <c r="Q538">
        <v>0</v>
      </c>
      <c r="R538">
        <v>0</v>
      </c>
      <c r="S538">
        <v>0</v>
      </c>
      <c r="T538">
        <v>0</v>
      </c>
      <c r="U538">
        <v>0</v>
      </c>
      <c r="V538" s="10">
        <v>5.6338028169014088E-3</v>
      </c>
      <c r="W538" s="5">
        <v>3</v>
      </c>
      <c r="X538" s="5">
        <v>2</v>
      </c>
      <c r="Y538" s="5">
        <v>3</v>
      </c>
      <c r="Z538" s="5">
        <v>8</v>
      </c>
    </row>
    <row r="539" spans="1:26" x14ac:dyDescent="0.35">
      <c r="A539">
        <v>538</v>
      </c>
      <c r="B539" s="10">
        <v>0.13725490196078433</v>
      </c>
      <c r="C539">
        <v>1</v>
      </c>
      <c r="D539">
        <v>0</v>
      </c>
      <c r="E539">
        <v>0</v>
      </c>
      <c r="F539">
        <v>0</v>
      </c>
      <c r="G539">
        <v>1</v>
      </c>
      <c r="H539">
        <v>3</v>
      </c>
      <c r="I539">
        <v>0</v>
      </c>
      <c r="J539" s="10">
        <v>0.1220757124627818</v>
      </c>
      <c r="K539">
        <v>0</v>
      </c>
      <c r="L539">
        <v>0</v>
      </c>
      <c r="M539">
        <v>1</v>
      </c>
      <c r="N539" s="10">
        <v>0.19017605383503541</v>
      </c>
      <c r="O539" s="11">
        <v>0.65582808507213419</v>
      </c>
      <c r="P539" s="10">
        <v>0.125</v>
      </c>
      <c r="Q539">
        <v>2</v>
      </c>
      <c r="R539">
        <v>1</v>
      </c>
      <c r="S539">
        <v>0</v>
      </c>
      <c r="T539">
        <v>1</v>
      </c>
      <c r="U539">
        <v>1</v>
      </c>
      <c r="V539" s="10">
        <v>0.46197183098591549</v>
      </c>
      <c r="W539" s="5">
        <v>1</v>
      </c>
      <c r="X539" s="5">
        <v>1</v>
      </c>
      <c r="Y539" s="5">
        <v>1</v>
      </c>
      <c r="Z539" s="5">
        <v>3</v>
      </c>
    </row>
    <row r="540" spans="1:26" x14ac:dyDescent="0.35">
      <c r="A540">
        <v>539</v>
      </c>
      <c r="B540" s="10">
        <v>5.8823529411764705E-2</v>
      </c>
      <c r="C540">
        <v>0</v>
      </c>
      <c r="D540">
        <v>1</v>
      </c>
      <c r="E540">
        <v>0</v>
      </c>
      <c r="F540">
        <v>0</v>
      </c>
      <c r="G540">
        <v>0</v>
      </c>
      <c r="H540">
        <v>1</v>
      </c>
      <c r="I540">
        <v>0</v>
      </c>
      <c r="J540" s="10">
        <v>0.26499361973628244</v>
      </c>
      <c r="K540">
        <v>1</v>
      </c>
      <c r="L540">
        <v>0</v>
      </c>
      <c r="M540">
        <v>0</v>
      </c>
      <c r="N540" s="10">
        <v>0.37809812098665968</v>
      </c>
      <c r="O540" s="11">
        <v>0.43138024239253636</v>
      </c>
      <c r="P540" s="10">
        <v>0.625</v>
      </c>
      <c r="Q540">
        <v>2</v>
      </c>
      <c r="R540">
        <v>1</v>
      </c>
      <c r="S540">
        <v>0</v>
      </c>
      <c r="T540">
        <v>1</v>
      </c>
      <c r="U540">
        <v>1</v>
      </c>
      <c r="V540" s="10">
        <v>0.323943661971831</v>
      </c>
      <c r="W540" s="5">
        <v>1</v>
      </c>
      <c r="X540" s="5">
        <v>2</v>
      </c>
      <c r="Y540" s="5">
        <v>2</v>
      </c>
      <c r="Z540" s="5">
        <v>5</v>
      </c>
    </row>
    <row r="541" spans="1:26" x14ac:dyDescent="0.35">
      <c r="A541">
        <v>540</v>
      </c>
      <c r="B541" s="10">
        <v>0.41176470588235292</v>
      </c>
      <c r="C541">
        <v>0</v>
      </c>
      <c r="D541">
        <v>1</v>
      </c>
      <c r="E541">
        <v>0</v>
      </c>
      <c r="F541">
        <v>0</v>
      </c>
      <c r="G541">
        <v>0</v>
      </c>
      <c r="H541">
        <v>2</v>
      </c>
      <c r="I541">
        <v>0</v>
      </c>
      <c r="J541" s="10">
        <v>0.1220757124627818</v>
      </c>
      <c r="K541">
        <v>0</v>
      </c>
      <c r="L541">
        <v>0</v>
      </c>
      <c r="M541">
        <v>1</v>
      </c>
      <c r="N541" s="10">
        <v>0.18946224202070944</v>
      </c>
      <c r="O541" s="11">
        <v>0.65340348900380296</v>
      </c>
      <c r="P541" s="10">
        <v>0.125</v>
      </c>
      <c r="Q541">
        <v>1</v>
      </c>
      <c r="R541">
        <v>1</v>
      </c>
      <c r="S541">
        <v>0</v>
      </c>
      <c r="T541">
        <v>0</v>
      </c>
      <c r="U541">
        <v>1</v>
      </c>
      <c r="V541" s="10">
        <v>0.6901408450704225</v>
      </c>
      <c r="W541" s="5">
        <v>1</v>
      </c>
      <c r="X541" s="5">
        <v>1</v>
      </c>
      <c r="Y541" s="5">
        <v>1</v>
      </c>
      <c r="Z541" s="5">
        <v>3</v>
      </c>
    </row>
    <row r="542" spans="1:26" x14ac:dyDescent="0.35">
      <c r="A542">
        <v>541</v>
      </c>
      <c r="B542" s="10">
        <v>0.52941176470588236</v>
      </c>
      <c r="C542">
        <v>0</v>
      </c>
      <c r="D542">
        <v>0</v>
      </c>
      <c r="E542">
        <v>1</v>
      </c>
      <c r="F542">
        <v>0</v>
      </c>
      <c r="G542">
        <v>0</v>
      </c>
      <c r="H542">
        <v>1</v>
      </c>
      <c r="I542">
        <v>0</v>
      </c>
      <c r="J542" s="10">
        <v>0.7754147171416419</v>
      </c>
      <c r="K542">
        <v>1</v>
      </c>
      <c r="L542">
        <v>0</v>
      </c>
      <c r="M542">
        <v>0</v>
      </c>
      <c r="N542" s="10">
        <v>5.1900931213420841E-2</v>
      </c>
      <c r="O542" s="11">
        <v>0.18615062677317451</v>
      </c>
      <c r="P542" s="10">
        <v>0.125</v>
      </c>
      <c r="Q542">
        <v>2</v>
      </c>
      <c r="R542">
        <v>1</v>
      </c>
      <c r="S542">
        <v>1</v>
      </c>
      <c r="T542">
        <v>0</v>
      </c>
      <c r="U542">
        <v>0</v>
      </c>
      <c r="V542" s="10">
        <v>0.49577464788732395</v>
      </c>
      <c r="W542" s="5">
        <v>1</v>
      </c>
      <c r="X542" s="5">
        <v>1</v>
      </c>
      <c r="Y542" s="5">
        <v>1</v>
      </c>
      <c r="Z542" s="5">
        <v>3</v>
      </c>
    </row>
    <row r="543" spans="1:26" x14ac:dyDescent="0.35">
      <c r="A543">
        <v>542</v>
      </c>
      <c r="B543" s="10">
        <v>0.86274509803921573</v>
      </c>
      <c r="C543">
        <v>0</v>
      </c>
      <c r="D543">
        <v>0</v>
      </c>
      <c r="E543">
        <v>0</v>
      </c>
      <c r="F543">
        <v>0</v>
      </c>
      <c r="G543">
        <v>1</v>
      </c>
      <c r="H543">
        <v>3</v>
      </c>
      <c r="I543">
        <v>0</v>
      </c>
      <c r="J543" s="10">
        <v>8.1242024670353047E-2</v>
      </c>
      <c r="K543">
        <v>1</v>
      </c>
      <c r="L543">
        <v>0</v>
      </c>
      <c r="M543">
        <v>0</v>
      </c>
      <c r="N543" s="10">
        <v>9.9213918441816915E-2</v>
      </c>
      <c r="O543" s="11">
        <v>0.23123872378384541</v>
      </c>
      <c r="P543" s="10">
        <v>0.25</v>
      </c>
      <c r="Q543">
        <v>0</v>
      </c>
      <c r="R543">
        <v>0</v>
      </c>
      <c r="S543">
        <v>0</v>
      </c>
      <c r="T543">
        <v>0</v>
      </c>
      <c r="U543">
        <v>0</v>
      </c>
      <c r="V543" s="10">
        <v>0.23943661971830985</v>
      </c>
      <c r="W543" s="5">
        <v>1</v>
      </c>
      <c r="X543" s="5">
        <v>2</v>
      </c>
      <c r="Y543" s="5">
        <v>1</v>
      </c>
      <c r="Z543" s="5">
        <v>4</v>
      </c>
    </row>
    <row r="544" spans="1:26" x14ac:dyDescent="0.35">
      <c r="A544">
        <v>543</v>
      </c>
      <c r="B544" s="10">
        <v>5.8823529411764705E-2</v>
      </c>
      <c r="C544">
        <v>1</v>
      </c>
      <c r="D544">
        <v>0</v>
      </c>
      <c r="E544">
        <v>1</v>
      </c>
      <c r="F544">
        <v>0</v>
      </c>
      <c r="G544">
        <v>0</v>
      </c>
      <c r="H544">
        <v>3</v>
      </c>
      <c r="I544">
        <v>1</v>
      </c>
      <c r="J544" s="10">
        <v>0.32624415142492558</v>
      </c>
      <c r="K544">
        <v>0</v>
      </c>
      <c r="L544">
        <v>0</v>
      </c>
      <c r="M544">
        <v>1</v>
      </c>
      <c r="N544" s="10">
        <v>0.27546323721062482</v>
      </c>
      <c r="O544" s="11">
        <v>0.37820881707881449</v>
      </c>
      <c r="P544" s="10">
        <v>0.5</v>
      </c>
      <c r="Q544">
        <v>1</v>
      </c>
      <c r="R544">
        <v>1</v>
      </c>
      <c r="S544">
        <v>1</v>
      </c>
      <c r="T544">
        <v>0</v>
      </c>
      <c r="U544">
        <v>0</v>
      </c>
      <c r="V544" s="10">
        <v>6.1971830985915494E-2</v>
      </c>
      <c r="W544" s="5">
        <v>3</v>
      </c>
      <c r="X544" s="5">
        <v>2</v>
      </c>
      <c r="Y544" s="5">
        <v>2</v>
      </c>
      <c r="Z544" s="5">
        <v>7</v>
      </c>
    </row>
    <row r="545" spans="1:26" x14ac:dyDescent="0.35">
      <c r="A545">
        <v>544</v>
      </c>
      <c r="B545" s="10">
        <v>0.74509803921568629</v>
      </c>
      <c r="C545">
        <v>1</v>
      </c>
      <c r="D545">
        <v>0</v>
      </c>
      <c r="E545">
        <v>1</v>
      </c>
      <c r="F545">
        <v>0</v>
      </c>
      <c r="G545">
        <v>0</v>
      </c>
      <c r="H545">
        <v>2</v>
      </c>
      <c r="I545">
        <v>0</v>
      </c>
      <c r="J545" s="10">
        <v>0.7345810293492131</v>
      </c>
      <c r="K545">
        <v>0</v>
      </c>
      <c r="L545">
        <v>1</v>
      </c>
      <c r="M545">
        <v>0</v>
      </c>
      <c r="N545" s="10">
        <v>0.32274068194204203</v>
      </c>
      <c r="O545" s="11">
        <v>0.55305438741222157</v>
      </c>
      <c r="P545" s="10">
        <v>0.375</v>
      </c>
      <c r="Q545">
        <v>1</v>
      </c>
      <c r="R545">
        <v>1</v>
      </c>
      <c r="S545">
        <v>1</v>
      </c>
      <c r="T545">
        <v>0</v>
      </c>
      <c r="U545">
        <v>0</v>
      </c>
      <c r="V545" s="10">
        <v>8.4507042253521118E-3</v>
      </c>
      <c r="W545" s="5">
        <v>3</v>
      </c>
      <c r="X545" s="5">
        <v>2</v>
      </c>
      <c r="Y545" s="5">
        <v>2</v>
      </c>
      <c r="Z545" s="5">
        <v>7</v>
      </c>
    </row>
    <row r="546" spans="1:26" x14ac:dyDescent="0.35">
      <c r="A546">
        <v>545</v>
      </c>
      <c r="B546" s="10">
        <v>0.39215686274509803</v>
      </c>
      <c r="C546">
        <v>0</v>
      </c>
      <c r="D546">
        <v>0</v>
      </c>
      <c r="E546">
        <v>1</v>
      </c>
      <c r="F546">
        <v>0</v>
      </c>
      <c r="G546">
        <v>0</v>
      </c>
      <c r="H546">
        <v>2</v>
      </c>
      <c r="I546">
        <v>1</v>
      </c>
      <c r="J546" s="10">
        <v>0.87749893662271372</v>
      </c>
      <c r="K546">
        <v>0</v>
      </c>
      <c r="L546">
        <v>1</v>
      </c>
      <c r="M546">
        <v>0</v>
      </c>
      <c r="N546" s="10">
        <v>0.13123178447029832</v>
      </c>
      <c r="O546" s="11">
        <v>0.45561278898971808</v>
      </c>
      <c r="P546" s="10">
        <v>0.125</v>
      </c>
      <c r="Q546">
        <v>2</v>
      </c>
      <c r="R546">
        <v>0</v>
      </c>
      <c r="S546">
        <v>1</v>
      </c>
      <c r="T546">
        <v>1</v>
      </c>
      <c r="U546">
        <v>0</v>
      </c>
      <c r="V546" s="10">
        <v>0.25352112676056338</v>
      </c>
      <c r="W546" s="5">
        <v>1</v>
      </c>
      <c r="X546" s="5">
        <v>1</v>
      </c>
      <c r="Y546" s="5">
        <v>1</v>
      </c>
      <c r="Z546" s="5">
        <v>3</v>
      </c>
    </row>
    <row r="547" spans="1:26" x14ac:dyDescent="0.35">
      <c r="A547">
        <v>546</v>
      </c>
      <c r="B547" s="10">
        <v>0.13725490196078433</v>
      </c>
      <c r="C547">
        <v>1</v>
      </c>
      <c r="D547">
        <v>1</v>
      </c>
      <c r="E547">
        <v>0</v>
      </c>
      <c r="F547">
        <v>0</v>
      </c>
      <c r="G547">
        <v>0</v>
      </c>
      <c r="H547">
        <v>1</v>
      </c>
      <c r="I547">
        <v>0</v>
      </c>
      <c r="J547" s="10">
        <v>0.28541046363249684</v>
      </c>
      <c r="K547">
        <v>0</v>
      </c>
      <c r="L547">
        <v>0</v>
      </c>
      <c r="M547">
        <v>1</v>
      </c>
      <c r="N547" s="10">
        <v>0.16741997014430252</v>
      </c>
      <c r="O547" s="11">
        <v>0.57853276725889846</v>
      </c>
      <c r="P547" s="10">
        <v>0.125</v>
      </c>
      <c r="Q547">
        <v>2</v>
      </c>
      <c r="R547">
        <v>0</v>
      </c>
      <c r="S547">
        <v>1</v>
      </c>
      <c r="T547">
        <v>0</v>
      </c>
      <c r="U547">
        <v>0</v>
      </c>
      <c r="V547" s="10">
        <v>0.95774647887323938</v>
      </c>
      <c r="W547" s="5">
        <v>1</v>
      </c>
      <c r="X547" s="5">
        <v>1</v>
      </c>
      <c r="Y547" s="5">
        <v>1</v>
      </c>
      <c r="Z547" s="5">
        <v>3</v>
      </c>
    </row>
    <row r="548" spans="1:26" x14ac:dyDescent="0.35">
      <c r="A548">
        <v>547</v>
      </c>
      <c r="B548" s="10">
        <v>0.37254901960784315</v>
      </c>
      <c r="C548">
        <v>1</v>
      </c>
      <c r="D548">
        <v>1</v>
      </c>
      <c r="E548">
        <v>0</v>
      </c>
      <c r="F548">
        <v>0</v>
      </c>
      <c r="G548">
        <v>0</v>
      </c>
      <c r="H548">
        <v>2</v>
      </c>
      <c r="I548">
        <v>0</v>
      </c>
      <c r="J548" s="10">
        <v>0.59166312207571248</v>
      </c>
      <c r="K548">
        <v>0</v>
      </c>
      <c r="L548">
        <v>1</v>
      </c>
      <c r="M548">
        <v>0</v>
      </c>
      <c r="N548" s="10">
        <v>0.20920906096722983</v>
      </c>
      <c r="O548" s="11">
        <v>0.48031818212304739</v>
      </c>
      <c r="P548" s="10">
        <v>0.25</v>
      </c>
      <c r="Q548">
        <v>0</v>
      </c>
      <c r="R548">
        <v>0</v>
      </c>
      <c r="S548">
        <v>0</v>
      </c>
      <c r="T548">
        <v>0</v>
      </c>
      <c r="U548">
        <v>0</v>
      </c>
      <c r="V548" s="10">
        <v>5.9154929577464786E-2</v>
      </c>
      <c r="W548" s="5">
        <v>3</v>
      </c>
      <c r="X548" s="5">
        <v>2</v>
      </c>
      <c r="Y548" s="5">
        <v>1</v>
      </c>
      <c r="Z548" s="5">
        <v>6</v>
      </c>
    </row>
    <row r="549" spans="1:26" x14ac:dyDescent="0.35">
      <c r="A549">
        <v>548</v>
      </c>
      <c r="B549" s="10">
        <v>0.60784313725490191</v>
      </c>
      <c r="C549">
        <v>1</v>
      </c>
      <c r="D549">
        <v>0</v>
      </c>
      <c r="E549">
        <v>1</v>
      </c>
      <c r="F549">
        <v>0</v>
      </c>
      <c r="G549">
        <v>0</v>
      </c>
      <c r="H549">
        <v>3</v>
      </c>
      <c r="I549">
        <v>0</v>
      </c>
      <c r="J549" s="10">
        <v>0.48957890259464065</v>
      </c>
      <c r="K549">
        <v>0</v>
      </c>
      <c r="L549">
        <v>1</v>
      </c>
      <c r="M549">
        <v>0</v>
      </c>
      <c r="N549" s="10">
        <v>0.62387152572092019</v>
      </c>
      <c r="O549" s="11">
        <v>0.47310140378411369</v>
      </c>
      <c r="P549" s="10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 s="10">
        <v>2.8169014084507043E-2</v>
      </c>
      <c r="W549" s="5">
        <v>3</v>
      </c>
      <c r="X549" s="5">
        <v>3</v>
      </c>
      <c r="Y549" s="5">
        <v>3</v>
      </c>
      <c r="Z549" s="5">
        <v>9</v>
      </c>
    </row>
    <row r="550" spans="1:26" x14ac:dyDescent="0.35">
      <c r="A550">
        <v>549</v>
      </c>
      <c r="B550" s="10">
        <v>0</v>
      </c>
      <c r="C550">
        <v>1</v>
      </c>
      <c r="D550">
        <v>0</v>
      </c>
      <c r="E550">
        <v>0</v>
      </c>
      <c r="F550">
        <v>0</v>
      </c>
      <c r="G550">
        <v>1</v>
      </c>
      <c r="H550">
        <v>3</v>
      </c>
      <c r="I550">
        <v>0</v>
      </c>
      <c r="J550" s="10">
        <v>0.79583156103785624</v>
      </c>
      <c r="K550">
        <v>1</v>
      </c>
      <c r="L550">
        <v>0</v>
      </c>
      <c r="M550">
        <v>0</v>
      </c>
      <c r="N550" s="10">
        <v>0.10333092434187142</v>
      </c>
      <c r="O550" s="11">
        <v>0.36084227046821871</v>
      </c>
      <c r="P550" s="10">
        <v>0.125</v>
      </c>
      <c r="Q550">
        <v>0</v>
      </c>
      <c r="R550">
        <v>0</v>
      </c>
      <c r="S550">
        <v>0</v>
      </c>
      <c r="T550">
        <v>0</v>
      </c>
      <c r="U550">
        <v>0</v>
      </c>
      <c r="V550" s="10">
        <v>0.18591549295774648</v>
      </c>
      <c r="W550" s="5">
        <v>2</v>
      </c>
      <c r="X550" s="5">
        <v>1</v>
      </c>
      <c r="Y550" s="5">
        <v>1</v>
      </c>
      <c r="Z550" s="5">
        <v>4</v>
      </c>
    </row>
    <row r="551" spans="1:26" x14ac:dyDescent="0.35">
      <c r="A551">
        <v>550</v>
      </c>
      <c r="B551" s="10">
        <v>9.8039215686274508E-2</v>
      </c>
      <c r="C551">
        <v>0</v>
      </c>
      <c r="D551">
        <v>1</v>
      </c>
      <c r="E551">
        <v>0</v>
      </c>
      <c r="F551">
        <v>0</v>
      </c>
      <c r="G551">
        <v>0</v>
      </c>
      <c r="H551">
        <v>3</v>
      </c>
      <c r="I551">
        <v>0</v>
      </c>
      <c r="J551" s="10">
        <v>0.79583156103785624</v>
      </c>
      <c r="K551">
        <v>0</v>
      </c>
      <c r="L551">
        <v>0</v>
      </c>
      <c r="M551">
        <v>1</v>
      </c>
      <c r="N551" s="10">
        <v>0.63101556761367661</v>
      </c>
      <c r="O551" s="11">
        <v>0.53830559971025571</v>
      </c>
      <c r="P551" s="10">
        <v>0.875</v>
      </c>
      <c r="Q551">
        <v>2</v>
      </c>
      <c r="R551">
        <v>1</v>
      </c>
      <c r="S551">
        <v>1</v>
      </c>
      <c r="T551">
        <v>1</v>
      </c>
      <c r="U551">
        <v>0</v>
      </c>
      <c r="V551" s="10">
        <v>2.5352112676056339E-2</v>
      </c>
      <c r="W551" s="5">
        <v>3</v>
      </c>
      <c r="X551" s="5">
        <v>3</v>
      </c>
      <c r="Y551" s="5">
        <v>3</v>
      </c>
      <c r="Z551" s="5">
        <v>9</v>
      </c>
    </row>
    <row r="552" spans="1:26" x14ac:dyDescent="0.35">
      <c r="A552">
        <v>551</v>
      </c>
      <c r="B552" s="10">
        <v>0.52941176470588236</v>
      </c>
      <c r="C552">
        <v>0</v>
      </c>
      <c r="D552">
        <v>0</v>
      </c>
      <c r="E552">
        <v>1</v>
      </c>
      <c r="F552">
        <v>0</v>
      </c>
      <c r="G552">
        <v>0</v>
      </c>
      <c r="H552">
        <v>3</v>
      </c>
      <c r="I552">
        <v>0</v>
      </c>
      <c r="J552" s="10">
        <v>0.91833262441514252</v>
      </c>
      <c r="K552">
        <v>1</v>
      </c>
      <c r="L552">
        <v>0</v>
      </c>
      <c r="M552">
        <v>0</v>
      </c>
      <c r="N552" s="10">
        <v>0.89392637964125754</v>
      </c>
      <c r="O552" s="11">
        <v>0.67694409232468344</v>
      </c>
      <c r="P552" s="10">
        <v>1</v>
      </c>
      <c r="Q552">
        <v>2</v>
      </c>
      <c r="R552">
        <v>1</v>
      </c>
      <c r="S552">
        <v>1</v>
      </c>
      <c r="T552">
        <v>0</v>
      </c>
      <c r="U552">
        <v>1</v>
      </c>
      <c r="V552" s="10">
        <v>8.4507042253521125E-2</v>
      </c>
      <c r="W552" s="5">
        <v>2</v>
      </c>
      <c r="X552" s="5">
        <v>3</v>
      </c>
      <c r="Y552" s="5">
        <v>3</v>
      </c>
      <c r="Z552" s="5">
        <v>8</v>
      </c>
    </row>
    <row r="553" spans="1:26" x14ac:dyDescent="0.35">
      <c r="A553">
        <v>552</v>
      </c>
      <c r="B553" s="10">
        <v>0.84313725490196079</v>
      </c>
      <c r="C553">
        <v>0</v>
      </c>
      <c r="D553">
        <v>1</v>
      </c>
      <c r="E553">
        <v>0</v>
      </c>
      <c r="F553">
        <v>0</v>
      </c>
      <c r="G553">
        <v>0</v>
      </c>
      <c r="H553">
        <v>2</v>
      </c>
      <c r="I553">
        <v>0</v>
      </c>
      <c r="J553" s="10">
        <v>0.509995746490855</v>
      </c>
      <c r="K553">
        <v>0</v>
      </c>
      <c r="L553">
        <v>1</v>
      </c>
      <c r="M553">
        <v>0</v>
      </c>
      <c r="N553" s="10">
        <v>0.30808236381299908</v>
      </c>
      <c r="O553" s="11">
        <v>0.70421269374970663</v>
      </c>
      <c r="P553" s="10">
        <v>0.25</v>
      </c>
      <c r="Q553">
        <v>0</v>
      </c>
      <c r="R553">
        <v>0</v>
      </c>
      <c r="S553">
        <v>0</v>
      </c>
      <c r="T553">
        <v>0</v>
      </c>
      <c r="U553">
        <v>0</v>
      </c>
      <c r="V553" s="10">
        <v>0.3380281690140845</v>
      </c>
      <c r="W553" s="5">
        <v>1</v>
      </c>
      <c r="X553" s="5">
        <v>2</v>
      </c>
      <c r="Y553" s="5">
        <v>2</v>
      </c>
      <c r="Z553" s="5">
        <v>5</v>
      </c>
    </row>
    <row r="554" spans="1:26" x14ac:dyDescent="0.35">
      <c r="A554">
        <v>553</v>
      </c>
      <c r="B554" s="10">
        <v>0.58823529411764708</v>
      </c>
      <c r="C554">
        <v>0</v>
      </c>
      <c r="D554">
        <v>0</v>
      </c>
      <c r="E554">
        <v>0</v>
      </c>
      <c r="F554">
        <v>1</v>
      </c>
      <c r="G554">
        <v>0</v>
      </c>
      <c r="H554">
        <v>3</v>
      </c>
      <c r="I554">
        <v>0</v>
      </c>
      <c r="J554" s="10">
        <v>0.93874946831135686</v>
      </c>
      <c r="K554">
        <v>0</v>
      </c>
      <c r="L554">
        <v>1</v>
      </c>
      <c r="M554">
        <v>0</v>
      </c>
      <c r="N554" s="10">
        <v>0.6266764211075041</v>
      </c>
      <c r="O554" s="11">
        <v>0.61099533477247325</v>
      </c>
      <c r="P554" s="10">
        <v>0.75</v>
      </c>
      <c r="Q554">
        <v>0</v>
      </c>
      <c r="R554">
        <v>0</v>
      </c>
      <c r="S554">
        <v>0</v>
      </c>
      <c r="T554">
        <v>0</v>
      </c>
      <c r="U554">
        <v>0</v>
      </c>
      <c r="V554" s="10">
        <v>9.295774647887324E-2</v>
      </c>
      <c r="W554" s="5">
        <v>2</v>
      </c>
      <c r="X554" s="5">
        <v>2</v>
      </c>
      <c r="Y554" s="5">
        <v>3</v>
      </c>
      <c r="Z554" s="5">
        <v>7</v>
      </c>
    </row>
    <row r="555" spans="1:26" x14ac:dyDescent="0.35">
      <c r="A555">
        <v>554</v>
      </c>
      <c r="B555" s="10">
        <v>0.17647058823529413</v>
      </c>
      <c r="C555">
        <v>1</v>
      </c>
      <c r="D555">
        <v>0</v>
      </c>
      <c r="E555">
        <v>0</v>
      </c>
      <c r="F555">
        <v>1</v>
      </c>
      <c r="G555">
        <v>0</v>
      </c>
      <c r="H555">
        <v>3</v>
      </c>
      <c r="I555">
        <v>0</v>
      </c>
      <c r="J555" s="10">
        <v>0.93874946831135686</v>
      </c>
      <c r="K555">
        <v>1</v>
      </c>
      <c r="L555">
        <v>0</v>
      </c>
      <c r="M555">
        <v>0</v>
      </c>
      <c r="N555" s="10">
        <v>0.53691088311257495</v>
      </c>
      <c r="O555" s="11">
        <v>0.6111927134684132</v>
      </c>
      <c r="P555" s="10">
        <v>0.625</v>
      </c>
      <c r="Q555">
        <v>1</v>
      </c>
      <c r="R555">
        <v>0</v>
      </c>
      <c r="S555">
        <v>0</v>
      </c>
      <c r="T555">
        <v>0</v>
      </c>
      <c r="U555">
        <v>1</v>
      </c>
      <c r="V555" s="10">
        <v>1.6901408450704224E-2</v>
      </c>
      <c r="W555" s="5">
        <v>3</v>
      </c>
      <c r="X555" s="5">
        <v>2</v>
      </c>
      <c r="Y555" s="5">
        <v>3</v>
      </c>
      <c r="Z555" s="5">
        <v>8</v>
      </c>
    </row>
    <row r="556" spans="1:26" x14ac:dyDescent="0.35">
      <c r="A556">
        <v>555</v>
      </c>
      <c r="B556" s="10">
        <v>0.37254901960784315</v>
      </c>
      <c r="C556">
        <v>0</v>
      </c>
      <c r="D556">
        <v>1</v>
      </c>
      <c r="E556">
        <v>0</v>
      </c>
      <c r="F556">
        <v>0</v>
      </c>
      <c r="G556">
        <v>0</v>
      </c>
      <c r="H556">
        <v>3</v>
      </c>
      <c r="I556">
        <v>0</v>
      </c>
      <c r="J556" s="10">
        <v>6.0825180774138662E-2</v>
      </c>
      <c r="K556">
        <v>0</v>
      </c>
      <c r="L556">
        <v>1</v>
      </c>
      <c r="M556">
        <v>0</v>
      </c>
      <c r="N556" s="10">
        <v>0.11379226595265739</v>
      </c>
      <c r="O556" s="11">
        <v>0.3963761846314815</v>
      </c>
      <c r="P556" s="10">
        <v>0.125</v>
      </c>
      <c r="Q556">
        <v>0</v>
      </c>
      <c r="R556">
        <v>0</v>
      </c>
      <c r="S556">
        <v>0</v>
      </c>
      <c r="T556">
        <v>0</v>
      </c>
      <c r="U556">
        <v>0</v>
      </c>
      <c r="V556" s="10">
        <v>0.21971830985915494</v>
      </c>
      <c r="W556" s="5">
        <v>2</v>
      </c>
      <c r="X556" s="5">
        <v>1</v>
      </c>
      <c r="Y556" s="5">
        <v>1</v>
      </c>
      <c r="Z556" s="5">
        <v>4</v>
      </c>
    </row>
    <row r="557" spans="1:26" x14ac:dyDescent="0.35">
      <c r="A557">
        <v>556</v>
      </c>
      <c r="B557" s="10">
        <v>0.13725490196078433</v>
      </c>
      <c r="C557">
        <v>1</v>
      </c>
      <c r="D557">
        <v>0</v>
      </c>
      <c r="E557">
        <v>1</v>
      </c>
      <c r="F557">
        <v>0</v>
      </c>
      <c r="G557">
        <v>0</v>
      </c>
      <c r="H557">
        <v>1</v>
      </c>
      <c r="I557">
        <v>0</v>
      </c>
      <c r="J557" s="10">
        <v>0.85708209272649938</v>
      </c>
      <c r="K557">
        <v>0</v>
      </c>
      <c r="L557">
        <v>0</v>
      </c>
      <c r="M557">
        <v>1</v>
      </c>
      <c r="N557" s="10">
        <v>0.62872900030803491</v>
      </c>
      <c r="O557" s="11">
        <v>0.61298732656305244</v>
      </c>
      <c r="P557" s="10">
        <v>0.75</v>
      </c>
      <c r="Q557">
        <v>1</v>
      </c>
      <c r="R557">
        <v>0</v>
      </c>
      <c r="S557">
        <v>0</v>
      </c>
      <c r="T557">
        <v>0</v>
      </c>
      <c r="U557">
        <v>1</v>
      </c>
      <c r="V557" s="10">
        <v>5.6338028169014088E-3</v>
      </c>
      <c r="W557" s="5">
        <v>3</v>
      </c>
      <c r="X557" s="5">
        <v>2</v>
      </c>
      <c r="Y557" s="5">
        <v>3</v>
      </c>
      <c r="Z557" s="5">
        <v>8</v>
      </c>
    </row>
    <row r="558" spans="1:26" x14ac:dyDescent="0.35">
      <c r="A558">
        <v>557</v>
      </c>
      <c r="B558" s="10">
        <v>0.41176470588235292</v>
      </c>
      <c r="C558">
        <v>0</v>
      </c>
      <c r="D558">
        <v>1</v>
      </c>
      <c r="E558">
        <v>0</v>
      </c>
      <c r="F558">
        <v>0</v>
      </c>
      <c r="G558">
        <v>0</v>
      </c>
      <c r="H558">
        <v>1</v>
      </c>
      <c r="I558">
        <v>0</v>
      </c>
      <c r="J558" s="10">
        <v>0.55082943428328379</v>
      </c>
      <c r="K558">
        <v>0</v>
      </c>
      <c r="L558">
        <v>0</v>
      </c>
      <c r="M558">
        <v>1</v>
      </c>
      <c r="N558" s="10">
        <v>0.34659265928962396</v>
      </c>
      <c r="O558" s="11">
        <v>0.79141766769284416</v>
      </c>
      <c r="P558" s="10">
        <v>0.25</v>
      </c>
      <c r="Q558">
        <v>2</v>
      </c>
      <c r="R558">
        <v>1</v>
      </c>
      <c r="S558">
        <v>0</v>
      </c>
      <c r="T558">
        <v>0</v>
      </c>
      <c r="U558">
        <v>1</v>
      </c>
      <c r="V558" s="10">
        <v>4.788732394366197E-2</v>
      </c>
      <c r="W558" s="5">
        <v>3</v>
      </c>
      <c r="X558" s="5">
        <v>2</v>
      </c>
      <c r="Y558" s="5">
        <v>2</v>
      </c>
      <c r="Z558" s="5">
        <v>7</v>
      </c>
    </row>
    <row r="559" spans="1:26" x14ac:dyDescent="0.35">
      <c r="A559">
        <v>558</v>
      </c>
      <c r="B559" s="10">
        <v>0.72549019607843135</v>
      </c>
      <c r="C559">
        <v>1</v>
      </c>
      <c r="D559">
        <v>0</v>
      </c>
      <c r="E559">
        <v>0</v>
      </c>
      <c r="F559">
        <v>0</v>
      </c>
      <c r="G559">
        <v>1</v>
      </c>
      <c r="H559">
        <v>3</v>
      </c>
      <c r="I559">
        <v>0</v>
      </c>
      <c r="J559" s="10">
        <v>0.24457677584006807</v>
      </c>
      <c r="K559">
        <v>0</v>
      </c>
      <c r="L559">
        <v>0</v>
      </c>
      <c r="M559">
        <v>1</v>
      </c>
      <c r="N559" s="10">
        <v>0.50741949624434279</v>
      </c>
      <c r="O559" s="11">
        <v>0.57780169956471295</v>
      </c>
      <c r="P559" s="10">
        <v>0.625</v>
      </c>
      <c r="Q559">
        <v>0</v>
      </c>
      <c r="R559">
        <v>0</v>
      </c>
      <c r="S559">
        <v>0</v>
      </c>
      <c r="T559">
        <v>0</v>
      </c>
      <c r="U559">
        <v>0</v>
      </c>
      <c r="V559" s="10">
        <v>0.10985915492957747</v>
      </c>
      <c r="W559" s="5">
        <v>2</v>
      </c>
      <c r="X559" s="5">
        <v>2</v>
      </c>
      <c r="Y559" s="5">
        <v>3</v>
      </c>
      <c r="Z559" s="5">
        <v>7</v>
      </c>
    </row>
    <row r="560" spans="1:26" x14ac:dyDescent="0.35">
      <c r="A560">
        <v>559</v>
      </c>
      <c r="B560" s="10">
        <v>0.5490196078431373</v>
      </c>
      <c r="C560">
        <v>0</v>
      </c>
      <c r="D560">
        <v>0</v>
      </c>
      <c r="E560">
        <v>1</v>
      </c>
      <c r="F560">
        <v>0</v>
      </c>
      <c r="G560">
        <v>0</v>
      </c>
      <c r="H560">
        <v>2</v>
      </c>
      <c r="I560">
        <v>0</v>
      </c>
      <c r="J560" s="10">
        <v>0.87749893662271372</v>
      </c>
      <c r="K560">
        <v>0</v>
      </c>
      <c r="L560">
        <v>1</v>
      </c>
      <c r="M560">
        <v>0</v>
      </c>
      <c r="N560" s="10">
        <v>0.63439210482667097</v>
      </c>
      <c r="O560" s="11">
        <v>0.618483269281072</v>
      </c>
      <c r="P560" s="10">
        <v>0.75</v>
      </c>
      <c r="Q560">
        <v>1</v>
      </c>
      <c r="R560">
        <v>1</v>
      </c>
      <c r="S560">
        <v>1</v>
      </c>
      <c r="T560">
        <v>0</v>
      </c>
      <c r="U560">
        <v>0</v>
      </c>
      <c r="V560" s="10">
        <v>0.21126760563380281</v>
      </c>
      <c r="W560" s="5">
        <v>2</v>
      </c>
      <c r="X560" s="5">
        <v>2</v>
      </c>
      <c r="Y560" s="5">
        <v>3</v>
      </c>
      <c r="Z560" s="5">
        <v>7</v>
      </c>
    </row>
    <row r="561" spans="1:26" x14ac:dyDescent="0.35">
      <c r="A561">
        <v>560</v>
      </c>
      <c r="B561" s="10">
        <v>0.15686274509803921</v>
      </c>
      <c r="C561">
        <v>1</v>
      </c>
      <c r="D561">
        <v>0</v>
      </c>
      <c r="E561">
        <v>1</v>
      </c>
      <c r="F561">
        <v>0</v>
      </c>
      <c r="G561">
        <v>0</v>
      </c>
      <c r="H561">
        <v>2</v>
      </c>
      <c r="I561">
        <v>1</v>
      </c>
      <c r="J561" s="10">
        <v>4.0408336877924292E-2</v>
      </c>
      <c r="K561">
        <v>1</v>
      </c>
      <c r="L561">
        <v>0</v>
      </c>
      <c r="M561">
        <v>0</v>
      </c>
      <c r="N561" s="10">
        <v>5.7324123877449465E-2</v>
      </c>
      <c r="O561" s="11">
        <v>0.20457152055373348</v>
      </c>
      <c r="P561" s="10">
        <v>0.125</v>
      </c>
      <c r="Q561">
        <v>0</v>
      </c>
      <c r="R561">
        <v>0</v>
      </c>
      <c r="S561">
        <v>0</v>
      </c>
      <c r="T561">
        <v>0</v>
      </c>
      <c r="U561">
        <v>0</v>
      </c>
      <c r="V561" s="10">
        <v>5.9154929577464786E-2</v>
      </c>
      <c r="W561" s="5">
        <v>3</v>
      </c>
      <c r="X561" s="5">
        <v>1</v>
      </c>
      <c r="Y561" s="5">
        <v>1</v>
      </c>
      <c r="Z561" s="5">
        <v>5</v>
      </c>
    </row>
    <row r="562" spans="1:26" x14ac:dyDescent="0.35">
      <c r="A562">
        <v>561</v>
      </c>
      <c r="B562" s="10">
        <v>0.84313725490196079</v>
      </c>
      <c r="C562">
        <v>1</v>
      </c>
      <c r="D562">
        <v>0</v>
      </c>
      <c r="E562">
        <v>1</v>
      </c>
      <c r="F562">
        <v>0</v>
      </c>
      <c r="G562">
        <v>0</v>
      </c>
      <c r="H562">
        <v>1</v>
      </c>
      <c r="I562">
        <v>0</v>
      </c>
      <c r="J562" s="10">
        <v>0.7754147171416419</v>
      </c>
      <c r="K562">
        <v>0</v>
      </c>
      <c r="L562">
        <v>0</v>
      </c>
      <c r="M562">
        <v>1</v>
      </c>
      <c r="N562" s="10">
        <v>0.40269649077079828</v>
      </c>
      <c r="O562" s="11">
        <v>0.45923123872378385</v>
      </c>
      <c r="P562" s="10">
        <v>0.625</v>
      </c>
      <c r="Q562">
        <v>1</v>
      </c>
      <c r="R562">
        <v>0</v>
      </c>
      <c r="S562">
        <v>0</v>
      </c>
      <c r="T562">
        <v>0</v>
      </c>
      <c r="U562">
        <v>1</v>
      </c>
      <c r="V562" s="10">
        <v>1.6901408450704224E-2</v>
      </c>
      <c r="W562" s="5">
        <v>3</v>
      </c>
      <c r="X562" s="5">
        <v>2</v>
      </c>
      <c r="Y562" s="5">
        <v>2</v>
      </c>
      <c r="Z562" s="5">
        <v>7</v>
      </c>
    </row>
    <row r="563" spans="1:26" x14ac:dyDescent="0.35">
      <c r="A563">
        <v>562</v>
      </c>
      <c r="B563" s="10">
        <v>0.90196078431372551</v>
      </c>
      <c r="C563">
        <v>1</v>
      </c>
      <c r="D563">
        <v>0</v>
      </c>
      <c r="E563">
        <v>1</v>
      </c>
      <c r="F563">
        <v>0</v>
      </c>
      <c r="G563">
        <v>0</v>
      </c>
      <c r="H563">
        <v>1</v>
      </c>
      <c r="I563">
        <v>1</v>
      </c>
      <c r="J563" s="10">
        <v>0.53041259038706934</v>
      </c>
      <c r="K563">
        <v>0</v>
      </c>
      <c r="L563">
        <v>0</v>
      </c>
      <c r="M563">
        <v>1</v>
      </c>
      <c r="N563" s="10">
        <v>0.63714368646778652</v>
      </c>
      <c r="O563" s="11">
        <v>0.48311949044358138</v>
      </c>
      <c r="P563" s="10">
        <v>1</v>
      </c>
      <c r="Q563">
        <v>0</v>
      </c>
      <c r="R563">
        <v>0</v>
      </c>
      <c r="S563">
        <v>0</v>
      </c>
      <c r="T563">
        <v>0</v>
      </c>
      <c r="U563">
        <v>0</v>
      </c>
      <c r="V563" s="10">
        <v>0.11549295774647887</v>
      </c>
      <c r="W563" s="5">
        <v>2</v>
      </c>
      <c r="X563" s="5">
        <v>3</v>
      </c>
      <c r="Y563" s="5">
        <v>3</v>
      </c>
      <c r="Z563" s="5">
        <v>8</v>
      </c>
    </row>
    <row r="564" spans="1:26" x14ac:dyDescent="0.35">
      <c r="A564">
        <v>563</v>
      </c>
      <c r="B564" s="10">
        <v>0</v>
      </c>
      <c r="C564">
        <v>1</v>
      </c>
      <c r="D564">
        <v>0</v>
      </c>
      <c r="E564">
        <v>0</v>
      </c>
      <c r="F564">
        <v>0</v>
      </c>
      <c r="G564">
        <v>1</v>
      </c>
      <c r="H564">
        <v>2</v>
      </c>
      <c r="I564">
        <v>0</v>
      </c>
      <c r="J564" s="10">
        <v>0.59166312207571248</v>
      </c>
      <c r="K564">
        <v>1</v>
      </c>
      <c r="L564">
        <v>0</v>
      </c>
      <c r="M564">
        <v>0</v>
      </c>
      <c r="N564" s="10">
        <v>0.3199802146766817</v>
      </c>
      <c r="O564" s="11">
        <v>0.43869293144731281</v>
      </c>
      <c r="P564" s="10">
        <v>0.5</v>
      </c>
      <c r="Q564">
        <v>0</v>
      </c>
      <c r="R564">
        <v>0</v>
      </c>
      <c r="S564">
        <v>0</v>
      </c>
      <c r="T564">
        <v>0</v>
      </c>
      <c r="U564">
        <v>0</v>
      </c>
      <c r="V564" s="10">
        <v>3.0985915492957747E-2</v>
      </c>
      <c r="W564" s="5">
        <v>3</v>
      </c>
      <c r="X564" s="5">
        <v>2</v>
      </c>
      <c r="Y564" s="5">
        <v>2</v>
      </c>
      <c r="Z564" s="5">
        <v>7</v>
      </c>
    </row>
    <row r="565" spans="1:26" x14ac:dyDescent="0.35">
      <c r="A565">
        <v>564</v>
      </c>
      <c r="B565" s="10">
        <v>0.78431372549019607</v>
      </c>
      <c r="C565">
        <v>1</v>
      </c>
      <c r="D565">
        <v>1</v>
      </c>
      <c r="E565">
        <v>0</v>
      </c>
      <c r="F565">
        <v>0</v>
      </c>
      <c r="G565">
        <v>0</v>
      </c>
      <c r="H565">
        <v>1</v>
      </c>
      <c r="I565">
        <v>0</v>
      </c>
      <c r="J565" s="10">
        <v>0.91833262441514252</v>
      </c>
      <c r="K565">
        <v>0</v>
      </c>
      <c r="L565">
        <v>0</v>
      </c>
      <c r="M565">
        <v>1</v>
      </c>
      <c r="N565" s="10">
        <v>0.5477780015638698</v>
      </c>
      <c r="O565" s="11">
        <v>0.5344258148338713</v>
      </c>
      <c r="P565" s="10">
        <v>0.75</v>
      </c>
      <c r="Q565">
        <v>0</v>
      </c>
      <c r="R565">
        <v>0</v>
      </c>
      <c r="S565">
        <v>0</v>
      </c>
      <c r="T565">
        <v>0</v>
      </c>
      <c r="U565">
        <v>0</v>
      </c>
      <c r="V565" s="10">
        <v>7.0422535211267609E-2</v>
      </c>
      <c r="W565" s="5">
        <v>3</v>
      </c>
      <c r="X565" s="5">
        <v>2</v>
      </c>
      <c r="Y565" s="5">
        <v>3</v>
      </c>
      <c r="Z565" s="5">
        <v>8</v>
      </c>
    </row>
    <row r="566" spans="1:26" x14ac:dyDescent="0.35">
      <c r="A566">
        <v>565</v>
      </c>
      <c r="B566" s="10">
        <v>1</v>
      </c>
      <c r="C566">
        <v>1</v>
      </c>
      <c r="D566">
        <v>1</v>
      </c>
      <c r="E566">
        <v>0</v>
      </c>
      <c r="F566">
        <v>0</v>
      </c>
      <c r="G566">
        <v>0</v>
      </c>
      <c r="H566">
        <v>1</v>
      </c>
      <c r="I566">
        <v>1</v>
      </c>
      <c r="J566" s="10">
        <v>0.61207996597192693</v>
      </c>
      <c r="K566">
        <v>0</v>
      </c>
      <c r="L566">
        <v>1</v>
      </c>
      <c r="M566">
        <v>0</v>
      </c>
      <c r="N566" s="10">
        <v>0.71868409828685154</v>
      </c>
      <c r="O566" s="11">
        <v>0.81700168346780955</v>
      </c>
      <c r="P566" s="10">
        <v>0.625</v>
      </c>
      <c r="Q566">
        <v>2</v>
      </c>
      <c r="R566">
        <v>1</v>
      </c>
      <c r="S566">
        <v>0</v>
      </c>
      <c r="T566">
        <v>1</v>
      </c>
      <c r="U566">
        <v>0</v>
      </c>
      <c r="V566" s="10">
        <v>7.605633802816901E-2</v>
      </c>
      <c r="W566" s="5">
        <v>3</v>
      </c>
      <c r="X566" s="5">
        <v>2</v>
      </c>
      <c r="Y566" s="5">
        <v>3</v>
      </c>
      <c r="Z566" s="5">
        <v>8</v>
      </c>
    </row>
    <row r="567" spans="1:26" x14ac:dyDescent="0.35">
      <c r="A567">
        <v>566</v>
      </c>
      <c r="B567" s="10">
        <v>0.74509803921568629</v>
      </c>
      <c r="C567">
        <v>1</v>
      </c>
      <c r="D567">
        <v>0</v>
      </c>
      <c r="E567">
        <v>0</v>
      </c>
      <c r="F567">
        <v>1</v>
      </c>
      <c r="G567">
        <v>0</v>
      </c>
      <c r="H567">
        <v>3</v>
      </c>
      <c r="I567">
        <v>0</v>
      </c>
      <c r="J567" s="10">
        <v>0.7754147171416419</v>
      </c>
      <c r="K567">
        <v>0</v>
      </c>
      <c r="L567">
        <v>0</v>
      </c>
      <c r="M567">
        <v>1</v>
      </c>
      <c r="N567" s="10">
        <v>0.550141577612966</v>
      </c>
      <c r="O567" s="11">
        <v>0.5367196235624172</v>
      </c>
      <c r="P567" s="10">
        <v>0.75</v>
      </c>
      <c r="Q567">
        <v>0</v>
      </c>
      <c r="R567">
        <v>0</v>
      </c>
      <c r="S567">
        <v>0</v>
      </c>
      <c r="T567">
        <v>0</v>
      </c>
      <c r="U567">
        <v>0</v>
      </c>
      <c r="V567" s="10">
        <v>8.1690140845070425E-2</v>
      </c>
      <c r="W567" s="5">
        <v>2</v>
      </c>
      <c r="X567" s="5">
        <v>2</v>
      </c>
      <c r="Y567" s="5">
        <v>3</v>
      </c>
      <c r="Z567" s="5">
        <v>7</v>
      </c>
    </row>
    <row r="568" spans="1:26" x14ac:dyDescent="0.35">
      <c r="A568">
        <v>567</v>
      </c>
      <c r="B568" s="10">
        <v>0.49019607843137253</v>
      </c>
      <c r="C568">
        <v>1</v>
      </c>
      <c r="D568">
        <v>0</v>
      </c>
      <c r="E568">
        <v>1</v>
      </c>
      <c r="F568">
        <v>0</v>
      </c>
      <c r="G568">
        <v>0</v>
      </c>
      <c r="H568">
        <v>2</v>
      </c>
      <c r="I568">
        <v>0</v>
      </c>
      <c r="J568" s="10">
        <v>0.83666524883028492</v>
      </c>
      <c r="K568">
        <v>0</v>
      </c>
      <c r="L568">
        <v>0</v>
      </c>
      <c r="M568">
        <v>1</v>
      </c>
      <c r="N568" s="10">
        <v>0.13700447835461932</v>
      </c>
      <c r="O568" s="11">
        <v>0.95044165878589104</v>
      </c>
      <c r="P568" s="10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 s="10">
        <v>1</v>
      </c>
      <c r="W568" s="5">
        <v>1</v>
      </c>
      <c r="X568" s="5">
        <v>1</v>
      </c>
      <c r="Y568" s="5">
        <v>1</v>
      </c>
      <c r="Z568" s="5">
        <v>3</v>
      </c>
    </row>
    <row r="569" spans="1:26" x14ac:dyDescent="0.35">
      <c r="A569">
        <v>568</v>
      </c>
      <c r="B569" s="10">
        <v>0.19607843137254902</v>
      </c>
      <c r="C569">
        <v>1</v>
      </c>
      <c r="D569">
        <v>0</v>
      </c>
      <c r="E569">
        <v>0</v>
      </c>
      <c r="F569">
        <v>1</v>
      </c>
      <c r="G569">
        <v>0</v>
      </c>
      <c r="H569">
        <v>3</v>
      </c>
      <c r="I569">
        <v>0</v>
      </c>
      <c r="J569" s="10">
        <v>0.65291365376435562</v>
      </c>
      <c r="K569">
        <v>0</v>
      </c>
      <c r="L569">
        <v>0</v>
      </c>
      <c r="M569">
        <v>1</v>
      </c>
      <c r="N569" s="10">
        <v>0.30845259815652915</v>
      </c>
      <c r="O569" s="11">
        <v>0.7050510741329471</v>
      </c>
      <c r="P569" s="10">
        <v>0.25</v>
      </c>
      <c r="Q569">
        <v>1</v>
      </c>
      <c r="R569">
        <v>0</v>
      </c>
      <c r="S569">
        <v>0</v>
      </c>
      <c r="T569">
        <v>0</v>
      </c>
      <c r="U569">
        <v>1</v>
      </c>
      <c r="V569" s="10">
        <v>0.21971830985915494</v>
      </c>
      <c r="W569" s="5">
        <v>2</v>
      </c>
      <c r="X569" s="5">
        <v>2</v>
      </c>
      <c r="Y569" s="5">
        <v>2</v>
      </c>
      <c r="Z569" s="5">
        <v>6</v>
      </c>
    </row>
    <row r="570" spans="1:26" x14ac:dyDescent="0.35">
      <c r="A570">
        <v>569</v>
      </c>
      <c r="B570" s="10">
        <v>1</v>
      </c>
      <c r="C570">
        <v>0</v>
      </c>
      <c r="D570">
        <v>0</v>
      </c>
      <c r="E570">
        <v>0</v>
      </c>
      <c r="F570">
        <v>0</v>
      </c>
      <c r="G570">
        <v>1</v>
      </c>
      <c r="H570">
        <v>1</v>
      </c>
      <c r="I570">
        <v>0</v>
      </c>
      <c r="J570" s="10">
        <v>0.7754147171416419</v>
      </c>
      <c r="K570">
        <v>0</v>
      </c>
      <c r="L570">
        <v>0</v>
      </c>
      <c r="M570">
        <v>1</v>
      </c>
      <c r="N570" s="10">
        <v>0.4564397080776248</v>
      </c>
      <c r="O570" s="11">
        <v>0.52008088693937493</v>
      </c>
      <c r="P570" s="10">
        <v>0.625</v>
      </c>
      <c r="Q570">
        <v>1</v>
      </c>
      <c r="R570">
        <v>0</v>
      </c>
      <c r="S570">
        <v>1</v>
      </c>
      <c r="T570">
        <v>0</v>
      </c>
      <c r="U570">
        <v>0</v>
      </c>
      <c r="V570" s="10">
        <v>6.7605633802816895E-2</v>
      </c>
      <c r="W570" s="5">
        <v>3</v>
      </c>
      <c r="X570" s="5">
        <v>2</v>
      </c>
      <c r="Y570" s="5">
        <v>2</v>
      </c>
      <c r="Z570" s="5">
        <v>7</v>
      </c>
    </row>
    <row r="571" spans="1:26" x14ac:dyDescent="0.35">
      <c r="A571">
        <v>570</v>
      </c>
      <c r="B571" s="10">
        <v>0.66666666666666663</v>
      </c>
      <c r="C571">
        <v>0</v>
      </c>
      <c r="D571">
        <v>1</v>
      </c>
      <c r="E571">
        <v>0</v>
      </c>
      <c r="F571">
        <v>0</v>
      </c>
      <c r="G571">
        <v>0</v>
      </c>
      <c r="H571">
        <v>1</v>
      </c>
      <c r="I571">
        <v>0</v>
      </c>
      <c r="J571" s="10">
        <v>0.42832837090599751</v>
      </c>
      <c r="K571">
        <v>1</v>
      </c>
      <c r="L571">
        <v>0</v>
      </c>
      <c r="M571">
        <v>0</v>
      </c>
      <c r="N571" s="10">
        <v>0.6955192758808616</v>
      </c>
      <c r="O571" s="11">
        <v>0.67780610705015631</v>
      </c>
      <c r="P571" s="10">
        <v>0.75</v>
      </c>
      <c r="Q571">
        <v>2</v>
      </c>
      <c r="R571">
        <v>1</v>
      </c>
      <c r="S571">
        <v>1</v>
      </c>
      <c r="T571">
        <v>0</v>
      </c>
      <c r="U571">
        <v>1</v>
      </c>
      <c r="V571" s="10">
        <v>0.29859154929577464</v>
      </c>
      <c r="W571" s="5">
        <v>1</v>
      </c>
      <c r="X571" s="5">
        <v>2</v>
      </c>
      <c r="Y571" s="5">
        <v>3</v>
      </c>
      <c r="Z571" s="5">
        <v>6</v>
      </c>
    </row>
    <row r="572" spans="1:26" x14ac:dyDescent="0.35">
      <c r="A572">
        <v>571</v>
      </c>
      <c r="B572" s="10">
        <v>0.45098039215686275</v>
      </c>
      <c r="C572">
        <v>0</v>
      </c>
      <c r="D572">
        <v>1</v>
      </c>
      <c r="E572">
        <v>0</v>
      </c>
      <c r="F572">
        <v>0</v>
      </c>
      <c r="G572">
        <v>0</v>
      </c>
      <c r="H572">
        <v>1</v>
      </c>
      <c r="I572">
        <v>0</v>
      </c>
      <c r="J572" s="10">
        <v>0.16290940025521056</v>
      </c>
      <c r="K572">
        <v>0</v>
      </c>
      <c r="L572">
        <v>1</v>
      </c>
      <c r="M572">
        <v>0</v>
      </c>
      <c r="N572" s="10">
        <v>0.28217188351538991</v>
      </c>
      <c r="O572" s="11">
        <v>0.64553948100900749</v>
      </c>
      <c r="P572" s="10">
        <v>0.25</v>
      </c>
      <c r="Q572">
        <v>1</v>
      </c>
      <c r="R572">
        <v>1</v>
      </c>
      <c r="S572">
        <v>0</v>
      </c>
      <c r="T572">
        <v>0</v>
      </c>
      <c r="U572">
        <v>1</v>
      </c>
      <c r="V572" s="10">
        <v>0.18309859154929578</v>
      </c>
      <c r="W572" s="5">
        <v>2</v>
      </c>
      <c r="X572" s="5">
        <v>2</v>
      </c>
      <c r="Y572" s="5">
        <v>2</v>
      </c>
      <c r="Z572" s="5">
        <v>6</v>
      </c>
    </row>
    <row r="573" spans="1:26" x14ac:dyDescent="0.35">
      <c r="A573">
        <v>572</v>
      </c>
      <c r="B573" s="10">
        <v>0.62745098039215685</v>
      </c>
      <c r="C573">
        <v>0</v>
      </c>
      <c r="D573">
        <v>0</v>
      </c>
      <c r="E573">
        <v>1</v>
      </c>
      <c r="F573">
        <v>0</v>
      </c>
      <c r="G573">
        <v>0</v>
      </c>
      <c r="H573">
        <v>1</v>
      </c>
      <c r="I573">
        <v>0</v>
      </c>
      <c r="J573" s="10">
        <v>0.1220757124627818</v>
      </c>
      <c r="K573">
        <v>0</v>
      </c>
      <c r="L573">
        <v>1</v>
      </c>
      <c r="M573">
        <v>0</v>
      </c>
      <c r="N573" s="10">
        <v>0.15646399545056036</v>
      </c>
      <c r="O573" s="11">
        <v>0.54131873880762182</v>
      </c>
      <c r="P573" s="10">
        <v>0.125</v>
      </c>
      <c r="Q573">
        <v>0</v>
      </c>
      <c r="R573">
        <v>0</v>
      </c>
      <c r="S573">
        <v>0</v>
      </c>
      <c r="T573">
        <v>0</v>
      </c>
      <c r="U573">
        <v>0</v>
      </c>
      <c r="V573" s="10">
        <v>5.6338028169014088E-3</v>
      </c>
      <c r="W573" s="5">
        <v>3</v>
      </c>
      <c r="X573" s="5">
        <v>1</v>
      </c>
      <c r="Y573" s="5">
        <v>1</v>
      </c>
      <c r="Z573" s="5">
        <v>5</v>
      </c>
    </row>
    <row r="574" spans="1:26" x14ac:dyDescent="0.35">
      <c r="A574">
        <v>573</v>
      </c>
      <c r="B574" s="10">
        <v>0.37254901960784315</v>
      </c>
      <c r="C574">
        <v>0</v>
      </c>
      <c r="D574">
        <v>1</v>
      </c>
      <c r="E574">
        <v>0</v>
      </c>
      <c r="F574">
        <v>0</v>
      </c>
      <c r="G574">
        <v>0</v>
      </c>
      <c r="H574">
        <v>2</v>
      </c>
      <c r="I574">
        <v>0</v>
      </c>
      <c r="J574" s="10">
        <v>8.1242024670353047E-2</v>
      </c>
      <c r="K574">
        <v>0</v>
      </c>
      <c r="L574">
        <v>1</v>
      </c>
      <c r="M574">
        <v>0</v>
      </c>
      <c r="N574" s="10">
        <v>0.39144136672748386</v>
      </c>
      <c r="O574" s="11">
        <v>0.53578542827823505</v>
      </c>
      <c r="P574" s="10">
        <v>0.5</v>
      </c>
      <c r="Q574">
        <v>0</v>
      </c>
      <c r="R574">
        <v>0</v>
      </c>
      <c r="S574">
        <v>0</v>
      </c>
      <c r="T574">
        <v>0</v>
      </c>
      <c r="U574">
        <v>0</v>
      </c>
      <c r="V574" s="10">
        <v>0.16056338028169015</v>
      </c>
      <c r="W574" s="5">
        <v>2</v>
      </c>
      <c r="X574" s="5">
        <v>2</v>
      </c>
      <c r="Y574" s="5">
        <v>2</v>
      </c>
      <c r="Z574" s="5">
        <v>6</v>
      </c>
    </row>
    <row r="575" spans="1:26" x14ac:dyDescent="0.35">
      <c r="A575">
        <v>574</v>
      </c>
      <c r="B575" s="10">
        <v>0.50980392156862742</v>
      </c>
      <c r="C575">
        <v>1</v>
      </c>
      <c r="D575">
        <v>0</v>
      </c>
      <c r="E575">
        <v>0</v>
      </c>
      <c r="F575">
        <v>0</v>
      </c>
      <c r="G575">
        <v>1</v>
      </c>
      <c r="H575">
        <v>2</v>
      </c>
      <c r="I575">
        <v>1</v>
      </c>
      <c r="J575" s="10">
        <v>0.34666099532113998</v>
      </c>
      <c r="K575">
        <v>1</v>
      </c>
      <c r="L575">
        <v>0</v>
      </c>
      <c r="M575">
        <v>0</v>
      </c>
      <c r="N575" s="10">
        <v>0.71902471388289924</v>
      </c>
      <c r="O575" s="11">
        <v>0.54492489229606678</v>
      </c>
      <c r="P575" s="10">
        <v>1</v>
      </c>
      <c r="Q575">
        <v>1</v>
      </c>
      <c r="R575">
        <v>0</v>
      </c>
      <c r="S575">
        <v>0</v>
      </c>
      <c r="T575">
        <v>0</v>
      </c>
      <c r="U575">
        <v>1</v>
      </c>
      <c r="V575" s="10">
        <v>0</v>
      </c>
      <c r="W575" s="5">
        <v>3</v>
      </c>
      <c r="X575" s="5">
        <v>3</v>
      </c>
      <c r="Y575" s="5">
        <v>3</v>
      </c>
      <c r="Z575" s="5">
        <v>9</v>
      </c>
    </row>
    <row r="576" spans="1:26" x14ac:dyDescent="0.35">
      <c r="A576">
        <v>575</v>
      </c>
      <c r="B576" s="10">
        <v>0.27450980392156865</v>
      </c>
      <c r="C576">
        <v>0</v>
      </c>
      <c r="D576">
        <v>0</v>
      </c>
      <c r="E576">
        <v>0</v>
      </c>
      <c r="F576">
        <v>0</v>
      </c>
      <c r="G576">
        <v>1</v>
      </c>
      <c r="H576">
        <v>2</v>
      </c>
      <c r="I576">
        <v>0</v>
      </c>
      <c r="J576" s="10">
        <v>0.42832837090599751</v>
      </c>
      <c r="K576">
        <v>1</v>
      </c>
      <c r="L576">
        <v>0</v>
      </c>
      <c r="M576">
        <v>0</v>
      </c>
      <c r="N576" s="10">
        <v>0.45626495746747853</v>
      </c>
      <c r="O576" s="11">
        <v>0.34658868611262011</v>
      </c>
      <c r="P576" s="10">
        <v>1</v>
      </c>
      <c r="Q576">
        <v>2</v>
      </c>
      <c r="R576">
        <v>1</v>
      </c>
      <c r="S576">
        <v>1</v>
      </c>
      <c r="T576">
        <v>1</v>
      </c>
      <c r="U576">
        <v>0</v>
      </c>
      <c r="V576" s="10">
        <v>0.16619718309859155</v>
      </c>
      <c r="W576" s="5">
        <v>2</v>
      </c>
      <c r="X576" s="5">
        <v>3</v>
      </c>
      <c r="Y576" s="5">
        <v>2</v>
      </c>
      <c r="Z576" s="5">
        <v>7</v>
      </c>
    </row>
    <row r="577" spans="1:26" x14ac:dyDescent="0.35">
      <c r="A577">
        <v>576</v>
      </c>
      <c r="B577" s="10">
        <v>0.62745098039215685</v>
      </c>
      <c r="C577">
        <v>0</v>
      </c>
      <c r="D577">
        <v>0</v>
      </c>
      <c r="E577">
        <v>1</v>
      </c>
      <c r="F577">
        <v>0</v>
      </c>
      <c r="G577">
        <v>0</v>
      </c>
      <c r="H577">
        <v>2</v>
      </c>
      <c r="I577">
        <v>1</v>
      </c>
      <c r="J577" s="10">
        <v>8.1242024670353047E-2</v>
      </c>
      <c r="K577">
        <v>0</v>
      </c>
      <c r="L577">
        <v>1</v>
      </c>
      <c r="M577">
        <v>0</v>
      </c>
      <c r="N577" s="10">
        <v>0.22099436059047936</v>
      </c>
      <c r="O577" s="11">
        <v>0.38025412986176788</v>
      </c>
      <c r="P577" s="10">
        <v>0.375</v>
      </c>
      <c r="Q577">
        <v>2</v>
      </c>
      <c r="R577">
        <v>1</v>
      </c>
      <c r="S577">
        <v>0</v>
      </c>
      <c r="T577">
        <v>0</v>
      </c>
      <c r="U577">
        <v>1</v>
      </c>
      <c r="V577" s="10">
        <v>0.3436619718309859</v>
      </c>
      <c r="W577" s="5">
        <v>1</v>
      </c>
      <c r="X577" s="5">
        <v>2</v>
      </c>
      <c r="Y577" s="5">
        <v>1</v>
      </c>
      <c r="Z577" s="5">
        <v>4</v>
      </c>
    </row>
    <row r="578" spans="1:26" x14ac:dyDescent="0.35">
      <c r="A578">
        <v>577</v>
      </c>
      <c r="B578" s="10">
        <v>1</v>
      </c>
      <c r="C578">
        <v>1</v>
      </c>
      <c r="D578">
        <v>0</v>
      </c>
      <c r="E578">
        <v>0</v>
      </c>
      <c r="F578">
        <v>1</v>
      </c>
      <c r="G578">
        <v>0</v>
      </c>
      <c r="H578">
        <v>3</v>
      </c>
      <c r="I578">
        <v>1</v>
      </c>
      <c r="J578" s="10">
        <v>0.71416418545299876</v>
      </c>
      <c r="K578">
        <v>0</v>
      </c>
      <c r="L578">
        <v>1</v>
      </c>
      <c r="M578">
        <v>0</v>
      </c>
      <c r="N578" s="10">
        <v>0.70001836362343894</v>
      </c>
      <c r="O578" s="11">
        <v>0.59690084307531333</v>
      </c>
      <c r="P578" s="10">
        <v>0.875</v>
      </c>
      <c r="Q578">
        <v>1</v>
      </c>
      <c r="R578">
        <v>1</v>
      </c>
      <c r="S578">
        <v>0</v>
      </c>
      <c r="T578">
        <v>0</v>
      </c>
      <c r="U578">
        <v>1</v>
      </c>
      <c r="V578" s="10">
        <v>0.24225352112676057</v>
      </c>
      <c r="W578" s="5">
        <v>1</v>
      </c>
      <c r="X578" s="5">
        <v>3</v>
      </c>
      <c r="Y578" s="5">
        <v>3</v>
      </c>
      <c r="Z578" s="5">
        <v>7</v>
      </c>
    </row>
    <row r="579" spans="1:26" x14ac:dyDescent="0.35">
      <c r="A579">
        <v>578</v>
      </c>
      <c r="B579" s="10">
        <v>0.11764705882352941</v>
      </c>
      <c r="C579">
        <v>0</v>
      </c>
      <c r="D579">
        <v>0</v>
      </c>
      <c r="E579">
        <v>1</v>
      </c>
      <c r="F579">
        <v>0</v>
      </c>
      <c r="G579">
        <v>0</v>
      </c>
      <c r="H579">
        <v>3</v>
      </c>
      <c r="I579">
        <v>0</v>
      </c>
      <c r="J579" s="10">
        <v>0.61207996597192693</v>
      </c>
      <c r="K579">
        <v>1</v>
      </c>
      <c r="L579">
        <v>0</v>
      </c>
      <c r="M579">
        <v>0</v>
      </c>
      <c r="N579" s="10">
        <v>0.20904911973082482</v>
      </c>
      <c r="O579" s="11">
        <v>0.47995600179748754</v>
      </c>
      <c r="P579" s="10">
        <v>0.25</v>
      </c>
      <c r="Q579">
        <v>1</v>
      </c>
      <c r="R579">
        <v>0</v>
      </c>
      <c r="S579">
        <v>1</v>
      </c>
      <c r="T579">
        <v>0</v>
      </c>
      <c r="U579">
        <v>0</v>
      </c>
      <c r="V579" s="10">
        <v>0.21126760563380281</v>
      </c>
      <c r="W579" s="5">
        <v>2</v>
      </c>
      <c r="X579" s="5">
        <v>2</v>
      </c>
      <c r="Y579" s="5">
        <v>1</v>
      </c>
      <c r="Z579" s="5">
        <v>5</v>
      </c>
    </row>
    <row r="580" spans="1:26" x14ac:dyDescent="0.35">
      <c r="A580">
        <v>579</v>
      </c>
      <c r="B580" s="10">
        <v>0.6470588235294118</v>
      </c>
      <c r="C580">
        <v>0</v>
      </c>
      <c r="D580">
        <v>0</v>
      </c>
      <c r="E580">
        <v>0</v>
      </c>
      <c r="F580">
        <v>0</v>
      </c>
      <c r="G580">
        <v>1</v>
      </c>
      <c r="H580">
        <v>3</v>
      </c>
      <c r="I580">
        <v>1</v>
      </c>
      <c r="J580" s="10">
        <v>0.55082943428328379</v>
      </c>
      <c r="K580">
        <v>0</v>
      </c>
      <c r="L580">
        <v>0</v>
      </c>
      <c r="M580">
        <v>1</v>
      </c>
      <c r="N580" s="10">
        <v>0.11628616449067601</v>
      </c>
      <c r="O580" s="11">
        <v>0.40484718002374293</v>
      </c>
      <c r="P580" s="10">
        <v>0.125</v>
      </c>
      <c r="Q580">
        <v>0</v>
      </c>
      <c r="R580">
        <v>0</v>
      </c>
      <c r="S580">
        <v>0</v>
      </c>
      <c r="T580">
        <v>0</v>
      </c>
      <c r="U580">
        <v>0</v>
      </c>
      <c r="V580" s="10">
        <v>0.45915492957746479</v>
      </c>
      <c r="W580" s="5">
        <v>1</v>
      </c>
      <c r="X580" s="5">
        <v>1</v>
      </c>
      <c r="Y580" s="5">
        <v>1</v>
      </c>
      <c r="Z580" s="5">
        <v>3</v>
      </c>
    </row>
    <row r="581" spans="1:26" x14ac:dyDescent="0.35">
      <c r="A581">
        <v>580</v>
      </c>
      <c r="B581" s="10">
        <v>0.86274509803921573</v>
      </c>
      <c r="C581">
        <v>1</v>
      </c>
      <c r="D581">
        <v>1</v>
      </c>
      <c r="E581">
        <v>0</v>
      </c>
      <c r="F581">
        <v>0</v>
      </c>
      <c r="G581">
        <v>0</v>
      </c>
      <c r="H581">
        <v>1</v>
      </c>
      <c r="I581">
        <v>0</v>
      </c>
      <c r="J581" s="10">
        <v>0.24457677584006807</v>
      </c>
      <c r="K581">
        <v>0</v>
      </c>
      <c r="L581">
        <v>1</v>
      </c>
      <c r="M581">
        <v>0</v>
      </c>
      <c r="N581" s="10">
        <v>6.6034997512025198E-2</v>
      </c>
      <c r="O581" s="11">
        <v>0.23415964103905509</v>
      </c>
      <c r="P581" s="10">
        <v>0.125</v>
      </c>
      <c r="Q581">
        <v>2</v>
      </c>
      <c r="R581">
        <v>1</v>
      </c>
      <c r="S581">
        <v>1</v>
      </c>
      <c r="T581">
        <v>0</v>
      </c>
      <c r="U581">
        <v>1</v>
      </c>
      <c r="V581" s="10">
        <v>5.6338028169014086E-2</v>
      </c>
      <c r="W581" s="5">
        <v>3</v>
      </c>
      <c r="X581" s="5">
        <v>1</v>
      </c>
      <c r="Y581" s="5">
        <v>1</v>
      </c>
      <c r="Z581" s="5">
        <v>5</v>
      </c>
    </row>
    <row r="582" spans="1:26" x14ac:dyDescent="0.35">
      <c r="A582">
        <v>581</v>
      </c>
      <c r="B582" s="10">
        <v>0.98039215686274506</v>
      </c>
      <c r="C582">
        <v>0</v>
      </c>
      <c r="D582">
        <v>1</v>
      </c>
      <c r="E582">
        <v>0</v>
      </c>
      <c r="F582">
        <v>0</v>
      </c>
      <c r="G582">
        <v>0</v>
      </c>
      <c r="H582">
        <v>2</v>
      </c>
      <c r="I582">
        <v>0</v>
      </c>
      <c r="J582" s="10">
        <v>0.97958315610378566</v>
      </c>
      <c r="K582">
        <v>1</v>
      </c>
      <c r="L582">
        <v>0</v>
      </c>
      <c r="M582">
        <v>0</v>
      </c>
      <c r="N582" s="10">
        <v>0.11784114873350233</v>
      </c>
      <c r="O582" s="11">
        <v>0.41012897643815766</v>
      </c>
      <c r="P582" s="10">
        <v>0.125</v>
      </c>
      <c r="Q582">
        <v>1</v>
      </c>
      <c r="R582">
        <v>1</v>
      </c>
      <c r="S582">
        <v>1</v>
      </c>
      <c r="T582">
        <v>0</v>
      </c>
      <c r="U582">
        <v>0</v>
      </c>
      <c r="V582" s="10">
        <v>0.50704225352112675</v>
      </c>
      <c r="W582" s="5">
        <v>1</v>
      </c>
      <c r="X582" s="5">
        <v>1</v>
      </c>
      <c r="Y582" s="5">
        <v>1</v>
      </c>
      <c r="Z582" s="5">
        <v>3</v>
      </c>
    </row>
    <row r="583" spans="1:26" x14ac:dyDescent="0.35">
      <c r="A583">
        <v>582</v>
      </c>
      <c r="B583" s="10">
        <v>0.88235294117647056</v>
      </c>
      <c r="C583">
        <v>0</v>
      </c>
      <c r="D583">
        <v>1</v>
      </c>
      <c r="E583">
        <v>0</v>
      </c>
      <c r="F583">
        <v>0</v>
      </c>
      <c r="G583">
        <v>0</v>
      </c>
      <c r="H583">
        <v>2</v>
      </c>
      <c r="I583">
        <v>0</v>
      </c>
      <c r="J583" s="10">
        <v>0.40791152700978311</v>
      </c>
      <c r="K583">
        <v>0</v>
      </c>
      <c r="L583">
        <v>0</v>
      </c>
      <c r="M583">
        <v>1</v>
      </c>
      <c r="N583" s="10">
        <v>0.55285169300760606</v>
      </c>
      <c r="O583" s="11">
        <v>0.53934974259326862</v>
      </c>
      <c r="P583" s="10">
        <v>0.75</v>
      </c>
      <c r="Q583">
        <v>0</v>
      </c>
      <c r="R583">
        <v>0</v>
      </c>
      <c r="S583">
        <v>0</v>
      </c>
      <c r="T583">
        <v>0</v>
      </c>
      <c r="U583">
        <v>0</v>
      </c>
      <c r="V583" s="10">
        <v>0.21971830985915494</v>
      </c>
      <c r="W583" s="5">
        <v>2</v>
      </c>
      <c r="X583" s="5">
        <v>2</v>
      </c>
      <c r="Y583" s="5">
        <v>3</v>
      </c>
      <c r="Z583" s="5">
        <v>7</v>
      </c>
    </row>
    <row r="584" spans="1:26" x14ac:dyDescent="0.35">
      <c r="A584">
        <v>583</v>
      </c>
      <c r="B584" s="10">
        <v>0.80392156862745101</v>
      </c>
      <c r="C584">
        <v>1</v>
      </c>
      <c r="D584">
        <v>0</v>
      </c>
      <c r="E584">
        <v>0</v>
      </c>
      <c r="F584">
        <v>0</v>
      </c>
      <c r="G584">
        <v>1</v>
      </c>
      <c r="H584">
        <v>2</v>
      </c>
      <c r="I584">
        <v>0</v>
      </c>
      <c r="J584" s="10">
        <v>0.81624840493407058</v>
      </c>
      <c r="K584">
        <v>0</v>
      </c>
      <c r="L584">
        <v>0</v>
      </c>
      <c r="M584">
        <v>1</v>
      </c>
      <c r="N584" s="10">
        <v>0.22929649550979789</v>
      </c>
      <c r="O584" s="11">
        <v>0.39435401114710561</v>
      </c>
      <c r="P584" s="10">
        <v>0.375</v>
      </c>
      <c r="Q584">
        <v>0</v>
      </c>
      <c r="R584">
        <v>0</v>
      </c>
      <c r="S584">
        <v>0</v>
      </c>
      <c r="T584">
        <v>0</v>
      </c>
      <c r="U584">
        <v>0</v>
      </c>
      <c r="V584" s="10">
        <v>0.3211267605633803</v>
      </c>
      <c r="W584" s="5">
        <v>1</v>
      </c>
      <c r="X584" s="5">
        <v>2</v>
      </c>
      <c r="Y584" s="5">
        <v>1</v>
      </c>
      <c r="Z584" s="5">
        <v>4</v>
      </c>
    </row>
    <row r="585" spans="1:26" x14ac:dyDescent="0.35">
      <c r="A585">
        <v>584</v>
      </c>
      <c r="B585" s="10">
        <v>7.8431372549019607E-2</v>
      </c>
      <c r="C585">
        <v>1</v>
      </c>
      <c r="D585">
        <v>0</v>
      </c>
      <c r="E585">
        <v>0</v>
      </c>
      <c r="F585">
        <v>1</v>
      </c>
      <c r="G585">
        <v>0</v>
      </c>
      <c r="H585">
        <v>3</v>
      </c>
      <c r="I585">
        <v>0</v>
      </c>
      <c r="J585" s="10">
        <v>0.89791578051892806</v>
      </c>
      <c r="K585">
        <v>0</v>
      </c>
      <c r="L585">
        <v>0</v>
      </c>
      <c r="M585">
        <v>1</v>
      </c>
      <c r="N585" s="10">
        <v>0.49382745302466652</v>
      </c>
      <c r="O585" s="11">
        <v>0.48206776221424408</v>
      </c>
      <c r="P585" s="10">
        <v>0.75</v>
      </c>
      <c r="Q585">
        <v>2</v>
      </c>
      <c r="R585">
        <v>1</v>
      </c>
      <c r="S585">
        <v>1</v>
      </c>
      <c r="T585">
        <v>0</v>
      </c>
      <c r="U585">
        <v>1</v>
      </c>
      <c r="V585" s="10">
        <v>0.38028169014084506</v>
      </c>
      <c r="W585" s="5">
        <v>1</v>
      </c>
      <c r="X585" s="5">
        <v>2</v>
      </c>
      <c r="Y585" s="5">
        <v>3</v>
      </c>
      <c r="Z585" s="5">
        <v>6</v>
      </c>
    </row>
    <row r="586" spans="1:26" x14ac:dyDescent="0.35">
      <c r="A586">
        <v>585</v>
      </c>
      <c r="B586" s="10">
        <v>0.56862745098039214</v>
      </c>
      <c r="C586">
        <v>1</v>
      </c>
      <c r="D586">
        <v>0</v>
      </c>
      <c r="E586">
        <v>1</v>
      </c>
      <c r="F586">
        <v>0</v>
      </c>
      <c r="G586">
        <v>0</v>
      </c>
      <c r="H586">
        <v>1</v>
      </c>
      <c r="I586">
        <v>0</v>
      </c>
      <c r="J586" s="10">
        <v>0.83666524883028492</v>
      </c>
      <c r="K586">
        <v>0</v>
      </c>
      <c r="L586">
        <v>0</v>
      </c>
      <c r="M586">
        <v>1</v>
      </c>
      <c r="N586" s="10">
        <v>0.50338838471198721</v>
      </c>
      <c r="O586" s="11">
        <v>0.57323755675835186</v>
      </c>
      <c r="P586" s="10">
        <v>0.625</v>
      </c>
      <c r="Q586">
        <v>2</v>
      </c>
      <c r="R586">
        <v>0</v>
      </c>
      <c r="S586">
        <v>0</v>
      </c>
      <c r="T586">
        <v>1</v>
      </c>
      <c r="U586">
        <v>1</v>
      </c>
      <c r="V586" s="10">
        <v>0.19436619718309858</v>
      </c>
      <c r="W586" s="5">
        <v>2</v>
      </c>
      <c r="X586" s="5">
        <v>2</v>
      </c>
      <c r="Y586" s="5">
        <v>3</v>
      </c>
      <c r="Z586" s="5">
        <v>7</v>
      </c>
    </row>
    <row r="587" spans="1:26" x14ac:dyDescent="0.35">
      <c r="A587">
        <v>586</v>
      </c>
      <c r="B587" s="10">
        <v>0.52941176470588236</v>
      </c>
      <c r="C587">
        <v>1</v>
      </c>
      <c r="D587">
        <v>0</v>
      </c>
      <c r="E587">
        <v>0</v>
      </c>
      <c r="F587">
        <v>1</v>
      </c>
      <c r="G587">
        <v>0</v>
      </c>
      <c r="H587">
        <v>1</v>
      </c>
      <c r="I587">
        <v>1</v>
      </c>
      <c r="J587" s="10">
        <v>0.67333049766056996</v>
      </c>
      <c r="K587">
        <v>0</v>
      </c>
      <c r="L587">
        <v>0</v>
      </c>
      <c r="M587">
        <v>1</v>
      </c>
      <c r="N587" s="10">
        <v>0.49099886264009662</v>
      </c>
      <c r="O587" s="11">
        <v>0.67105173142316743</v>
      </c>
      <c r="P587" s="10">
        <v>0.5</v>
      </c>
      <c r="Q587">
        <v>1</v>
      </c>
      <c r="R587">
        <v>1</v>
      </c>
      <c r="S587">
        <v>0</v>
      </c>
      <c r="T587">
        <v>0</v>
      </c>
      <c r="U587">
        <v>1</v>
      </c>
      <c r="V587" s="10">
        <v>0.63098591549295779</v>
      </c>
      <c r="W587" s="5">
        <v>1</v>
      </c>
      <c r="X587" s="5">
        <v>2</v>
      </c>
      <c r="Y587" s="5">
        <v>3</v>
      </c>
      <c r="Z587" s="5">
        <v>6</v>
      </c>
    </row>
    <row r="588" spans="1:26" x14ac:dyDescent="0.35">
      <c r="A588">
        <v>587</v>
      </c>
      <c r="B588" s="10">
        <v>0.33333333333333331</v>
      </c>
      <c r="C588">
        <v>0</v>
      </c>
      <c r="D588">
        <v>1</v>
      </c>
      <c r="E588">
        <v>0</v>
      </c>
      <c r="F588">
        <v>0</v>
      </c>
      <c r="G588">
        <v>0</v>
      </c>
      <c r="H588">
        <v>1</v>
      </c>
      <c r="I588">
        <v>0</v>
      </c>
      <c r="J588" s="10">
        <v>0.2037430880476393</v>
      </c>
      <c r="K588">
        <v>0</v>
      </c>
      <c r="L588">
        <v>1</v>
      </c>
      <c r="M588">
        <v>0</v>
      </c>
      <c r="N588" s="10">
        <v>0.18176729142478024</v>
      </c>
      <c r="O588" s="11">
        <v>0.41817742811726594</v>
      </c>
      <c r="P588" s="10">
        <v>0.25</v>
      </c>
      <c r="Q588">
        <v>1</v>
      </c>
      <c r="R588">
        <v>0</v>
      </c>
      <c r="S588">
        <v>0</v>
      </c>
      <c r="T588">
        <v>1</v>
      </c>
      <c r="U588">
        <v>0</v>
      </c>
      <c r="V588" s="10">
        <v>0.12112676056338029</v>
      </c>
      <c r="W588" s="5">
        <v>2</v>
      </c>
      <c r="X588" s="5">
        <v>2</v>
      </c>
      <c r="Y588" s="5">
        <v>1</v>
      </c>
      <c r="Z588" s="5">
        <v>5</v>
      </c>
    </row>
    <row r="589" spans="1:26" x14ac:dyDescent="0.35">
      <c r="A589">
        <v>588</v>
      </c>
      <c r="B589" s="10">
        <v>0.68627450980392157</v>
      </c>
      <c r="C589">
        <v>0</v>
      </c>
      <c r="D589">
        <v>0</v>
      </c>
      <c r="E589">
        <v>1</v>
      </c>
      <c r="F589">
        <v>0</v>
      </c>
      <c r="G589">
        <v>0</v>
      </c>
      <c r="H589">
        <v>3</v>
      </c>
      <c r="I589">
        <v>1</v>
      </c>
      <c r="J589" s="10">
        <v>0.10165886856656743</v>
      </c>
      <c r="K589">
        <v>1</v>
      </c>
      <c r="L589">
        <v>0</v>
      </c>
      <c r="M589">
        <v>0</v>
      </c>
      <c r="N589" s="10">
        <v>0.50846799990521996</v>
      </c>
      <c r="O589" s="11">
        <v>0.434241634640536</v>
      </c>
      <c r="P589" s="10">
        <v>0.875</v>
      </c>
      <c r="Q589">
        <v>2</v>
      </c>
      <c r="R589">
        <v>1</v>
      </c>
      <c r="S589">
        <v>1</v>
      </c>
      <c r="T589">
        <v>1</v>
      </c>
      <c r="U589">
        <v>0</v>
      </c>
      <c r="V589" s="10">
        <v>4.788732394366197E-2</v>
      </c>
      <c r="W589" s="5">
        <v>3</v>
      </c>
      <c r="X589" s="5">
        <v>3</v>
      </c>
      <c r="Y589" s="5">
        <v>3</v>
      </c>
      <c r="Z589" s="5">
        <v>9</v>
      </c>
    </row>
    <row r="590" spans="1:26" x14ac:dyDescent="0.35">
      <c r="A590">
        <v>589</v>
      </c>
      <c r="B590" s="10">
        <v>3.9215686274509803E-2</v>
      </c>
      <c r="C590">
        <v>0</v>
      </c>
      <c r="D590">
        <v>0</v>
      </c>
      <c r="E590">
        <v>0</v>
      </c>
      <c r="F590">
        <v>0</v>
      </c>
      <c r="G590">
        <v>1</v>
      </c>
      <c r="H590">
        <v>2</v>
      </c>
      <c r="I590">
        <v>1</v>
      </c>
      <c r="J590" s="10">
        <v>0.22415993194385367</v>
      </c>
      <c r="K590">
        <v>1</v>
      </c>
      <c r="L590">
        <v>0</v>
      </c>
      <c r="M590">
        <v>0</v>
      </c>
      <c r="N590" s="10">
        <v>0.695193469658555</v>
      </c>
      <c r="O590" s="11">
        <v>0.52693660279325993</v>
      </c>
      <c r="P590" s="10">
        <v>1</v>
      </c>
      <c r="Q590">
        <v>2</v>
      </c>
      <c r="R590">
        <v>1</v>
      </c>
      <c r="S590">
        <v>1</v>
      </c>
      <c r="T590">
        <v>1</v>
      </c>
      <c r="U590">
        <v>0</v>
      </c>
      <c r="V590" s="10">
        <v>5.6338028169014088E-3</v>
      </c>
      <c r="W590" s="5">
        <v>3</v>
      </c>
      <c r="X590" s="5">
        <v>3</v>
      </c>
      <c r="Y590" s="5">
        <v>3</v>
      </c>
      <c r="Z590" s="5">
        <v>9</v>
      </c>
    </row>
    <row r="591" spans="1:26" x14ac:dyDescent="0.35">
      <c r="A591">
        <v>590</v>
      </c>
      <c r="B591" s="10">
        <v>0.39215686274509803</v>
      </c>
      <c r="C591">
        <v>1</v>
      </c>
      <c r="D591">
        <v>0</v>
      </c>
      <c r="E591">
        <v>0</v>
      </c>
      <c r="F591">
        <v>0</v>
      </c>
      <c r="G591">
        <v>1</v>
      </c>
      <c r="H591">
        <v>3</v>
      </c>
      <c r="I591">
        <v>0</v>
      </c>
      <c r="J591" s="10">
        <v>0.42832837090599751</v>
      </c>
      <c r="K591">
        <v>1</v>
      </c>
      <c r="L591">
        <v>0</v>
      </c>
      <c r="M591">
        <v>0</v>
      </c>
      <c r="N591" s="10">
        <v>0.40689939103855177</v>
      </c>
      <c r="O591" s="11">
        <v>0.30932659051937111</v>
      </c>
      <c r="P591" s="10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 s="10">
        <v>8.4507042253521125E-2</v>
      </c>
      <c r="W591" s="5">
        <v>2</v>
      </c>
      <c r="X591" s="5">
        <v>3</v>
      </c>
      <c r="Y591" s="5">
        <v>2</v>
      </c>
      <c r="Z591" s="5">
        <v>7</v>
      </c>
    </row>
    <row r="592" spans="1:26" x14ac:dyDescent="0.35">
      <c r="A592">
        <v>591</v>
      </c>
      <c r="B592" s="10">
        <v>0.88235294117647056</v>
      </c>
      <c r="C592">
        <v>0</v>
      </c>
      <c r="D592">
        <v>0</v>
      </c>
      <c r="E592">
        <v>0</v>
      </c>
      <c r="F592">
        <v>1</v>
      </c>
      <c r="G592">
        <v>0</v>
      </c>
      <c r="H592">
        <v>2</v>
      </c>
      <c r="I592">
        <v>0</v>
      </c>
      <c r="J592" s="10">
        <v>0.40791152700978311</v>
      </c>
      <c r="K592">
        <v>0</v>
      </c>
      <c r="L592">
        <v>0</v>
      </c>
      <c r="M592">
        <v>1</v>
      </c>
      <c r="N592" s="10">
        <v>6.0813212330876942E-2</v>
      </c>
      <c r="O592" s="11">
        <v>0.43284573130244069</v>
      </c>
      <c r="P592" s="10">
        <v>0</v>
      </c>
      <c r="Q592">
        <v>2</v>
      </c>
      <c r="R592">
        <v>1</v>
      </c>
      <c r="S592">
        <v>1</v>
      </c>
      <c r="T592">
        <v>0</v>
      </c>
      <c r="U592">
        <v>1</v>
      </c>
      <c r="V592" s="10">
        <v>0.57746478873239437</v>
      </c>
      <c r="W592" s="5">
        <v>1</v>
      </c>
      <c r="X592" s="5">
        <v>1</v>
      </c>
      <c r="Y592" s="5">
        <v>1</v>
      </c>
      <c r="Z592" s="5">
        <v>3</v>
      </c>
    </row>
    <row r="593" spans="1:26" x14ac:dyDescent="0.35">
      <c r="A593">
        <v>592</v>
      </c>
      <c r="B593" s="10">
        <v>0.29411764705882354</v>
      </c>
      <c r="C593">
        <v>1</v>
      </c>
      <c r="D593">
        <v>0</v>
      </c>
      <c r="E593">
        <v>1</v>
      </c>
      <c r="F593">
        <v>0</v>
      </c>
      <c r="G593">
        <v>0</v>
      </c>
      <c r="H593">
        <v>1</v>
      </c>
      <c r="I593">
        <v>0</v>
      </c>
      <c r="J593" s="10">
        <v>0.89791578051892806</v>
      </c>
      <c r="K593">
        <v>1</v>
      </c>
      <c r="L593">
        <v>0</v>
      </c>
      <c r="M593">
        <v>0</v>
      </c>
      <c r="N593" s="10">
        <v>0.77966613747837821</v>
      </c>
      <c r="O593" s="11">
        <v>0.66453550373246939</v>
      </c>
      <c r="P593" s="10">
        <v>0.875</v>
      </c>
      <c r="Q593">
        <v>0</v>
      </c>
      <c r="R593">
        <v>0</v>
      </c>
      <c r="S593">
        <v>0</v>
      </c>
      <c r="T593">
        <v>0</v>
      </c>
      <c r="U593">
        <v>0</v>
      </c>
      <c r="V593" s="10">
        <v>9.5774647887323941E-2</v>
      </c>
      <c r="W593" s="5">
        <v>2</v>
      </c>
      <c r="X593" s="5">
        <v>3</v>
      </c>
      <c r="Y593" s="5">
        <v>3</v>
      </c>
      <c r="Z593" s="5">
        <v>8</v>
      </c>
    </row>
    <row r="594" spans="1:26" x14ac:dyDescent="0.35">
      <c r="A594">
        <v>593</v>
      </c>
      <c r="B594" s="10">
        <v>0.70588235294117652</v>
      </c>
      <c r="C594">
        <v>0</v>
      </c>
      <c r="D594">
        <v>1</v>
      </c>
      <c r="E594">
        <v>0</v>
      </c>
      <c r="F594">
        <v>0</v>
      </c>
      <c r="G594">
        <v>0</v>
      </c>
      <c r="H594">
        <v>2</v>
      </c>
      <c r="I594">
        <v>0</v>
      </c>
      <c r="J594" s="10">
        <v>0.18332624415142493</v>
      </c>
      <c r="K594">
        <v>0</v>
      </c>
      <c r="L594">
        <v>0</v>
      </c>
      <c r="M594">
        <v>1</v>
      </c>
      <c r="N594" s="10">
        <v>0.87369973698552217</v>
      </c>
      <c r="O594" s="11">
        <v>0.66167662662561944</v>
      </c>
      <c r="P594" s="10">
        <v>1</v>
      </c>
      <c r="Q594">
        <v>1</v>
      </c>
      <c r="R594">
        <v>0</v>
      </c>
      <c r="S594">
        <v>0</v>
      </c>
      <c r="T594">
        <v>0</v>
      </c>
      <c r="U594">
        <v>1</v>
      </c>
      <c r="V594" s="10">
        <v>1.4084507042253521E-2</v>
      </c>
      <c r="W594" s="5">
        <v>3</v>
      </c>
      <c r="X594" s="5">
        <v>3</v>
      </c>
      <c r="Y594" s="5">
        <v>3</v>
      </c>
      <c r="Z594" s="5">
        <v>9</v>
      </c>
    </row>
    <row r="595" spans="1:26" x14ac:dyDescent="0.35">
      <c r="A595">
        <v>594</v>
      </c>
      <c r="B595" s="10">
        <v>0.80392156862745101</v>
      </c>
      <c r="C595">
        <v>1</v>
      </c>
      <c r="D595">
        <v>0</v>
      </c>
      <c r="E595">
        <v>0</v>
      </c>
      <c r="F595">
        <v>1</v>
      </c>
      <c r="G595">
        <v>0</v>
      </c>
      <c r="H595">
        <v>1</v>
      </c>
      <c r="I595">
        <v>0</v>
      </c>
      <c r="J595" s="10">
        <v>0.61207996597192693</v>
      </c>
      <c r="K595">
        <v>1</v>
      </c>
      <c r="L595">
        <v>0</v>
      </c>
      <c r="M595">
        <v>0</v>
      </c>
      <c r="N595" s="10">
        <v>0.75080266805677309</v>
      </c>
      <c r="O595" s="11">
        <v>0.56891151398083128</v>
      </c>
      <c r="P595" s="10">
        <v>1</v>
      </c>
      <c r="Q595">
        <v>2</v>
      </c>
      <c r="R595">
        <v>1</v>
      </c>
      <c r="S595">
        <v>0</v>
      </c>
      <c r="T595">
        <v>1</v>
      </c>
      <c r="U595">
        <v>1</v>
      </c>
      <c r="V595" s="10">
        <v>2.8169014084507044E-3</v>
      </c>
      <c r="W595" s="5">
        <v>3</v>
      </c>
      <c r="X595" s="5">
        <v>3</v>
      </c>
      <c r="Y595" s="5">
        <v>3</v>
      </c>
      <c r="Z595" s="5">
        <v>9</v>
      </c>
    </row>
    <row r="596" spans="1:26" x14ac:dyDescent="0.35">
      <c r="A596">
        <v>595</v>
      </c>
      <c r="B596" s="10">
        <v>7.8431372549019607E-2</v>
      </c>
      <c r="C596">
        <v>0</v>
      </c>
      <c r="D596">
        <v>0</v>
      </c>
      <c r="E596">
        <v>0</v>
      </c>
      <c r="F596">
        <v>0</v>
      </c>
      <c r="G596">
        <v>1</v>
      </c>
      <c r="H596">
        <v>1</v>
      </c>
      <c r="I596">
        <v>0</v>
      </c>
      <c r="J596" s="10">
        <v>0.97958315610378566</v>
      </c>
      <c r="K596">
        <v>0</v>
      </c>
      <c r="L596">
        <v>0</v>
      </c>
      <c r="M596">
        <v>1</v>
      </c>
      <c r="N596" s="10">
        <v>0.66954955808828753</v>
      </c>
      <c r="O596" s="11">
        <v>0.5710275860681302</v>
      </c>
      <c r="P596" s="10">
        <v>0.875</v>
      </c>
      <c r="Q596">
        <v>1</v>
      </c>
      <c r="R596">
        <v>0</v>
      </c>
      <c r="S596">
        <v>0</v>
      </c>
      <c r="T596">
        <v>0</v>
      </c>
      <c r="U596">
        <v>1</v>
      </c>
      <c r="V596" s="10">
        <v>0.30985915492957744</v>
      </c>
      <c r="W596" s="5">
        <v>1</v>
      </c>
      <c r="X596" s="5">
        <v>3</v>
      </c>
      <c r="Y596" s="5">
        <v>3</v>
      </c>
      <c r="Z596" s="5">
        <v>7</v>
      </c>
    </row>
    <row r="597" spans="1:26" x14ac:dyDescent="0.35">
      <c r="A597">
        <v>596</v>
      </c>
      <c r="B597" s="10">
        <v>0.96078431372549022</v>
      </c>
      <c r="C597">
        <v>0</v>
      </c>
      <c r="D597">
        <v>0</v>
      </c>
      <c r="E597">
        <v>1</v>
      </c>
      <c r="F597">
        <v>0</v>
      </c>
      <c r="G597">
        <v>0</v>
      </c>
      <c r="H597">
        <v>1</v>
      </c>
      <c r="I597">
        <v>0</v>
      </c>
      <c r="J597" s="10">
        <v>8.1242024670353047E-2</v>
      </c>
      <c r="K597">
        <v>1</v>
      </c>
      <c r="L597">
        <v>0</v>
      </c>
      <c r="M597">
        <v>0</v>
      </c>
      <c r="N597" s="10">
        <v>0.39599080634078143</v>
      </c>
      <c r="O597" s="11">
        <v>0.54196663916779009</v>
      </c>
      <c r="P597" s="10">
        <v>0.5</v>
      </c>
      <c r="Q597">
        <v>0</v>
      </c>
      <c r="R597">
        <v>0</v>
      </c>
      <c r="S597">
        <v>0</v>
      </c>
      <c r="T597">
        <v>0</v>
      </c>
      <c r="U597">
        <v>0</v>
      </c>
      <c r="V597" s="10">
        <v>0.28450704225352114</v>
      </c>
      <c r="W597" s="5">
        <v>1</v>
      </c>
      <c r="X597" s="5">
        <v>2</v>
      </c>
      <c r="Y597" s="5">
        <v>2</v>
      </c>
      <c r="Z597" s="5">
        <v>5</v>
      </c>
    </row>
    <row r="598" spans="1:26" x14ac:dyDescent="0.35">
      <c r="A598">
        <v>597</v>
      </c>
      <c r="B598" s="10">
        <v>0.98039215686274506</v>
      </c>
      <c r="C598">
        <v>1</v>
      </c>
      <c r="D598">
        <v>0</v>
      </c>
      <c r="E598">
        <v>1</v>
      </c>
      <c r="F598">
        <v>0</v>
      </c>
      <c r="G598">
        <v>0</v>
      </c>
      <c r="H598">
        <v>2</v>
      </c>
      <c r="I598">
        <v>0</v>
      </c>
      <c r="J598" s="10">
        <v>0.18332624415142493</v>
      </c>
      <c r="K598">
        <v>0</v>
      </c>
      <c r="L598">
        <v>1</v>
      </c>
      <c r="M598">
        <v>0</v>
      </c>
      <c r="N598" s="10">
        <v>0.50858351302040128</v>
      </c>
      <c r="O598" s="11">
        <v>0.49638825730900016</v>
      </c>
      <c r="P598" s="10">
        <v>0.75</v>
      </c>
      <c r="Q598">
        <v>1</v>
      </c>
      <c r="R598">
        <v>1</v>
      </c>
      <c r="S598">
        <v>0</v>
      </c>
      <c r="T598">
        <v>0</v>
      </c>
      <c r="U598">
        <v>1</v>
      </c>
      <c r="V598" s="10">
        <v>0.21126760563380281</v>
      </c>
      <c r="W598" s="5">
        <v>2</v>
      </c>
      <c r="X598" s="5">
        <v>2</v>
      </c>
      <c r="Y598" s="5">
        <v>3</v>
      </c>
      <c r="Z598" s="5">
        <v>7</v>
      </c>
    </row>
    <row r="599" spans="1:26" x14ac:dyDescent="0.35">
      <c r="A599">
        <v>598</v>
      </c>
      <c r="B599" s="10">
        <v>0.25490196078431371</v>
      </c>
      <c r="C599">
        <v>1</v>
      </c>
      <c r="D599">
        <v>0</v>
      </c>
      <c r="E599">
        <v>0</v>
      </c>
      <c r="F599">
        <v>0</v>
      </c>
      <c r="G599">
        <v>1</v>
      </c>
      <c r="H599">
        <v>3</v>
      </c>
      <c r="I599">
        <v>0</v>
      </c>
      <c r="J599" s="10">
        <v>0.81624840493407058</v>
      </c>
      <c r="K599">
        <v>0</v>
      </c>
      <c r="L599">
        <v>0</v>
      </c>
      <c r="M599">
        <v>1</v>
      </c>
      <c r="N599" s="10">
        <v>0.56166030850887383</v>
      </c>
      <c r="O599" s="11">
        <v>0.54789834805529292</v>
      </c>
      <c r="P599" s="10">
        <v>0.75</v>
      </c>
      <c r="Q599">
        <v>0</v>
      </c>
      <c r="R599">
        <v>0</v>
      </c>
      <c r="S599">
        <v>0</v>
      </c>
      <c r="T599">
        <v>0</v>
      </c>
      <c r="U599">
        <v>0</v>
      </c>
      <c r="V599" s="10">
        <v>1.4084507042253521E-2</v>
      </c>
      <c r="W599" s="5">
        <v>3</v>
      </c>
      <c r="X599" s="5">
        <v>2</v>
      </c>
      <c r="Y599" s="5">
        <v>3</v>
      </c>
      <c r="Z599" s="5">
        <v>8</v>
      </c>
    </row>
    <row r="600" spans="1:26" x14ac:dyDescent="0.35">
      <c r="A600">
        <v>599</v>
      </c>
      <c r="B600" s="10">
        <v>0.58823529411764708</v>
      </c>
      <c r="C600">
        <v>1</v>
      </c>
      <c r="D600">
        <v>1</v>
      </c>
      <c r="E600">
        <v>0</v>
      </c>
      <c r="F600">
        <v>0</v>
      </c>
      <c r="G600">
        <v>0</v>
      </c>
      <c r="H600">
        <v>1</v>
      </c>
      <c r="I600">
        <v>0</v>
      </c>
      <c r="J600" s="10">
        <v>6.0825180774138662E-2</v>
      </c>
      <c r="K600">
        <v>0</v>
      </c>
      <c r="L600">
        <v>1</v>
      </c>
      <c r="M600">
        <v>0</v>
      </c>
      <c r="N600" s="10">
        <v>0.69237376489822988</v>
      </c>
      <c r="O600" s="11">
        <v>0.52480823446034019</v>
      </c>
      <c r="P600" s="10">
        <v>1</v>
      </c>
      <c r="Q600">
        <v>2</v>
      </c>
      <c r="R600">
        <v>0</v>
      </c>
      <c r="S600">
        <v>1</v>
      </c>
      <c r="T600">
        <v>0</v>
      </c>
      <c r="U600">
        <v>1</v>
      </c>
      <c r="V600" s="10">
        <v>0.27605633802816903</v>
      </c>
      <c r="W600" s="5">
        <v>1</v>
      </c>
      <c r="X600" s="5">
        <v>3</v>
      </c>
      <c r="Y600" s="5">
        <v>3</v>
      </c>
      <c r="Z600" s="5">
        <v>7</v>
      </c>
    </row>
    <row r="601" spans="1:26" x14ac:dyDescent="0.35">
      <c r="A601">
        <v>600</v>
      </c>
      <c r="B601" s="10">
        <v>0.88235294117647056</v>
      </c>
      <c r="C601">
        <v>0</v>
      </c>
      <c r="D601">
        <v>1</v>
      </c>
      <c r="E601">
        <v>0</v>
      </c>
      <c r="F601">
        <v>0</v>
      </c>
      <c r="G601">
        <v>0</v>
      </c>
      <c r="H601">
        <v>2</v>
      </c>
      <c r="I601">
        <v>0</v>
      </c>
      <c r="J601" s="10">
        <v>0.7754147171416419</v>
      </c>
      <c r="K601">
        <v>0</v>
      </c>
      <c r="L601">
        <v>0</v>
      </c>
      <c r="M601">
        <v>1</v>
      </c>
      <c r="N601" s="10">
        <v>0.25329952846954007</v>
      </c>
      <c r="O601" s="11">
        <v>0.43511941890178873</v>
      </c>
      <c r="P601" s="10">
        <v>0.375</v>
      </c>
      <c r="Q601">
        <v>1</v>
      </c>
      <c r="R601">
        <v>1</v>
      </c>
      <c r="S601">
        <v>0</v>
      </c>
      <c r="T601">
        <v>1</v>
      </c>
      <c r="U601">
        <v>0</v>
      </c>
      <c r="V601" s="10">
        <v>0.12394366197183099</v>
      </c>
      <c r="W601" s="5">
        <v>2</v>
      </c>
      <c r="X601" s="5">
        <v>2</v>
      </c>
      <c r="Y601" s="5">
        <v>2</v>
      </c>
      <c r="Z601" s="5">
        <v>6</v>
      </c>
    </row>
    <row r="602" spans="1:26" x14ac:dyDescent="0.35">
      <c r="A602">
        <v>601</v>
      </c>
      <c r="B602" s="10">
        <v>0.45098039215686275</v>
      </c>
      <c r="C602">
        <v>0</v>
      </c>
      <c r="D602">
        <v>0</v>
      </c>
      <c r="E602">
        <v>0</v>
      </c>
      <c r="F602">
        <v>0</v>
      </c>
      <c r="G602">
        <v>1</v>
      </c>
      <c r="H602">
        <v>1</v>
      </c>
      <c r="I602">
        <v>0</v>
      </c>
      <c r="J602" s="10">
        <v>0.509995746490855</v>
      </c>
      <c r="K602">
        <v>0</v>
      </c>
      <c r="L602">
        <v>1</v>
      </c>
      <c r="M602">
        <v>0</v>
      </c>
      <c r="N602" s="10">
        <v>0.72980297609174682</v>
      </c>
      <c r="O602" s="11">
        <v>0.62219310247691084</v>
      </c>
      <c r="P602" s="10">
        <v>0.875</v>
      </c>
      <c r="Q602">
        <v>2</v>
      </c>
      <c r="R602">
        <v>1</v>
      </c>
      <c r="S602">
        <v>1</v>
      </c>
      <c r="T602">
        <v>0</v>
      </c>
      <c r="U602">
        <v>1</v>
      </c>
      <c r="V602" s="10">
        <v>0.13521126760563379</v>
      </c>
      <c r="W602" s="5">
        <v>2</v>
      </c>
      <c r="X602" s="5">
        <v>3</v>
      </c>
      <c r="Y602" s="5">
        <v>3</v>
      </c>
      <c r="Z602" s="5">
        <v>8</v>
      </c>
    </row>
    <row r="603" spans="1:26" x14ac:dyDescent="0.35">
      <c r="A603">
        <v>602</v>
      </c>
      <c r="B603" s="10">
        <v>0.66666666666666663</v>
      </c>
      <c r="C603">
        <v>1</v>
      </c>
      <c r="D603">
        <v>0</v>
      </c>
      <c r="E603">
        <v>0</v>
      </c>
      <c r="F603">
        <v>0</v>
      </c>
      <c r="G603">
        <v>1</v>
      </c>
      <c r="H603">
        <v>2</v>
      </c>
      <c r="I603">
        <v>1</v>
      </c>
      <c r="J603" s="10">
        <v>0.75499787324542744</v>
      </c>
      <c r="K603">
        <v>1</v>
      </c>
      <c r="L603">
        <v>0</v>
      </c>
      <c r="M603">
        <v>0</v>
      </c>
      <c r="N603" s="10">
        <v>0.34032829419709498</v>
      </c>
      <c r="O603" s="11">
        <v>0.25907742386947202</v>
      </c>
      <c r="P603" s="10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 s="10">
        <v>0.19718309859154928</v>
      </c>
      <c r="W603" s="5">
        <v>2</v>
      </c>
      <c r="X603" s="5">
        <v>3</v>
      </c>
      <c r="Y603" s="5">
        <v>2</v>
      </c>
      <c r="Z603" s="5">
        <v>7</v>
      </c>
    </row>
    <row r="604" spans="1:26" x14ac:dyDescent="0.35">
      <c r="A604">
        <v>603</v>
      </c>
      <c r="B604" s="10">
        <v>0.68627450980392157</v>
      </c>
      <c r="C604">
        <v>1</v>
      </c>
      <c r="D604">
        <v>1</v>
      </c>
      <c r="E604">
        <v>0</v>
      </c>
      <c r="F604">
        <v>0</v>
      </c>
      <c r="G604">
        <v>0</v>
      </c>
      <c r="H604">
        <v>3</v>
      </c>
      <c r="I604">
        <v>0</v>
      </c>
      <c r="J604" s="10">
        <v>0.61207996597192693</v>
      </c>
      <c r="K604">
        <v>1</v>
      </c>
      <c r="L604">
        <v>0</v>
      </c>
      <c r="M604">
        <v>0</v>
      </c>
      <c r="N604" s="10">
        <v>0.43438855057697323</v>
      </c>
      <c r="O604" s="11">
        <v>0.59413670295176968</v>
      </c>
      <c r="P604" s="10">
        <v>0.5</v>
      </c>
      <c r="Q604">
        <v>0</v>
      </c>
      <c r="R604">
        <v>0</v>
      </c>
      <c r="S604">
        <v>0</v>
      </c>
      <c r="T604">
        <v>0</v>
      </c>
      <c r="U604">
        <v>0</v>
      </c>
      <c r="V604" s="10">
        <v>5.3521126760563378E-2</v>
      </c>
      <c r="W604" s="5">
        <v>3</v>
      </c>
      <c r="X604" s="5">
        <v>2</v>
      </c>
      <c r="Y604" s="5">
        <v>2</v>
      </c>
      <c r="Z604" s="5">
        <v>7</v>
      </c>
    </row>
    <row r="605" spans="1:26" x14ac:dyDescent="0.35">
      <c r="A605">
        <v>604</v>
      </c>
      <c r="B605" s="10">
        <v>0.17647058823529413</v>
      </c>
      <c r="C605">
        <v>1</v>
      </c>
      <c r="D605">
        <v>0</v>
      </c>
      <c r="E605">
        <v>0</v>
      </c>
      <c r="F605">
        <v>1</v>
      </c>
      <c r="G605">
        <v>0</v>
      </c>
      <c r="H605">
        <v>1</v>
      </c>
      <c r="I605">
        <v>0</v>
      </c>
      <c r="J605" s="10">
        <v>0.63249680986814127</v>
      </c>
      <c r="K605">
        <v>0</v>
      </c>
      <c r="L605">
        <v>1</v>
      </c>
      <c r="M605">
        <v>0</v>
      </c>
      <c r="N605" s="10">
        <v>0.1268067435964268</v>
      </c>
      <c r="O605" s="11">
        <v>0.29372153698598896</v>
      </c>
      <c r="P605" s="10">
        <v>0.25</v>
      </c>
      <c r="Q605">
        <v>2</v>
      </c>
      <c r="R605">
        <v>1</v>
      </c>
      <c r="S605">
        <v>1</v>
      </c>
      <c r="T605">
        <v>0</v>
      </c>
      <c r="U605">
        <v>1</v>
      </c>
      <c r="V605" s="10">
        <v>0.19154929577464788</v>
      </c>
      <c r="W605" s="5">
        <v>2</v>
      </c>
      <c r="X605" s="5">
        <v>2</v>
      </c>
      <c r="Y605" s="5">
        <v>1</v>
      </c>
      <c r="Z605" s="5">
        <v>5</v>
      </c>
    </row>
    <row r="606" spans="1:26" x14ac:dyDescent="0.35">
      <c r="A606">
        <v>605</v>
      </c>
      <c r="B606" s="10">
        <v>0.50980392156862742</v>
      </c>
      <c r="C606">
        <v>1</v>
      </c>
      <c r="D606">
        <v>0</v>
      </c>
      <c r="E606">
        <v>0</v>
      </c>
      <c r="F606">
        <v>1</v>
      </c>
      <c r="G606">
        <v>0</v>
      </c>
      <c r="H606">
        <v>1</v>
      </c>
      <c r="I606">
        <v>1</v>
      </c>
      <c r="J606" s="10">
        <v>0.34666099532113998</v>
      </c>
      <c r="K606">
        <v>1</v>
      </c>
      <c r="L606">
        <v>0</v>
      </c>
      <c r="M606">
        <v>0</v>
      </c>
      <c r="N606" s="10">
        <v>0.34896215908821648</v>
      </c>
      <c r="O606" s="11">
        <v>0.59758747660918732</v>
      </c>
      <c r="P606" s="10">
        <v>0.375</v>
      </c>
      <c r="Q606">
        <v>0</v>
      </c>
      <c r="R606">
        <v>0</v>
      </c>
      <c r="S606">
        <v>0</v>
      </c>
      <c r="T606">
        <v>0</v>
      </c>
      <c r="U606">
        <v>0</v>
      </c>
      <c r="V606" s="10">
        <v>1.9718309859154931E-2</v>
      </c>
      <c r="W606" s="5">
        <v>3</v>
      </c>
      <c r="X606" s="5">
        <v>2</v>
      </c>
      <c r="Y606" s="5">
        <v>2</v>
      </c>
      <c r="Z606" s="5">
        <v>7</v>
      </c>
    </row>
    <row r="607" spans="1:26" x14ac:dyDescent="0.35">
      <c r="A607">
        <v>606</v>
      </c>
      <c r="B607" s="10">
        <v>0.50980392156862742</v>
      </c>
      <c r="C607">
        <v>0</v>
      </c>
      <c r="D607">
        <v>0</v>
      </c>
      <c r="E607">
        <v>1</v>
      </c>
      <c r="F607">
        <v>0</v>
      </c>
      <c r="G607">
        <v>0</v>
      </c>
      <c r="H607">
        <v>1</v>
      </c>
      <c r="I607">
        <v>0</v>
      </c>
      <c r="J607" s="10">
        <v>0.2037430880476393</v>
      </c>
      <c r="K607">
        <v>0</v>
      </c>
      <c r="L607">
        <v>1</v>
      </c>
      <c r="M607">
        <v>0</v>
      </c>
      <c r="N607" s="10">
        <v>7.7657394024121501E-2</v>
      </c>
      <c r="O607" s="11">
        <v>0.54727459305016202</v>
      </c>
      <c r="P607" s="10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 s="10">
        <v>0.46478873239436619</v>
      </c>
      <c r="W607" s="5">
        <v>1</v>
      </c>
      <c r="X607" s="5">
        <v>1</v>
      </c>
      <c r="Y607" s="5">
        <v>1</v>
      </c>
      <c r="Z607" s="5">
        <v>3</v>
      </c>
    </row>
    <row r="608" spans="1:26" x14ac:dyDescent="0.35">
      <c r="A608">
        <v>607</v>
      </c>
      <c r="B608" s="10">
        <v>0.43137254901960786</v>
      </c>
      <c r="C608">
        <v>1</v>
      </c>
      <c r="D608">
        <v>0</v>
      </c>
      <c r="E608">
        <v>1</v>
      </c>
      <c r="F608">
        <v>0</v>
      </c>
      <c r="G608">
        <v>0</v>
      </c>
      <c r="H608">
        <v>3</v>
      </c>
      <c r="I608">
        <v>1</v>
      </c>
      <c r="J608" s="10">
        <v>0.16290940025521056</v>
      </c>
      <c r="K608">
        <v>1</v>
      </c>
      <c r="L608">
        <v>0</v>
      </c>
      <c r="M608">
        <v>0</v>
      </c>
      <c r="N608" s="10">
        <v>0.43827156837191672</v>
      </c>
      <c r="O608" s="11">
        <v>0.59941246302742512</v>
      </c>
      <c r="P608" s="10">
        <v>0.5</v>
      </c>
      <c r="Q608">
        <v>1</v>
      </c>
      <c r="R608">
        <v>1</v>
      </c>
      <c r="S608">
        <v>1</v>
      </c>
      <c r="T608">
        <v>0</v>
      </c>
      <c r="U608">
        <v>0</v>
      </c>
      <c r="V608" s="10">
        <v>3.3802816901408447E-2</v>
      </c>
      <c r="W608" s="5">
        <v>3</v>
      </c>
      <c r="X608" s="5">
        <v>2</v>
      </c>
      <c r="Y608" s="5">
        <v>2</v>
      </c>
      <c r="Z608" s="5">
        <v>7</v>
      </c>
    </row>
    <row r="609" spans="1:26" x14ac:dyDescent="0.35">
      <c r="A609">
        <v>608</v>
      </c>
      <c r="B609" s="10">
        <v>0.23529411764705882</v>
      </c>
      <c r="C609">
        <v>1</v>
      </c>
      <c r="D609">
        <v>0</v>
      </c>
      <c r="E609">
        <v>0</v>
      </c>
      <c r="F609">
        <v>1</v>
      </c>
      <c r="G609">
        <v>0</v>
      </c>
      <c r="H609">
        <v>2</v>
      </c>
      <c r="I609">
        <v>0</v>
      </c>
      <c r="J609" s="10">
        <v>4.0408336877924292E-2</v>
      </c>
      <c r="K609">
        <v>1</v>
      </c>
      <c r="L609">
        <v>0</v>
      </c>
      <c r="M609">
        <v>0</v>
      </c>
      <c r="N609" s="10">
        <v>0.72689145321422644</v>
      </c>
      <c r="O609" s="11">
        <v>0.55086286109043103</v>
      </c>
      <c r="P609" s="10">
        <v>1</v>
      </c>
      <c r="Q609">
        <v>1</v>
      </c>
      <c r="R609">
        <v>1</v>
      </c>
      <c r="S609">
        <v>1</v>
      </c>
      <c r="T609">
        <v>0</v>
      </c>
      <c r="U609">
        <v>0</v>
      </c>
      <c r="V609" s="10">
        <v>5.6338028169014088E-3</v>
      </c>
      <c r="W609" s="5">
        <v>3</v>
      </c>
      <c r="X609" s="5">
        <v>3</v>
      </c>
      <c r="Y609" s="5">
        <v>3</v>
      </c>
      <c r="Z609" s="5">
        <v>9</v>
      </c>
    </row>
    <row r="610" spans="1:26" x14ac:dyDescent="0.35">
      <c r="A610">
        <v>609</v>
      </c>
      <c r="B610" s="10">
        <v>0.29411764705882354</v>
      </c>
      <c r="C610">
        <v>0</v>
      </c>
      <c r="D610">
        <v>0</v>
      </c>
      <c r="E610">
        <v>1</v>
      </c>
      <c r="F610">
        <v>0</v>
      </c>
      <c r="G610">
        <v>0</v>
      </c>
      <c r="H610">
        <v>1</v>
      </c>
      <c r="I610">
        <v>0</v>
      </c>
      <c r="J610" s="10">
        <v>0.65291365376435562</v>
      </c>
      <c r="K610">
        <v>0</v>
      </c>
      <c r="L610">
        <v>1</v>
      </c>
      <c r="M610">
        <v>0</v>
      </c>
      <c r="N610" s="10">
        <v>2.9906049332985803E-2</v>
      </c>
      <c r="O610" s="11">
        <v>0.2228817481237047</v>
      </c>
      <c r="P610" s="10">
        <v>0</v>
      </c>
      <c r="Q610">
        <v>2</v>
      </c>
      <c r="R610">
        <v>1</v>
      </c>
      <c r="S610">
        <v>1</v>
      </c>
      <c r="T610">
        <v>0</v>
      </c>
      <c r="U610">
        <v>0</v>
      </c>
      <c r="V610" s="10">
        <v>0.44788732394366199</v>
      </c>
      <c r="W610" s="5">
        <v>1</v>
      </c>
      <c r="X610" s="5">
        <v>1</v>
      </c>
      <c r="Y610" s="5">
        <v>1</v>
      </c>
      <c r="Z610" s="5">
        <v>3</v>
      </c>
    </row>
    <row r="611" spans="1:26" x14ac:dyDescent="0.35">
      <c r="A611">
        <v>610</v>
      </c>
      <c r="B611" s="10">
        <v>0.66666666666666663</v>
      </c>
      <c r="C611">
        <v>0</v>
      </c>
      <c r="D611">
        <v>0</v>
      </c>
      <c r="E611">
        <v>0</v>
      </c>
      <c r="F611">
        <v>1</v>
      </c>
      <c r="G611">
        <v>0</v>
      </c>
      <c r="H611">
        <v>1</v>
      </c>
      <c r="I611">
        <v>0</v>
      </c>
      <c r="J611" s="10">
        <v>0.22415993194385367</v>
      </c>
      <c r="K611">
        <v>1</v>
      </c>
      <c r="L611">
        <v>0</v>
      </c>
      <c r="M611">
        <v>0</v>
      </c>
      <c r="N611" s="10">
        <v>0.44262848612657868</v>
      </c>
      <c r="O611" s="11">
        <v>0.60533209923740916</v>
      </c>
      <c r="P611" s="10">
        <v>0.5</v>
      </c>
      <c r="Q611">
        <v>0</v>
      </c>
      <c r="R611">
        <v>0</v>
      </c>
      <c r="S611">
        <v>0</v>
      </c>
      <c r="T611">
        <v>0</v>
      </c>
      <c r="U611">
        <v>0</v>
      </c>
      <c r="V611" s="10">
        <v>0.28732394366197184</v>
      </c>
      <c r="W611" s="5">
        <v>1</v>
      </c>
      <c r="X611" s="5">
        <v>2</v>
      </c>
      <c r="Y611" s="5">
        <v>2</v>
      </c>
      <c r="Z611" s="5">
        <v>5</v>
      </c>
    </row>
    <row r="612" spans="1:26" x14ac:dyDescent="0.35">
      <c r="A612">
        <v>611</v>
      </c>
      <c r="B612" s="10">
        <v>0.50980392156862742</v>
      </c>
      <c r="C612">
        <v>1</v>
      </c>
      <c r="D612">
        <v>0</v>
      </c>
      <c r="E612">
        <v>1</v>
      </c>
      <c r="F612">
        <v>0</v>
      </c>
      <c r="G612">
        <v>0</v>
      </c>
      <c r="H612">
        <v>3</v>
      </c>
      <c r="I612">
        <v>0</v>
      </c>
      <c r="J612" s="10">
        <v>0.2037430880476393</v>
      </c>
      <c r="K612">
        <v>0</v>
      </c>
      <c r="L612">
        <v>0</v>
      </c>
      <c r="M612">
        <v>1</v>
      </c>
      <c r="N612" s="10">
        <v>0.18217603014003747</v>
      </c>
      <c r="O612" s="11">
        <v>0.4191030000603635</v>
      </c>
      <c r="P612" s="10">
        <v>0.25</v>
      </c>
      <c r="Q612">
        <v>1</v>
      </c>
      <c r="R612">
        <v>1</v>
      </c>
      <c r="S612">
        <v>1</v>
      </c>
      <c r="T612">
        <v>0</v>
      </c>
      <c r="U612">
        <v>0</v>
      </c>
      <c r="V612" s="10">
        <v>0.19436619718309858</v>
      </c>
      <c r="W612" s="5">
        <v>2</v>
      </c>
      <c r="X612" s="5">
        <v>2</v>
      </c>
      <c r="Y612" s="5">
        <v>1</v>
      </c>
      <c r="Z612" s="5">
        <v>5</v>
      </c>
    </row>
    <row r="613" spans="1:26" x14ac:dyDescent="0.35">
      <c r="A613">
        <v>612</v>
      </c>
      <c r="B613" s="10">
        <v>1</v>
      </c>
      <c r="C613">
        <v>0</v>
      </c>
      <c r="D613">
        <v>0</v>
      </c>
      <c r="E613">
        <v>0</v>
      </c>
      <c r="F613">
        <v>1</v>
      </c>
      <c r="G613">
        <v>0</v>
      </c>
      <c r="H613">
        <v>2</v>
      </c>
      <c r="I613">
        <v>0</v>
      </c>
      <c r="J613" s="10">
        <v>0.83666524883028492</v>
      </c>
      <c r="K613">
        <v>0</v>
      </c>
      <c r="L613">
        <v>0</v>
      </c>
      <c r="M613">
        <v>1</v>
      </c>
      <c r="N613" s="10">
        <v>0.49714771461744428</v>
      </c>
      <c r="O613" s="11">
        <v>0.48529001733291566</v>
      </c>
      <c r="P613" s="10">
        <v>0.75</v>
      </c>
      <c r="Q613">
        <v>2</v>
      </c>
      <c r="R613">
        <v>0</v>
      </c>
      <c r="S613">
        <v>1</v>
      </c>
      <c r="T613">
        <v>0</v>
      </c>
      <c r="U613">
        <v>1</v>
      </c>
      <c r="V613" s="10">
        <v>4.788732394366197E-2</v>
      </c>
      <c r="W613" s="5">
        <v>3</v>
      </c>
      <c r="X613" s="5">
        <v>2</v>
      </c>
      <c r="Y613" s="5">
        <v>3</v>
      </c>
      <c r="Z613" s="5">
        <v>8</v>
      </c>
    </row>
    <row r="614" spans="1:26" x14ac:dyDescent="0.35">
      <c r="A614">
        <v>613</v>
      </c>
      <c r="B614" s="10">
        <v>0.74509803921568629</v>
      </c>
      <c r="C614">
        <v>1</v>
      </c>
      <c r="D614">
        <v>0</v>
      </c>
      <c r="E614">
        <v>1</v>
      </c>
      <c r="F614">
        <v>0</v>
      </c>
      <c r="G614">
        <v>0</v>
      </c>
      <c r="H614">
        <v>3</v>
      </c>
      <c r="I614">
        <v>0</v>
      </c>
      <c r="J614" s="10">
        <v>0.65291365376435562</v>
      </c>
      <c r="K614">
        <v>0</v>
      </c>
      <c r="L614">
        <v>0</v>
      </c>
      <c r="M614">
        <v>1</v>
      </c>
      <c r="N614" s="10">
        <v>0.17841741108452006</v>
      </c>
      <c r="O614" s="11">
        <v>0.41059176240970635</v>
      </c>
      <c r="P614" s="10">
        <v>0.25</v>
      </c>
      <c r="Q614">
        <v>0</v>
      </c>
      <c r="R614">
        <v>0</v>
      </c>
      <c r="S614">
        <v>0</v>
      </c>
      <c r="T614">
        <v>0</v>
      </c>
      <c r="U614">
        <v>0</v>
      </c>
      <c r="V614" s="10">
        <v>9.8591549295774641E-2</v>
      </c>
      <c r="W614" s="5">
        <v>2</v>
      </c>
      <c r="X614" s="5">
        <v>2</v>
      </c>
      <c r="Y614" s="5">
        <v>1</v>
      </c>
      <c r="Z614" s="5">
        <v>5</v>
      </c>
    </row>
    <row r="615" spans="1:26" x14ac:dyDescent="0.35">
      <c r="A615">
        <v>614</v>
      </c>
      <c r="B615" s="10">
        <v>0.90196078431372551</v>
      </c>
      <c r="C615">
        <v>0</v>
      </c>
      <c r="D615">
        <v>0</v>
      </c>
      <c r="E615">
        <v>1</v>
      </c>
      <c r="F615">
        <v>0</v>
      </c>
      <c r="G615">
        <v>0</v>
      </c>
      <c r="H615">
        <v>3</v>
      </c>
      <c r="I615">
        <v>1</v>
      </c>
      <c r="J615" s="10">
        <v>0.48957890259464065</v>
      </c>
      <c r="K615">
        <v>1</v>
      </c>
      <c r="L615">
        <v>0</v>
      </c>
      <c r="M615">
        <v>0</v>
      </c>
      <c r="N615" s="10">
        <v>0.36412103404971208</v>
      </c>
      <c r="O615" s="11">
        <v>0.83110994855697962</v>
      </c>
      <c r="P615" s="10">
        <v>0.25</v>
      </c>
      <c r="Q615">
        <v>1</v>
      </c>
      <c r="R615">
        <v>0</v>
      </c>
      <c r="S615">
        <v>0</v>
      </c>
      <c r="T615">
        <v>0</v>
      </c>
      <c r="U615">
        <v>1</v>
      </c>
      <c r="V615" s="10">
        <v>5.9154929577464786E-2</v>
      </c>
      <c r="W615" s="5">
        <v>3</v>
      </c>
      <c r="X615" s="5">
        <v>2</v>
      </c>
      <c r="Y615" s="5">
        <v>2</v>
      </c>
      <c r="Z615" s="5">
        <v>7</v>
      </c>
    </row>
    <row r="616" spans="1:26" x14ac:dyDescent="0.35">
      <c r="A616">
        <v>615</v>
      </c>
      <c r="B616" s="10">
        <v>0.31372549019607843</v>
      </c>
      <c r="C616">
        <v>0</v>
      </c>
      <c r="D616">
        <v>0</v>
      </c>
      <c r="E616">
        <v>0</v>
      </c>
      <c r="F616">
        <v>1</v>
      </c>
      <c r="G616">
        <v>0</v>
      </c>
      <c r="H616">
        <v>1</v>
      </c>
      <c r="I616">
        <v>0</v>
      </c>
      <c r="J616" s="10">
        <v>0.14249255635899619</v>
      </c>
      <c r="K616">
        <v>0</v>
      </c>
      <c r="L616">
        <v>0</v>
      </c>
      <c r="M616">
        <v>1</v>
      </c>
      <c r="N616" s="10">
        <v>0.1397649456199796</v>
      </c>
      <c r="O616" s="11">
        <v>0.32306485039940436</v>
      </c>
      <c r="P616" s="10">
        <v>0.25</v>
      </c>
      <c r="Q616">
        <v>2</v>
      </c>
      <c r="R616">
        <v>1</v>
      </c>
      <c r="S616">
        <v>0</v>
      </c>
      <c r="T616">
        <v>0</v>
      </c>
      <c r="U616">
        <v>1</v>
      </c>
      <c r="V616" s="10">
        <v>0.54084507042253516</v>
      </c>
      <c r="W616" s="5">
        <v>1</v>
      </c>
      <c r="X616" s="5">
        <v>2</v>
      </c>
      <c r="Y616" s="5">
        <v>1</v>
      </c>
      <c r="Z616" s="5">
        <v>4</v>
      </c>
    </row>
    <row r="617" spans="1:26" x14ac:dyDescent="0.35">
      <c r="A617">
        <v>616</v>
      </c>
      <c r="B617" s="10">
        <v>0.92156862745098034</v>
      </c>
      <c r="C617">
        <v>1</v>
      </c>
      <c r="D617">
        <v>1</v>
      </c>
      <c r="E617">
        <v>0</v>
      </c>
      <c r="F617">
        <v>0</v>
      </c>
      <c r="G617">
        <v>0</v>
      </c>
      <c r="H617">
        <v>2</v>
      </c>
      <c r="I617">
        <v>1</v>
      </c>
      <c r="J617" s="10">
        <v>0.59166312207571248</v>
      </c>
      <c r="K617">
        <v>0</v>
      </c>
      <c r="L617">
        <v>0</v>
      </c>
      <c r="M617">
        <v>1</v>
      </c>
      <c r="N617" s="10">
        <v>0.49301886121839678</v>
      </c>
      <c r="O617" s="11">
        <v>0.42112265840358959</v>
      </c>
      <c r="P617" s="10">
        <v>0.875</v>
      </c>
      <c r="Q617">
        <v>1</v>
      </c>
      <c r="R617">
        <v>1</v>
      </c>
      <c r="S617">
        <v>0</v>
      </c>
      <c r="T617">
        <v>0</v>
      </c>
      <c r="U617">
        <v>1</v>
      </c>
      <c r="V617" s="10">
        <v>0.323943661971831</v>
      </c>
      <c r="W617" s="5">
        <v>1</v>
      </c>
      <c r="X617" s="5">
        <v>3</v>
      </c>
      <c r="Y617" s="5">
        <v>3</v>
      </c>
      <c r="Z617" s="5">
        <v>7</v>
      </c>
    </row>
    <row r="618" spans="1:26" x14ac:dyDescent="0.35">
      <c r="A618">
        <v>617</v>
      </c>
      <c r="B618" s="10">
        <v>0.78431372549019607</v>
      </c>
      <c r="C618">
        <v>0</v>
      </c>
      <c r="D618">
        <v>0</v>
      </c>
      <c r="E618">
        <v>0</v>
      </c>
      <c r="F618">
        <v>1</v>
      </c>
      <c r="G618">
        <v>0</v>
      </c>
      <c r="H618">
        <v>1</v>
      </c>
      <c r="I618">
        <v>1</v>
      </c>
      <c r="J618" s="10">
        <v>4.0408336877924292E-2</v>
      </c>
      <c r="K618">
        <v>0</v>
      </c>
      <c r="L618">
        <v>0</v>
      </c>
      <c r="M618">
        <v>1</v>
      </c>
      <c r="N618" s="10">
        <v>0.63288747245456467</v>
      </c>
      <c r="O618" s="11">
        <v>0.61702305019071957</v>
      </c>
      <c r="P618" s="10">
        <v>0.75</v>
      </c>
      <c r="Q618">
        <v>0</v>
      </c>
      <c r="R618">
        <v>0</v>
      </c>
      <c r="S618">
        <v>0</v>
      </c>
      <c r="T618">
        <v>0</v>
      </c>
      <c r="U618">
        <v>0</v>
      </c>
      <c r="V618" s="10">
        <v>6.4788732394366194E-2</v>
      </c>
      <c r="W618" s="5">
        <v>3</v>
      </c>
      <c r="X618" s="5">
        <v>2</v>
      </c>
      <c r="Y618" s="5">
        <v>3</v>
      </c>
      <c r="Z618" s="5">
        <v>8</v>
      </c>
    </row>
    <row r="619" spans="1:26" x14ac:dyDescent="0.35">
      <c r="A619">
        <v>618</v>
      </c>
      <c r="B619" s="10">
        <v>0</v>
      </c>
      <c r="C619">
        <v>1</v>
      </c>
      <c r="D619">
        <v>0</v>
      </c>
      <c r="E619">
        <v>0</v>
      </c>
      <c r="F619">
        <v>1</v>
      </c>
      <c r="G619">
        <v>0</v>
      </c>
      <c r="H619">
        <v>1</v>
      </c>
      <c r="I619">
        <v>1</v>
      </c>
      <c r="J619" s="10">
        <v>0.32624415142492558</v>
      </c>
      <c r="K619">
        <v>1</v>
      </c>
      <c r="L619">
        <v>0</v>
      </c>
      <c r="M619">
        <v>0</v>
      </c>
      <c r="N619" s="10">
        <v>0.30084946567779541</v>
      </c>
      <c r="O619" s="11">
        <v>0.29478604053545199</v>
      </c>
      <c r="P619" s="10">
        <v>0.75</v>
      </c>
      <c r="Q619">
        <v>2</v>
      </c>
      <c r="R619">
        <v>0</v>
      </c>
      <c r="S619">
        <v>0</v>
      </c>
      <c r="T619">
        <v>1</v>
      </c>
      <c r="U619">
        <v>1</v>
      </c>
      <c r="V619" s="10">
        <v>6.7605633802816895E-2</v>
      </c>
      <c r="W619" s="5">
        <v>3</v>
      </c>
      <c r="X619" s="5">
        <v>2</v>
      </c>
      <c r="Y619" s="5">
        <v>2</v>
      </c>
      <c r="Z619" s="5">
        <v>7</v>
      </c>
    </row>
    <row r="620" spans="1:26" x14ac:dyDescent="0.35">
      <c r="A620">
        <v>619</v>
      </c>
      <c r="B620" s="10">
        <v>0.19607843137254902</v>
      </c>
      <c r="C620">
        <v>1</v>
      </c>
      <c r="D620">
        <v>0</v>
      </c>
      <c r="E620">
        <v>0</v>
      </c>
      <c r="F620">
        <v>0</v>
      </c>
      <c r="G620">
        <v>1</v>
      </c>
      <c r="H620">
        <v>3</v>
      </c>
      <c r="I620">
        <v>1</v>
      </c>
      <c r="J620" s="10">
        <v>0.63249680986814127</v>
      </c>
      <c r="K620">
        <v>0</v>
      </c>
      <c r="L620">
        <v>0</v>
      </c>
      <c r="M620">
        <v>1</v>
      </c>
      <c r="N620" s="10">
        <v>6.9423382224012509E-2</v>
      </c>
      <c r="O620" s="11">
        <v>0.49133785388035978</v>
      </c>
      <c r="P620" s="10">
        <v>0</v>
      </c>
      <c r="Q620">
        <v>1</v>
      </c>
      <c r="R620">
        <v>1</v>
      </c>
      <c r="S620">
        <v>0</v>
      </c>
      <c r="T620">
        <v>0</v>
      </c>
      <c r="U620">
        <v>1</v>
      </c>
      <c r="V620" s="10">
        <v>0.74647887323943662</v>
      </c>
      <c r="W620" s="5">
        <v>1</v>
      </c>
      <c r="X620" s="5">
        <v>1</v>
      </c>
      <c r="Y620" s="5">
        <v>1</v>
      </c>
      <c r="Z620" s="5">
        <v>3</v>
      </c>
    </row>
    <row r="621" spans="1:26" x14ac:dyDescent="0.35">
      <c r="A621">
        <v>620</v>
      </c>
      <c r="B621" s="10">
        <v>0.21568627450980393</v>
      </c>
      <c r="C621">
        <v>0</v>
      </c>
      <c r="D621">
        <v>1</v>
      </c>
      <c r="E621">
        <v>0</v>
      </c>
      <c r="F621">
        <v>0</v>
      </c>
      <c r="G621">
        <v>0</v>
      </c>
      <c r="H621">
        <v>3</v>
      </c>
      <c r="I621">
        <v>0</v>
      </c>
      <c r="J621" s="10">
        <v>0.24457677584006807</v>
      </c>
      <c r="K621">
        <v>0</v>
      </c>
      <c r="L621">
        <v>0</v>
      </c>
      <c r="M621">
        <v>1</v>
      </c>
      <c r="N621" s="10">
        <v>0.20275513589081345</v>
      </c>
      <c r="O621" s="11">
        <v>0.46570353528240005</v>
      </c>
      <c r="P621" s="10">
        <v>0.25</v>
      </c>
      <c r="Q621">
        <v>1</v>
      </c>
      <c r="R621">
        <v>1</v>
      </c>
      <c r="S621">
        <v>1</v>
      </c>
      <c r="T621">
        <v>0</v>
      </c>
      <c r="U621">
        <v>0</v>
      </c>
      <c r="V621" s="10">
        <v>3.9436619718309862E-2</v>
      </c>
      <c r="W621" s="5">
        <v>3</v>
      </c>
      <c r="X621" s="5">
        <v>2</v>
      </c>
      <c r="Y621" s="5">
        <v>1</v>
      </c>
      <c r="Z621" s="5">
        <v>6</v>
      </c>
    </row>
    <row r="622" spans="1:26" x14ac:dyDescent="0.35">
      <c r="A622">
        <v>621</v>
      </c>
      <c r="B622" s="10">
        <v>0.25490196078431371</v>
      </c>
      <c r="C622">
        <v>0</v>
      </c>
      <c r="D622">
        <v>0</v>
      </c>
      <c r="E622">
        <v>1</v>
      </c>
      <c r="F622">
        <v>0</v>
      </c>
      <c r="G622">
        <v>0</v>
      </c>
      <c r="H622">
        <v>1</v>
      </c>
      <c r="I622">
        <v>0</v>
      </c>
      <c r="J622" s="10">
        <v>0.65291365376435562</v>
      </c>
      <c r="K622">
        <v>0</v>
      </c>
      <c r="L622">
        <v>0</v>
      </c>
      <c r="M622">
        <v>1</v>
      </c>
      <c r="N622" s="10">
        <v>5.7756557590692599E-2</v>
      </c>
      <c r="O622" s="11">
        <v>0.20604036298517073</v>
      </c>
      <c r="P622" s="10">
        <v>0.125</v>
      </c>
      <c r="Q622">
        <v>1</v>
      </c>
      <c r="R622">
        <v>0</v>
      </c>
      <c r="S622">
        <v>0</v>
      </c>
      <c r="T622">
        <v>0</v>
      </c>
      <c r="U622">
        <v>1</v>
      </c>
      <c r="V622" s="10">
        <v>0.89014084507042257</v>
      </c>
      <c r="W622" s="5">
        <v>1</v>
      </c>
      <c r="X622" s="5">
        <v>1</v>
      </c>
      <c r="Y622" s="5">
        <v>1</v>
      </c>
      <c r="Z622" s="5">
        <v>3</v>
      </c>
    </row>
    <row r="623" spans="1:26" x14ac:dyDescent="0.35">
      <c r="A623">
        <v>622</v>
      </c>
      <c r="B623" s="10">
        <v>0.13725490196078433</v>
      </c>
      <c r="C623">
        <v>1</v>
      </c>
      <c r="D623">
        <v>1</v>
      </c>
      <c r="E623">
        <v>0</v>
      </c>
      <c r="F623">
        <v>0</v>
      </c>
      <c r="G623">
        <v>0</v>
      </c>
      <c r="H623">
        <v>3</v>
      </c>
      <c r="I623">
        <v>0</v>
      </c>
      <c r="J623" s="10">
        <v>0.9591663122075712</v>
      </c>
      <c r="K623">
        <v>0</v>
      </c>
      <c r="L623">
        <v>0</v>
      </c>
      <c r="M623">
        <v>1</v>
      </c>
      <c r="N623" s="10">
        <v>0.22058266000047388</v>
      </c>
      <c r="O623" s="11">
        <v>0.3036439364977162</v>
      </c>
      <c r="P623" s="10">
        <v>0.5</v>
      </c>
      <c r="Q623">
        <v>1</v>
      </c>
      <c r="R623">
        <v>1</v>
      </c>
      <c r="S623">
        <v>0</v>
      </c>
      <c r="T623">
        <v>1</v>
      </c>
      <c r="U623">
        <v>0</v>
      </c>
      <c r="V623" s="10">
        <v>7.0422535211267609E-2</v>
      </c>
      <c r="W623" s="5">
        <v>3</v>
      </c>
      <c r="X623" s="5">
        <v>2</v>
      </c>
      <c r="Y623" s="5">
        <v>1</v>
      </c>
      <c r="Z623" s="5">
        <v>6</v>
      </c>
    </row>
    <row r="624" spans="1:26" x14ac:dyDescent="0.35">
      <c r="A624">
        <v>623</v>
      </c>
      <c r="B624" s="10">
        <v>0.58823529411764708</v>
      </c>
      <c r="C624">
        <v>0</v>
      </c>
      <c r="D624">
        <v>1</v>
      </c>
      <c r="E624">
        <v>0</v>
      </c>
      <c r="F624">
        <v>0</v>
      </c>
      <c r="G624">
        <v>0</v>
      </c>
      <c r="H624">
        <v>3</v>
      </c>
      <c r="I624">
        <v>0</v>
      </c>
      <c r="J624" s="10">
        <v>0.83666524883028492</v>
      </c>
      <c r="K624">
        <v>0</v>
      </c>
      <c r="L624">
        <v>0</v>
      </c>
      <c r="M624">
        <v>1</v>
      </c>
      <c r="N624" s="10">
        <v>0.31527675757647561</v>
      </c>
      <c r="O624" s="11">
        <v>0.30878747201007206</v>
      </c>
      <c r="P624" s="10">
        <v>0.75</v>
      </c>
      <c r="Q624">
        <v>2</v>
      </c>
      <c r="R624">
        <v>1</v>
      </c>
      <c r="S624">
        <v>0</v>
      </c>
      <c r="T624">
        <v>1</v>
      </c>
      <c r="U624">
        <v>0</v>
      </c>
      <c r="V624" s="10">
        <v>0.11549295774647887</v>
      </c>
      <c r="W624" s="5">
        <v>2</v>
      </c>
      <c r="X624" s="5">
        <v>2</v>
      </c>
      <c r="Y624" s="5">
        <v>2</v>
      </c>
      <c r="Z624" s="5">
        <v>6</v>
      </c>
    </row>
    <row r="625" spans="1:26" x14ac:dyDescent="0.35">
      <c r="A625">
        <v>624</v>
      </c>
      <c r="B625" s="10">
        <v>0.11764705882352941</v>
      </c>
      <c r="C625">
        <v>0</v>
      </c>
      <c r="D625">
        <v>1</v>
      </c>
      <c r="E625">
        <v>0</v>
      </c>
      <c r="F625">
        <v>0</v>
      </c>
      <c r="G625">
        <v>0</v>
      </c>
      <c r="H625">
        <v>2</v>
      </c>
      <c r="I625">
        <v>0</v>
      </c>
      <c r="J625" s="10">
        <v>0.36707783921735437</v>
      </c>
      <c r="K625">
        <v>0</v>
      </c>
      <c r="L625">
        <v>1</v>
      </c>
      <c r="M625">
        <v>0</v>
      </c>
      <c r="N625" s="10">
        <v>0.27386678672132314</v>
      </c>
      <c r="O625" s="11">
        <v>0.47004969918911849</v>
      </c>
      <c r="P625" s="10">
        <v>0.375</v>
      </c>
      <c r="Q625">
        <v>0</v>
      </c>
      <c r="R625">
        <v>0</v>
      </c>
      <c r="S625">
        <v>0</v>
      </c>
      <c r="T625">
        <v>0</v>
      </c>
      <c r="U625">
        <v>0</v>
      </c>
      <c r="V625" s="10">
        <v>0.36619718309859156</v>
      </c>
      <c r="W625" s="5">
        <v>1</v>
      </c>
      <c r="X625" s="5">
        <v>2</v>
      </c>
      <c r="Y625" s="5">
        <v>2</v>
      </c>
      <c r="Z625" s="5">
        <v>5</v>
      </c>
    </row>
    <row r="626" spans="1:26" x14ac:dyDescent="0.35">
      <c r="A626">
        <v>625</v>
      </c>
      <c r="B626" s="10">
        <v>0.88235294117647056</v>
      </c>
      <c r="C626">
        <v>0</v>
      </c>
      <c r="D626">
        <v>0</v>
      </c>
      <c r="E626">
        <v>0</v>
      </c>
      <c r="F626">
        <v>0</v>
      </c>
      <c r="G626">
        <v>1</v>
      </c>
      <c r="H626">
        <v>1</v>
      </c>
      <c r="I626">
        <v>1</v>
      </c>
      <c r="J626" s="10">
        <v>6.0825180774138662E-2</v>
      </c>
      <c r="K626">
        <v>1</v>
      </c>
      <c r="L626">
        <v>0</v>
      </c>
      <c r="M626">
        <v>0</v>
      </c>
      <c r="N626" s="10">
        <v>0.72346456413051186</v>
      </c>
      <c r="O626" s="11">
        <v>0.54827617814800644</v>
      </c>
      <c r="P626" s="10">
        <v>1</v>
      </c>
      <c r="Q626">
        <v>0</v>
      </c>
      <c r="R626">
        <v>0</v>
      </c>
      <c r="S626">
        <v>0</v>
      </c>
      <c r="T626">
        <v>0</v>
      </c>
      <c r="U626">
        <v>0</v>
      </c>
      <c r="V626" s="10">
        <v>2.5352112676056339E-2</v>
      </c>
      <c r="W626" s="5">
        <v>3</v>
      </c>
      <c r="X626" s="5">
        <v>3</v>
      </c>
      <c r="Y626" s="5">
        <v>3</v>
      </c>
      <c r="Z626" s="5">
        <v>9</v>
      </c>
    </row>
    <row r="627" spans="1:26" x14ac:dyDescent="0.35">
      <c r="A627">
        <v>626</v>
      </c>
      <c r="B627" s="10">
        <v>0.58823529411764708</v>
      </c>
      <c r="C627">
        <v>1</v>
      </c>
      <c r="D627">
        <v>0</v>
      </c>
      <c r="E627">
        <v>0</v>
      </c>
      <c r="F627">
        <v>0</v>
      </c>
      <c r="G627">
        <v>1</v>
      </c>
      <c r="H627">
        <v>1</v>
      </c>
      <c r="I627">
        <v>0</v>
      </c>
      <c r="J627" s="10">
        <v>0.32624415142492558</v>
      </c>
      <c r="K627">
        <v>0</v>
      </c>
      <c r="L627">
        <v>1</v>
      </c>
      <c r="M627">
        <v>0</v>
      </c>
      <c r="N627" s="10">
        <v>0.71295287064900581</v>
      </c>
      <c r="O627" s="11">
        <v>0.6078844644761463</v>
      </c>
      <c r="P627" s="10">
        <v>0.875</v>
      </c>
      <c r="Q627">
        <v>0</v>
      </c>
      <c r="R627">
        <v>0</v>
      </c>
      <c r="S627">
        <v>0</v>
      </c>
      <c r="T627">
        <v>0</v>
      </c>
      <c r="U627">
        <v>0</v>
      </c>
      <c r="V627" s="10">
        <v>7.8873239436619724E-2</v>
      </c>
      <c r="W627" s="5">
        <v>3</v>
      </c>
      <c r="X627" s="5">
        <v>3</v>
      </c>
      <c r="Y627" s="5">
        <v>3</v>
      </c>
      <c r="Z627" s="5">
        <v>9</v>
      </c>
    </row>
    <row r="628" spans="1:26" x14ac:dyDescent="0.35">
      <c r="A628">
        <v>627</v>
      </c>
      <c r="B628" s="10">
        <v>0.29411764705882354</v>
      </c>
      <c r="C628">
        <v>0</v>
      </c>
      <c r="D628">
        <v>0</v>
      </c>
      <c r="E628">
        <v>1</v>
      </c>
      <c r="F628">
        <v>0</v>
      </c>
      <c r="G628">
        <v>0</v>
      </c>
      <c r="H628">
        <v>2</v>
      </c>
      <c r="I628">
        <v>1</v>
      </c>
      <c r="J628" s="10">
        <v>1</v>
      </c>
      <c r="K628">
        <v>0</v>
      </c>
      <c r="L628">
        <v>1</v>
      </c>
      <c r="M628">
        <v>0</v>
      </c>
      <c r="N628" s="10">
        <v>0.56858517167026035</v>
      </c>
      <c r="O628" s="11">
        <v>0.64705527274190622</v>
      </c>
      <c r="P628" s="10">
        <v>0.625</v>
      </c>
      <c r="Q628">
        <v>1</v>
      </c>
      <c r="R628">
        <v>0</v>
      </c>
      <c r="S628">
        <v>0</v>
      </c>
      <c r="T628">
        <v>0</v>
      </c>
      <c r="U628">
        <v>1</v>
      </c>
      <c r="V628" s="10">
        <v>0.3295774647887324</v>
      </c>
      <c r="W628" s="5">
        <v>1</v>
      </c>
      <c r="X628" s="5">
        <v>2</v>
      </c>
      <c r="Y628" s="5">
        <v>3</v>
      </c>
      <c r="Z628" s="5">
        <v>6</v>
      </c>
    </row>
    <row r="629" spans="1:26" x14ac:dyDescent="0.35">
      <c r="A629">
        <v>628</v>
      </c>
      <c r="B629" s="10">
        <v>0.80392156862745101</v>
      </c>
      <c r="C629">
        <v>0</v>
      </c>
      <c r="D629">
        <v>0</v>
      </c>
      <c r="E629">
        <v>0</v>
      </c>
      <c r="F629">
        <v>1</v>
      </c>
      <c r="G629">
        <v>0</v>
      </c>
      <c r="H629">
        <v>3</v>
      </c>
      <c r="I629">
        <v>0</v>
      </c>
      <c r="J629" s="10">
        <v>0.85708209272649938</v>
      </c>
      <c r="K629">
        <v>0</v>
      </c>
      <c r="L629">
        <v>1</v>
      </c>
      <c r="M629">
        <v>0</v>
      </c>
      <c r="N629" s="10">
        <v>1.713444541857214E-2</v>
      </c>
      <c r="O629" s="11">
        <v>0.13611943902291798</v>
      </c>
      <c r="P629" s="10">
        <v>0</v>
      </c>
      <c r="Q629">
        <v>1</v>
      </c>
      <c r="R629">
        <v>0</v>
      </c>
      <c r="S629">
        <v>0</v>
      </c>
      <c r="T629">
        <v>1</v>
      </c>
      <c r="U629">
        <v>0</v>
      </c>
      <c r="V629" s="10">
        <v>0.6816901408450704</v>
      </c>
      <c r="W629" s="5">
        <v>1</v>
      </c>
      <c r="X629" s="5">
        <v>1</v>
      </c>
      <c r="Y629" s="5">
        <v>1</v>
      </c>
      <c r="Z629" s="5">
        <v>3</v>
      </c>
    </row>
    <row r="630" spans="1:26" x14ac:dyDescent="0.35">
      <c r="A630">
        <v>629</v>
      </c>
      <c r="B630" s="10">
        <v>0.74509803921568629</v>
      </c>
      <c r="C630">
        <v>1</v>
      </c>
      <c r="D630">
        <v>1</v>
      </c>
      <c r="E630">
        <v>0</v>
      </c>
      <c r="F630">
        <v>0</v>
      </c>
      <c r="G630">
        <v>0</v>
      </c>
      <c r="H630">
        <v>2</v>
      </c>
      <c r="I630">
        <v>0</v>
      </c>
      <c r="J630" s="10">
        <v>0.36707783921735437</v>
      </c>
      <c r="K630">
        <v>0</v>
      </c>
      <c r="L630">
        <v>0</v>
      </c>
      <c r="M630">
        <v>1</v>
      </c>
      <c r="N630" s="10">
        <v>0.19180212307181951</v>
      </c>
      <c r="O630" s="11">
        <v>0.4409008900246148</v>
      </c>
      <c r="P630" s="10">
        <v>0.25</v>
      </c>
      <c r="Q630">
        <v>2</v>
      </c>
      <c r="R630">
        <v>1</v>
      </c>
      <c r="S630">
        <v>0</v>
      </c>
      <c r="T630">
        <v>0</v>
      </c>
      <c r="U630">
        <v>1</v>
      </c>
      <c r="V630" s="10">
        <v>0.21126760563380281</v>
      </c>
      <c r="W630" s="5">
        <v>2</v>
      </c>
      <c r="X630" s="5">
        <v>2</v>
      </c>
      <c r="Y630" s="5">
        <v>1</v>
      </c>
      <c r="Z630" s="5">
        <v>5</v>
      </c>
    </row>
    <row r="631" spans="1:26" x14ac:dyDescent="0.35">
      <c r="A631">
        <v>630</v>
      </c>
      <c r="B631" s="10">
        <v>0.84313725490196079</v>
      </c>
      <c r="C631">
        <v>0</v>
      </c>
      <c r="D631">
        <v>0</v>
      </c>
      <c r="E631">
        <v>1</v>
      </c>
      <c r="F631">
        <v>0</v>
      </c>
      <c r="G631">
        <v>0</v>
      </c>
      <c r="H631">
        <v>2</v>
      </c>
      <c r="I631">
        <v>1</v>
      </c>
      <c r="J631" s="10">
        <v>0.89791578051892806</v>
      </c>
      <c r="K631">
        <v>0</v>
      </c>
      <c r="L631">
        <v>1</v>
      </c>
      <c r="M631">
        <v>0</v>
      </c>
      <c r="N631" s="10">
        <v>0.27623628651991566</v>
      </c>
      <c r="O631" s="11">
        <v>0.94814785005734525</v>
      </c>
      <c r="P631" s="10">
        <v>0.125</v>
      </c>
      <c r="Q631">
        <v>1</v>
      </c>
      <c r="R631">
        <v>1</v>
      </c>
      <c r="S631">
        <v>0</v>
      </c>
      <c r="T631">
        <v>1</v>
      </c>
      <c r="U631">
        <v>0</v>
      </c>
      <c r="V631" s="10">
        <v>0.27042253521126758</v>
      </c>
      <c r="W631" s="5">
        <v>1</v>
      </c>
      <c r="X631" s="5">
        <v>1</v>
      </c>
      <c r="Y631" s="5">
        <v>2</v>
      </c>
      <c r="Z631" s="5">
        <v>4</v>
      </c>
    </row>
    <row r="632" spans="1:26" x14ac:dyDescent="0.35">
      <c r="A632">
        <v>631</v>
      </c>
      <c r="B632" s="10">
        <v>0.35294117647058826</v>
      </c>
      <c r="C632">
        <v>1</v>
      </c>
      <c r="D632">
        <v>0</v>
      </c>
      <c r="E632">
        <v>1</v>
      </c>
      <c r="F632">
        <v>0</v>
      </c>
      <c r="G632">
        <v>0</v>
      </c>
      <c r="H632">
        <v>2</v>
      </c>
      <c r="I632">
        <v>0</v>
      </c>
      <c r="J632" s="10">
        <v>0.30582730752871118</v>
      </c>
      <c r="K632">
        <v>0</v>
      </c>
      <c r="L632">
        <v>1</v>
      </c>
      <c r="M632">
        <v>0</v>
      </c>
      <c r="N632" s="10">
        <v>6.7835817358955525E-2</v>
      </c>
      <c r="O632" s="11">
        <v>0.48055292863035476</v>
      </c>
      <c r="P632" s="10">
        <v>0</v>
      </c>
      <c r="Q632">
        <v>2</v>
      </c>
      <c r="R632">
        <v>1</v>
      </c>
      <c r="S632">
        <v>1</v>
      </c>
      <c r="T632">
        <v>1</v>
      </c>
      <c r="U632">
        <v>0</v>
      </c>
      <c r="V632" s="10">
        <v>0.6563380281690141</v>
      </c>
      <c r="W632" s="5">
        <v>1</v>
      </c>
      <c r="X632" s="5">
        <v>1</v>
      </c>
      <c r="Y632" s="5">
        <v>1</v>
      </c>
      <c r="Z632" s="5">
        <v>3</v>
      </c>
    </row>
    <row r="633" spans="1:26" x14ac:dyDescent="0.35">
      <c r="A633">
        <v>632</v>
      </c>
      <c r="B633" s="10">
        <v>0.13725490196078433</v>
      </c>
      <c r="C633">
        <v>1</v>
      </c>
      <c r="D633">
        <v>0</v>
      </c>
      <c r="E633">
        <v>0</v>
      </c>
      <c r="F633">
        <v>0</v>
      </c>
      <c r="G633">
        <v>1</v>
      </c>
      <c r="H633">
        <v>3</v>
      </c>
      <c r="I633">
        <v>0</v>
      </c>
      <c r="J633" s="10">
        <v>0.83666524883028492</v>
      </c>
      <c r="K633">
        <v>0</v>
      </c>
      <c r="L633">
        <v>0</v>
      </c>
      <c r="M633">
        <v>1</v>
      </c>
      <c r="N633" s="10">
        <v>0.31131080728858135</v>
      </c>
      <c r="O633" s="11">
        <v>0.35576168534578156</v>
      </c>
      <c r="P633" s="10">
        <v>0.625</v>
      </c>
      <c r="Q633">
        <v>1</v>
      </c>
      <c r="R633">
        <v>1</v>
      </c>
      <c r="S633">
        <v>0</v>
      </c>
      <c r="T633">
        <v>1</v>
      </c>
      <c r="U633">
        <v>0</v>
      </c>
      <c r="V633" s="10">
        <v>0.14929577464788732</v>
      </c>
      <c r="W633" s="5">
        <v>2</v>
      </c>
      <c r="X633" s="5">
        <v>2</v>
      </c>
      <c r="Y633" s="5">
        <v>2</v>
      </c>
      <c r="Z633" s="5">
        <v>6</v>
      </c>
    </row>
    <row r="634" spans="1:26" x14ac:dyDescent="0.35">
      <c r="A634">
        <v>633</v>
      </c>
      <c r="B634" s="10">
        <v>0.5490196078431373</v>
      </c>
      <c r="C634">
        <v>1</v>
      </c>
      <c r="D634">
        <v>0</v>
      </c>
      <c r="E634">
        <v>0</v>
      </c>
      <c r="F634">
        <v>1</v>
      </c>
      <c r="G634">
        <v>0</v>
      </c>
      <c r="H634">
        <v>2</v>
      </c>
      <c r="I634">
        <v>0</v>
      </c>
      <c r="J634" s="10">
        <v>0.75499787324542744</v>
      </c>
      <c r="K634">
        <v>0</v>
      </c>
      <c r="L634">
        <v>0</v>
      </c>
      <c r="M634">
        <v>1</v>
      </c>
      <c r="N634" s="10">
        <v>0.58524275525436587</v>
      </c>
      <c r="O634" s="11">
        <v>0.49943660838246245</v>
      </c>
      <c r="P634" s="10">
        <v>0.875</v>
      </c>
      <c r="Q634">
        <v>2</v>
      </c>
      <c r="R634">
        <v>1</v>
      </c>
      <c r="S634">
        <v>0</v>
      </c>
      <c r="T634">
        <v>0</v>
      </c>
      <c r="U634">
        <v>1</v>
      </c>
      <c r="V634" s="10">
        <v>5.6338028169014088E-3</v>
      </c>
      <c r="W634" s="5">
        <v>3</v>
      </c>
      <c r="X634" s="5">
        <v>3</v>
      </c>
      <c r="Y634" s="5">
        <v>3</v>
      </c>
      <c r="Z634" s="5">
        <v>9</v>
      </c>
    </row>
    <row r="635" spans="1:26" x14ac:dyDescent="0.35">
      <c r="A635">
        <v>634</v>
      </c>
      <c r="B635" s="10">
        <v>1.9607843137254902E-2</v>
      </c>
      <c r="C635">
        <v>1</v>
      </c>
      <c r="D635">
        <v>0</v>
      </c>
      <c r="E635">
        <v>0</v>
      </c>
      <c r="F635">
        <v>1</v>
      </c>
      <c r="G635">
        <v>0</v>
      </c>
      <c r="H635">
        <v>1</v>
      </c>
      <c r="I635">
        <v>0</v>
      </c>
      <c r="J635" s="10">
        <v>0.46916205869842625</v>
      </c>
      <c r="K635">
        <v>1</v>
      </c>
      <c r="L635">
        <v>0</v>
      </c>
      <c r="M635">
        <v>0</v>
      </c>
      <c r="N635" s="10">
        <v>0.30914271497286921</v>
      </c>
      <c r="O635" s="11">
        <v>0.52996036137548042</v>
      </c>
      <c r="P635" s="10">
        <v>0.375</v>
      </c>
      <c r="Q635">
        <v>2</v>
      </c>
      <c r="R635">
        <v>1</v>
      </c>
      <c r="S635">
        <v>1</v>
      </c>
      <c r="T635">
        <v>1</v>
      </c>
      <c r="U635">
        <v>0</v>
      </c>
      <c r="V635" s="10">
        <v>0.26197183098591548</v>
      </c>
      <c r="W635" s="5">
        <v>1</v>
      </c>
      <c r="X635" s="5">
        <v>2</v>
      </c>
      <c r="Y635" s="5">
        <v>2</v>
      </c>
      <c r="Z635" s="5">
        <v>5</v>
      </c>
    </row>
    <row r="636" spans="1:26" x14ac:dyDescent="0.35">
      <c r="A636">
        <v>635</v>
      </c>
      <c r="B636" s="10">
        <v>0.80392156862745101</v>
      </c>
      <c r="C636">
        <v>0</v>
      </c>
      <c r="D636">
        <v>0</v>
      </c>
      <c r="E636">
        <v>0</v>
      </c>
      <c r="F636">
        <v>0</v>
      </c>
      <c r="G636">
        <v>1</v>
      </c>
      <c r="H636">
        <v>3</v>
      </c>
      <c r="I636">
        <v>0</v>
      </c>
      <c r="J636" s="10">
        <v>0.53041259038706934</v>
      </c>
      <c r="K636">
        <v>0</v>
      </c>
      <c r="L636">
        <v>0</v>
      </c>
      <c r="M636">
        <v>1</v>
      </c>
      <c r="N636" s="10">
        <v>0.4635156268511717</v>
      </c>
      <c r="O636" s="11">
        <v>0.6337109398579448</v>
      </c>
      <c r="P636" s="10">
        <v>0.5</v>
      </c>
      <c r="Q636">
        <v>1</v>
      </c>
      <c r="R636">
        <v>1</v>
      </c>
      <c r="S636">
        <v>0</v>
      </c>
      <c r="T636">
        <v>0</v>
      </c>
      <c r="U636">
        <v>1</v>
      </c>
      <c r="V636" s="10">
        <v>0.60281690140845068</v>
      </c>
      <c r="W636" s="5">
        <v>1</v>
      </c>
      <c r="X636" s="5">
        <v>2</v>
      </c>
      <c r="Y636" s="5">
        <v>2</v>
      </c>
      <c r="Z636" s="5">
        <v>5</v>
      </c>
    </row>
    <row r="637" spans="1:26" x14ac:dyDescent="0.35">
      <c r="A637">
        <v>636</v>
      </c>
      <c r="B637" s="10">
        <v>3.9215686274509803E-2</v>
      </c>
      <c r="C637">
        <v>1</v>
      </c>
      <c r="D637">
        <v>1</v>
      </c>
      <c r="E637">
        <v>0</v>
      </c>
      <c r="F637">
        <v>0</v>
      </c>
      <c r="G637">
        <v>0</v>
      </c>
      <c r="H637">
        <v>2</v>
      </c>
      <c r="I637">
        <v>0</v>
      </c>
      <c r="J637" s="10">
        <v>0.14249255635899619</v>
      </c>
      <c r="K637">
        <v>0</v>
      </c>
      <c r="L637">
        <v>0</v>
      </c>
      <c r="M637">
        <v>1</v>
      </c>
      <c r="N637" s="10">
        <v>0.3056417790204487</v>
      </c>
      <c r="O637" s="11">
        <v>0.4192116541580313</v>
      </c>
      <c r="P637" s="10">
        <v>0.5</v>
      </c>
      <c r="Q637">
        <v>2</v>
      </c>
      <c r="R637">
        <v>1</v>
      </c>
      <c r="S637">
        <v>0</v>
      </c>
      <c r="T637">
        <v>1</v>
      </c>
      <c r="U637">
        <v>0</v>
      </c>
      <c r="V637" s="10">
        <v>0.11549295774647887</v>
      </c>
      <c r="W637" s="5">
        <v>2</v>
      </c>
      <c r="X637" s="5">
        <v>2</v>
      </c>
      <c r="Y637" s="5">
        <v>2</v>
      </c>
      <c r="Z637" s="5">
        <v>6</v>
      </c>
    </row>
    <row r="638" spans="1:26" x14ac:dyDescent="0.35">
      <c r="A638">
        <v>637</v>
      </c>
      <c r="B638" s="10">
        <v>0.98039215686274506</v>
      </c>
      <c r="C638">
        <v>1</v>
      </c>
      <c r="D638">
        <v>0</v>
      </c>
      <c r="E638">
        <v>0</v>
      </c>
      <c r="F638">
        <v>0</v>
      </c>
      <c r="G638">
        <v>1</v>
      </c>
      <c r="H638">
        <v>2</v>
      </c>
      <c r="I638">
        <v>0</v>
      </c>
      <c r="J638" s="10">
        <v>0.97958315610378566</v>
      </c>
      <c r="K638">
        <v>0</v>
      </c>
      <c r="L638">
        <v>0</v>
      </c>
      <c r="M638">
        <v>1</v>
      </c>
      <c r="N638" s="10">
        <v>0.47987109921095661</v>
      </c>
      <c r="O638" s="11">
        <v>0.40995794683997672</v>
      </c>
      <c r="P638" s="10">
        <v>0.875</v>
      </c>
      <c r="Q638">
        <v>1</v>
      </c>
      <c r="R638">
        <v>0</v>
      </c>
      <c r="S638">
        <v>0</v>
      </c>
      <c r="T638">
        <v>0</v>
      </c>
      <c r="U638">
        <v>1</v>
      </c>
      <c r="V638" s="10">
        <v>0.20563380281690141</v>
      </c>
      <c r="W638" s="5">
        <v>2</v>
      </c>
      <c r="X638" s="5">
        <v>3</v>
      </c>
      <c r="Y638" s="5">
        <v>3</v>
      </c>
      <c r="Z638" s="5">
        <v>8</v>
      </c>
    </row>
    <row r="639" spans="1:26" x14ac:dyDescent="0.35">
      <c r="A639">
        <v>638</v>
      </c>
      <c r="B639" s="10">
        <v>0.5490196078431373</v>
      </c>
      <c r="C639">
        <v>1</v>
      </c>
      <c r="D639">
        <v>0</v>
      </c>
      <c r="E639">
        <v>1</v>
      </c>
      <c r="F639">
        <v>0</v>
      </c>
      <c r="G639">
        <v>0</v>
      </c>
      <c r="H639">
        <v>2</v>
      </c>
      <c r="I639">
        <v>0</v>
      </c>
      <c r="J639" s="10">
        <v>0.42832837090599751</v>
      </c>
      <c r="K639">
        <v>0</v>
      </c>
      <c r="L639">
        <v>1</v>
      </c>
      <c r="M639">
        <v>0</v>
      </c>
      <c r="N639" s="10">
        <v>5.4744330971731855E-2</v>
      </c>
      <c r="O639" s="11">
        <v>0.19580876878810438</v>
      </c>
      <c r="P639" s="10">
        <v>0.125</v>
      </c>
      <c r="Q639">
        <v>0</v>
      </c>
      <c r="R639">
        <v>0</v>
      </c>
      <c r="S639">
        <v>0</v>
      </c>
      <c r="T639">
        <v>0</v>
      </c>
      <c r="U639">
        <v>0</v>
      </c>
      <c r="V639" s="10">
        <v>0.25070422535211268</v>
      </c>
      <c r="W639" s="5">
        <v>1</v>
      </c>
      <c r="X639" s="5">
        <v>1</v>
      </c>
      <c r="Y639" s="5">
        <v>1</v>
      </c>
      <c r="Z639" s="5">
        <v>3</v>
      </c>
    </row>
    <row r="640" spans="1:26" x14ac:dyDescent="0.35">
      <c r="A640">
        <v>639</v>
      </c>
      <c r="B640" s="10">
        <v>0.27450980392156865</v>
      </c>
      <c r="C640">
        <v>0</v>
      </c>
      <c r="D640">
        <v>0</v>
      </c>
      <c r="E640">
        <v>0</v>
      </c>
      <c r="F640">
        <v>0</v>
      </c>
      <c r="G640">
        <v>1</v>
      </c>
      <c r="H640">
        <v>2</v>
      </c>
      <c r="I640">
        <v>0</v>
      </c>
      <c r="J640" s="10">
        <v>0.59166312207571248</v>
      </c>
      <c r="K640">
        <v>0</v>
      </c>
      <c r="L640">
        <v>1</v>
      </c>
      <c r="M640">
        <v>0</v>
      </c>
      <c r="N640" s="10">
        <v>0.55221785181148253</v>
      </c>
      <c r="O640" s="11">
        <v>0.4713927845630696</v>
      </c>
      <c r="P640" s="10">
        <v>0.875</v>
      </c>
      <c r="Q640">
        <v>1</v>
      </c>
      <c r="R640">
        <v>1</v>
      </c>
      <c r="S640">
        <v>0</v>
      </c>
      <c r="T640">
        <v>1</v>
      </c>
      <c r="U640">
        <v>0</v>
      </c>
      <c r="V640" s="10">
        <v>5.6338028169014088E-3</v>
      </c>
      <c r="W640" s="5">
        <v>3</v>
      </c>
      <c r="X640" s="5">
        <v>3</v>
      </c>
      <c r="Y640" s="5">
        <v>3</v>
      </c>
      <c r="Z640" s="5">
        <v>9</v>
      </c>
    </row>
    <row r="641" spans="1:26" x14ac:dyDescent="0.35">
      <c r="A641">
        <v>640</v>
      </c>
      <c r="B641" s="10">
        <v>0.72549019607843135</v>
      </c>
      <c r="C641">
        <v>1</v>
      </c>
      <c r="D641">
        <v>0</v>
      </c>
      <c r="E641">
        <v>0</v>
      </c>
      <c r="F641">
        <v>1</v>
      </c>
      <c r="G641">
        <v>0</v>
      </c>
      <c r="H641">
        <v>2</v>
      </c>
      <c r="I641">
        <v>0</v>
      </c>
      <c r="J641" s="10">
        <v>0.91833262441514252</v>
      </c>
      <c r="K641">
        <v>0</v>
      </c>
      <c r="L641">
        <v>1</v>
      </c>
      <c r="M641">
        <v>0</v>
      </c>
      <c r="N641" s="10">
        <v>0.71050932398170741</v>
      </c>
      <c r="O641" s="11">
        <v>0.60580947302762633</v>
      </c>
      <c r="P641" s="10">
        <v>0.875</v>
      </c>
      <c r="Q641">
        <v>2</v>
      </c>
      <c r="R641">
        <v>1</v>
      </c>
      <c r="S641">
        <v>1</v>
      </c>
      <c r="T641">
        <v>0</v>
      </c>
      <c r="U641">
        <v>1</v>
      </c>
      <c r="V641" s="10">
        <v>3.3802816901408447E-2</v>
      </c>
      <c r="W641" s="5">
        <v>3</v>
      </c>
      <c r="X641" s="5">
        <v>3</v>
      </c>
      <c r="Y641" s="5">
        <v>3</v>
      </c>
      <c r="Z641" s="5">
        <v>9</v>
      </c>
    </row>
    <row r="642" spans="1:26" x14ac:dyDescent="0.35">
      <c r="A642">
        <v>641</v>
      </c>
      <c r="B642" s="10">
        <v>0.52941176470588236</v>
      </c>
      <c r="C642">
        <v>1</v>
      </c>
      <c r="D642">
        <v>1</v>
      </c>
      <c r="E642">
        <v>0</v>
      </c>
      <c r="F642">
        <v>0</v>
      </c>
      <c r="G642">
        <v>0</v>
      </c>
      <c r="H642">
        <v>2</v>
      </c>
      <c r="I642">
        <v>1</v>
      </c>
      <c r="J642" s="10">
        <v>0.14249255635899619</v>
      </c>
      <c r="K642">
        <v>0</v>
      </c>
      <c r="L642">
        <v>0</v>
      </c>
      <c r="M642">
        <v>1</v>
      </c>
      <c r="N642" s="10">
        <v>0.50582008388029287</v>
      </c>
      <c r="O642" s="11">
        <v>0.38399386529127572</v>
      </c>
      <c r="P642" s="10">
        <v>1</v>
      </c>
      <c r="Q642">
        <v>2</v>
      </c>
      <c r="R642">
        <v>1</v>
      </c>
      <c r="S642">
        <v>1</v>
      </c>
      <c r="T642">
        <v>1</v>
      </c>
      <c r="U642">
        <v>0</v>
      </c>
      <c r="V642" s="10">
        <v>9.5774647887323941E-2</v>
      </c>
      <c r="W642" s="5">
        <v>2</v>
      </c>
      <c r="X642" s="5">
        <v>3</v>
      </c>
      <c r="Y642" s="5">
        <v>3</v>
      </c>
      <c r="Z642" s="5">
        <v>8</v>
      </c>
    </row>
    <row r="643" spans="1:26" x14ac:dyDescent="0.35">
      <c r="A643">
        <v>642</v>
      </c>
      <c r="B643" s="10">
        <v>0.70588235294117652</v>
      </c>
      <c r="C643">
        <v>1</v>
      </c>
      <c r="D643">
        <v>0</v>
      </c>
      <c r="E643">
        <v>1</v>
      </c>
      <c r="F643">
        <v>0</v>
      </c>
      <c r="G643">
        <v>0</v>
      </c>
      <c r="H643">
        <v>1</v>
      </c>
      <c r="I643">
        <v>0</v>
      </c>
      <c r="J643" s="10">
        <v>0.1220757124627818</v>
      </c>
      <c r="K643">
        <v>0</v>
      </c>
      <c r="L643">
        <v>0</v>
      </c>
      <c r="M643">
        <v>1</v>
      </c>
      <c r="N643" s="10">
        <v>0.46725943653294782</v>
      </c>
      <c r="O643" s="11">
        <v>0.53233130109928439</v>
      </c>
      <c r="P643" s="10">
        <v>0.625</v>
      </c>
      <c r="Q643">
        <v>1</v>
      </c>
      <c r="R643">
        <v>1</v>
      </c>
      <c r="S643">
        <v>1</v>
      </c>
      <c r="T643">
        <v>0</v>
      </c>
      <c r="U643">
        <v>0</v>
      </c>
      <c r="V643" s="10">
        <v>0.49014084507042255</v>
      </c>
      <c r="W643" s="5">
        <v>1</v>
      </c>
      <c r="X643" s="5">
        <v>2</v>
      </c>
      <c r="Y643" s="5">
        <v>3</v>
      </c>
      <c r="Z643" s="5">
        <v>6</v>
      </c>
    </row>
    <row r="644" spans="1:26" x14ac:dyDescent="0.35">
      <c r="A644">
        <v>643</v>
      </c>
      <c r="B644" s="10">
        <v>0.60784313725490191</v>
      </c>
      <c r="C644">
        <v>1</v>
      </c>
      <c r="D644">
        <v>0</v>
      </c>
      <c r="E644">
        <v>1</v>
      </c>
      <c r="F644">
        <v>0</v>
      </c>
      <c r="G644">
        <v>0</v>
      </c>
      <c r="H644">
        <v>3</v>
      </c>
      <c r="I644">
        <v>1</v>
      </c>
      <c r="J644" s="10">
        <v>0.55082943428328379</v>
      </c>
      <c r="K644">
        <v>0</v>
      </c>
      <c r="L644">
        <v>0</v>
      </c>
      <c r="M644">
        <v>1</v>
      </c>
      <c r="N644" s="10">
        <v>0.31118048479965882</v>
      </c>
      <c r="O644" s="11">
        <v>0.30481211176999828</v>
      </c>
      <c r="P644" s="10">
        <v>0.75</v>
      </c>
      <c r="Q644">
        <v>0</v>
      </c>
      <c r="R644">
        <v>0</v>
      </c>
      <c r="S644">
        <v>0</v>
      </c>
      <c r="T644">
        <v>0</v>
      </c>
      <c r="U644">
        <v>0</v>
      </c>
      <c r="V644" s="10">
        <v>8.4507042253521118E-3</v>
      </c>
      <c r="W644" s="5">
        <v>3</v>
      </c>
      <c r="X644" s="5">
        <v>2</v>
      </c>
      <c r="Y644" s="5">
        <v>2</v>
      </c>
      <c r="Z644" s="5">
        <v>7</v>
      </c>
    </row>
    <row r="645" spans="1:26" x14ac:dyDescent="0.35">
      <c r="A645">
        <v>644</v>
      </c>
      <c r="B645" s="10">
        <v>0.56862745098039214</v>
      </c>
      <c r="C645">
        <v>1</v>
      </c>
      <c r="D645">
        <v>0</v>
      </c>
      <c r="E645">
        <v>0</v>
      </c>
      <c r="F645">
        <v>1</v>
      </c>
      <c r="G645">
        <v>0</v>
      </c>
      <c r="H645">
        <v>1</v>
      </c>
      <c r="I645">
        <v>1</v>
      </c>
      <c r="J645" s="10">
        <v>0.87749893662271372</v>
      </c>
      <c r="K645">
        <v>1</v>
      </c>
      <c r="L645">
        <v>0</v>
      </c>
      <c r="M645">
        <v>0</v>
      </c>
      <c r="N645" s="10">
        <v>7.589804042366656E-2</v>
      </c>
      <c r="O645" s="11">
        <v>0.26766132115334312</v>
      </c>
      <c r="P645" s="10">
        <v>0.125</v>
      </c>
      <c r="Q645">
        <v>1</v>
      </c>
      <c r="R645">
        <v>0</v>
      </c>
      <c r="S645">
        <v>0</v>
      </c>
      <c r="T645">
        <v>0</v>
      </c>
      <c r="U645">
        <v>1</v>
      </c>
      <c r="V645" s="10">
        <v>0.15774647887323945</v>
      </c>
      <c r="W645" s="5">
        <v>2</v>
      </c>
      <c r="X645" s="5">
        <v>1</v>
      </c>
      <c r="Y645" s="5">
        <v>1</v>
      </c>
      <c r="Z645" s="5">
        <v>4</v>
      </c>
    </row>
    <row r="646" spans="1:26" x14ac:dyDescent="0.35">
      <c r="A646">
        <v>645</v>
      </c>
      <c r="B646" s="10">
        <v>0.98039215686274506</v>
      </c>
      <c r="C646">
        <v>1</v>
      </c>
      <c r="D646">
        <v>0</v>
      </c>
      <c r="E646">
        <v>0</v>
      </c>
      <c r="F646">
        <v>0</v>
      </c>
      <c r="G646">
        <v>1</v>
      </c>
      <c r="H646">
        <v>2</v>
      </c>
      <c r="I646">
        <v>0</v>
      </c>
      <c r="J646" s="10">
        <v>0.93874946831135686</v>
      </c>
      <c r="K646">
        <v>0</v>
      </c>
      <c r="L646">
        <v>1</v>
      </c>
      <c r="M646">
        <v>0</v>
      </c>
      <c r="N646" s="10">
        <v>9.4412719474918833E-2</v>
      </c>
      <c r="O646" s="11">
        <v>0.66109982092195019</v>
      </c>
      <c r="P646" s="10">
        <v>0</v>
      </c>
      <c r="Q646">
        <v>2</v>
      </c>
      <c r="R646">
        <v>1</v>
      </c>
      <c r="S646">
        <v>0</v>
      </c>
      <c r="T646">
        <v>0</v>
      </c>
      <c r="U646">
        <v>1</v>
      </c>
      <c r="V646" s="10">
        <v>0.42816901408450703</v>
      </c>
      <c r="W646" s="5">
        <v>1</v>
      </c>
      <c r="X646" s="5">
        <v>1</v>
      </c>
      <c r="Y646" s="5">
        <v>1</v>
      </c>
      <c r="Z646" s="5">
        <v>3</v>
      </c>
    </row>
    <row r="647" spans="1:26" x14ac:dyDescent="0.35">
      <c r="A647">
        <v>646</v>
      </c>
      <c r="B647" s="10">
        <v>0.90196078431372551</v>
      </c>
      <c r="C647">
        <v>1</v>
      </c>
      <c r="D647">
        <v>0</v>
      </c>
      <c r="E647">
        <v>1</v>
      </c>
      <c r="F647">
        <v>0</v>
      </c>
      <c r="G647">
        <v>0</v>
      </c>
      <c r="H647">
        <v>2</v>
      </c>
      <c r="I647">
        <v>1</v>
      </c>
      <c r="J647" s="10">
        <v>0.34666099532113998</v>
      </c>
      <c r="K647">
        <v>0</v>
      </c>
      <c r="L647">
        <v>1</v>
      </c>
      <c r="M647">
        <v>0</v>
      </c>
      <c r="N647" s="10">
        <v>4.5580290500675302E-2</v>
      </c>
      <c r="O647" s="11">
        <v>0.32936276383830659</v>
      </c>
      <c r="P647" s="10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 s="10">
        <v>0.6704225352112676</v>
      </c>
      <c r="W647" s="5">
        <v>1</v>
      </c>
      <c r="X647" s="5">
        <v>1</v>
      </c>
      <c r="Y647" s="5">
        <v>1</v>
      </c>
      <c r="Z647" s="5">
        <v>3</v>
      </c>
    </row>
    <row r="648" spans="1:26" x14ac:dyDescent="0.35">
      <c r="A648">
        <v>647</v>
      </c>
      <c r="B648" s="10">
        <v>0.56862745098039214</v>
      </c>
      <c r="C648">
        <v>1</v>
      </c>
      <c r="D648">
        <v>0</v>
      </c>
      <c r="E648">
        <v>0</v>
      </c>
      <c r="F648">
        <v>0</v>
      </c>
      <c r="G648">
        <v>1</v>
      </c>
      <c r="H648">
        <v>2</v>
      </c>
      <c r="I648">
        <v>0</v>
      </c>
      <c r="J648" s="10">
        <v>0.48957890259464065</v>
      </c>
      <c r="K648">
        <v>1</v>
      </c>
      <c r="L648">
        <v>0</v>
      </c>
      <c r="M648">
        <v>0</v>
      </c>
      <c r="N648" s="10">
        <v>7.8785868303201192E-4</v>
      </c>
      <c r="O648" s="11">
        <v>2.5070926980422143E-2</v>
      </c>
      <c r="P648" s="10">
        <v>0</v>
      </c>
      <c r="Q648">
        <v>2</v>
      </c>
      <c r="R648">
        <v>1</v>
      </c>
      <c r="S648">
        <v>1</v>
      </c>
      <c r="T648">
        <v>0</v>
      </c>
      <c r="U648">
        <v>1</v>
      </c>
      <c r="V648" s="10">
        <v>0.9943661971830986</v>
      </c>
      <c r="W648" s="5">
        <v>1</v>
      </c>
      <c r="X648" s="5">
        <v>1</v>
      </c>
      <c r="Y648" s="5">
        <v>1</v>
      </c>
      <c r="Z648" s="5">
        <v>3</v>
      </c>
    </row>
    <row r="649" spans="1:26" x14ac:dyDescent="0.35">
      <c r="A649">
        <v>648</v>
      </c>
      <c r="B649" s="10">
        <v>0.98039215686274506</v>
      </c>
      <c r="C649">
        <v>1</v>
      </c>
      <c r="D649">
        <v>0</v>
      </c>
      <c r="E649">
        <v>1</v>
      </c>
      <c r="F649">
        <v>0</v>
      </c>
      <c r="G649">
        <v>0</v>
      </c>
      <c r="H649">
        <v>1</v>
      </c>
      <c r="I649">
        <v>0</v>
      </c>
      <c r="J649" s="10">
        <v>0.57124627817949813</v>
      </c>
      <c r="K649">
        <v>0</v>
      </c>
      <c r="L649">
        <v>1</v>
      </c>
      <c r="M649">
        <v>0</v>
      </c>
      <c r="N649" s="10">
        <v>0.30162843873658274</v>
      </c>
      <c r="O649" s="11">
        <v>0.68959804690905924</v>
      </c>
      <c r="P649" s="10">
        <v>0.25</v>
      </c>
      <c r="Q649">
        <v>1</v>
      </c>
      <c r="R649">
        <v>0</v>
      </c>
      <c r="S649">
        <v>0</v>
      </c>
      <c r="T649">
        <v>0</v>
      </c>
      <c r="U649">
        <v>1</v>
      </c>
      <c r="V649" s="10">
        <v>0.50704225352112675</v>
      </c>
      <c r="W649" s="5">
        <v>1</v>
      </c>
      <c r="X649" s="5">
        <v>2</v>
      </c>
      <c r="Y649" s="5">
        <v>2</v>
      </c>
      <c r="Z649" s="5">
        <v>5</v>
      </c>
    </row>
    <row r="650" spans="1:26" x14ac:dyDescent="0.35">
      <c r="A650">
        <v>649</v>
      </c>
      <c r="B650" s="10">
        <v>0.6470588235294118</v>
      </c>
      <c r="C650">
        <v>1</v>
      </c>
      <c r="D650">
        <v>0</v>
      </c>
      <c r="E650">
        <v>0</v>
      </c>
      <c r="F650">
        <v>1</v>
      </c>
      <c r="G650">
        <v>0</v>
      </c>
      <c r="H650">
        <v>2</v>
      </c>
      <c r="I650">
        <v>0</v>
      </c>
      <c r="J650" s="10">
        <v>0.53041259038706934</v>
      </c>
      <c r="K650">
        <v>0</v>
      </c>
      <c r="L650">
        <v>1</v>
      </c>
      <c r="M650">
        <v>0</v>
      </c>
      <c r="N650" s="10">
        <v>0.22207248299883892</v>
      </c>
      <c r="O650" s="11">
        <v>0.38208515261876491</v>
      </c>
      <c r="P650" s="10">
        <v>0.375</v>
      </c>
      <c r="Q650">
        <v>1</v>
      </c>
      <c r="R650">
        <v>1</v>
      </c>
      <c r="S650">
        <v>0</v>
      </c>
      <c r="T650">
        <v>1</v>
      </c>
      <c r="U650">
        <v>0</v>
      </c>
      <c r="V650" s="10">
        <v>0.14084507042253522</v>
      </c>
      <c r="W650" s="5">
        <v>2</v>
      </c>
      <c r="X650" s="5">
        <v>2</v>
      </c>
      <c r="Y650" s="5">
        <v>1</v>
      </c>
      <c r="Z650" s="5">
        <v>5</v>
      </c>
    </row>
    <row r="651" spans="1:26" x14ac:dyDescent="0.35">
      <c r="A651">
        <v>650</v>
      </c>
      <c r="B651" s="10">
        <v>0.23529411764705882</v>
      </c>
      <c r="C651">
        <v>1</v>
      </c>
      <c r="D651">
        <v>0</v>
      </c>
      <c r="E651">
        <v>1</v>
      </c>
      <c r="F651">
        <v>0</v>
      </c>
      <c r="G651">
        <v>0</v>
      </c>
      <c r="H651">
        <v>1</v>
      </c>
      <c r="I651">
        <v>1</v>
      </c>
      <c r="J651" s="10">
        <v>0.7754147171416419</v>
      </c>
      <c r="K651">
        <v>0</v>
      </c>
      <c r="L651">
        <v>0</v>
      </c>
      <c r="M651">
        <v>1</v>
      </c>
      <c r="N651" s="10">
        <v>0.14509335829206454</v>
      </c>
      <c r="O651" s="11">
        <v>0.5026962313125013</v>
      </c>
      <c r="P651" s="10">
        <v>0.125</v>
      </c>
      <c r="Q651">
        <v>1</v>
      </c>
      <c r="R651">
        <v>0</v>
      </c>
      <c r="S651">
        <v>1</v>
      </c>
      <c r="T651">
        <v>0</v>
      </c>
      <c r="U651">
        <v>0</v>
      </c>
      <c r="V651" s="10">
        <v>5.6338028169014088E-3</v>
      </c>
      <c r="W651" s="5">
        <v>3</v>
      </c>
      <c r="X651" s="5">
        <v>1</v>
      </c>
      <c r="Y651" s="5">
        <v>1</v>
      </c>
      <c r="Z651" s="5">
        <v>5</v>
      </c>
    </row>
    <row r="652" spans="1:26" x14ac:dyDescent="0.35">
      <c r="A652">
        <v>651</v>
      </c>
      <c r="B652" s="10">
        <v>0.62745098039215685</v>
      </c>
      <c r="C652">
        <v>1</v>
      </c>
      <c r="D652">
        <v>0</v>
      </c>
      <c r="E652">
        <v>1</v>
      </c>
      <c r="F652">
        <v>0</v>
      </c>
      <c r="G652">
        <v>0</v>
      </c>
      <c r="H652">
        <v>3</v>
      </c>
      <c r="I652">
        <v>0</v>
      </c>
      <c r="J652" s="10">
        <v>0.53041259038706934</v>
      </c>
      <c r="K652">
        <v>0</v>
      </c>
      <c r="L652">
        <v>0</v>
      </c>
      <c r="M652">
        <v>1</v>
      </c>
      <c r="N652" s="10">
        <v>0.43161031206312345</v>
      </c>
      <c r="O652" s="11">
        <v>0.42168712793876278</v>
      </c>
      <c r="P652" s="10">
        <v>0.75</v>
      </c>
      <c r="Q652">
        <v>0</v>
      </c>
      <c r="R652">
        <v>0</v>
      </c>
      <c r="S652">
        <v>0</v>
      </c>
      <c r="T652">
        <v>0</v>
      </c>
      <c r="U652">
        <v>0</v>
      </c>
      <c r="V652" s="10">
        <v>6.1971830985915494E-2</v>
      </c>
      <c r="W652" s="5">
        <v>3</v>
      </c>
      <c r="X652" s="5">
        <v>2</v>
      </c>
      <c r="Y652" s="5">
        <v>2</v>
      </c>
      <c r="Z652" s="5">
        <v>7</v>
      </c>
    </row>
    <row r="653" spans="1:26" x14ac:dyDescent="0.35">
      <c r="A653">
        <v>652</v>
      </c>
      <c r="B653" s="10">
        <v>0.80392156862745101</v>
      </c>
      <c r="C653">
        <v>0</v>
      </c>
      <c r="D653">
        <v>1</v>
      </c>
      <c r="E653">
        <v>0</v>
      </c>
      <c r="F653">
        <v>0</v>
      </c>
      <c r="G653">
        <v>0</v>
      </c>
      <c r="H653">
        <v>1</v>
      </c>
      <c r="I653">
        <v>0</v>
      </c>
      <c r="J653" s="10">
        <v>0.81624840493407058</v>
      </c>
      <c r="K653">
        <v>0</v>
      </c>
      <c r="L653">
        <v>1</v>
      </c>
      <c r="M653">
        <v>0</v>
      </c>
      <c r="N653" s="10">
        <v>0.36610549013103327</v>
      </c>
      <c r="O653" s="11">
        <v>0.501362200446689</v>
      </c>
      <c r="P653" s="10">
        <v>0.5</v>
      </c>
      <c r="Q653">
        <v>2</v>
      </c>
      <c r="R653">
        <v>1</v>
      </c>
      <c r="S653">
        <v>1</v>
      </c>
      <c r="T653">
        <v>0</v>
      </c>
      <c r="U653">
        <v>1</v>
      </c>
      <c r="V653" s="10">
        <v>0.22253521126760564</v>
      </c>
      <c r="W653" s="5">
        <v>2</v>
      </c>
      <c r="X653" s="5">
        <v>2</v>
      </c>
      <c r="Y653" s="5">
        <v>2</v>
      </c>
      <c r="Z653" s="5">
        <v>6</v>
      </c>
    </row>
    <row r="654" spans="1:26" x14ac:dyDescent="0.35">
      <c r="A654">
        <v>653</v>
      </c>
      <c r="B654" s="10">
        <v>0.31372549019607843</v>
      </c>
      <c r="C654">
        <v>0</v>
      </c>
      <c r="D654">
        <v>0</v>
      </c>
      <c r="E654">
        <v>1</v>
      </c>
      <c r="F654">
        <v>0</v>
      </c>
      <c r="G654">
        <v>0</v>
      </c>
      <c r="H654">
        <v>1</v>
      </c>
      <c r="I654">
        <v>0</v>
      </c>
      <c r="J654" s="10">
        <v>1.9991492981709911E-2</v>
      </c>
      <c r="K654">
        <v>1</v>
      </c>
      <c r="L654">
        <v>0</v>
      </c>
      <c r="M654">
        <v>0</v>
      </c>
      <c r="N654" s="10">
        <v>0.1132532047484776</v>
      </c>
      <c r="O654" s="11">
        <v>0.78909032374896881</v>
      </c>
      <c r="P654" s="10">
        <v>0</v>
      </c>
      <c r="Q654">
        <v>1</v>
      </c>
      <c r="R654">
        <v>0</v>
      </c>
      <c r="S654">
        <v>0</v>
      </c>
      <c r="T654">
        <v>0</v>
      </c>
      <c r="U654">
        <v>1</v>
      </c>
      <c r="V654" s="10">
        <v>0.3436619718309859</v>
      </c>
      <c r="W654" s="5">
        <v>1</v>
      </c>
      <c r="X654" s="5">
        <v>1</v>
      </c>
      <c r="Y654" s="5">
        <v>1</v>
      </c>
      <c r="Z654" s="5">
        <v>3</v>
      </c>
    </row>
    <row r="655" spans="1:26" x14ac:dyDescent="0.35">
      <c r="A655">
        <v>654</v>
      </c>
      <c r="B655" s="10">
        <v>3.9215686274509803E-2</v>
      </c>
      <c r="C655">
        <v>1</v>
      </c>
      <c r="D655">
        <v>0</v>
      </c>
      <c r="E655">
        <v>0</v>
      </c>
      <c r="F655">
        <v>1</v>
      </c>
      <c r="G655">
        <v>0</v>
      </c>
      <c r="H655">
        <v>3</v>
      </c>
      <c r="I655">
        <v>0</v>
      </c>
      <c r="J655" s="10">
        <v>0.38749468311356872</v>
      </c>
      <c r="K655">
        <v>1</v>
      </c>
      <c r="L655">
        <v>0</v>
      </c>
      <c r="M655">
        <v>0</v>
      </c>
      <c r="N655" s="10">
        <v>0.42276911593962507</v>
      </c>
      <c r="O655" s="11">
        <v>0.32130536943511046</v>
      </c>
      <c r="P655" s="10">
        <v>1</v>
      </c>
      <c r="Q655">
        <v>1</v>
      </c>
      <c r="R655">
        <v>0</v>
      </c>
      <c r="S655">
        <v>0</v>
      </c>
      <c r="T655">
        <v>1</v>
      </c>
      <c r="U655">
        <v>0</v>
      </c>
      <c r="V655" s="10">
        <v>0.17464788732394365</v>
      </c>
      <c r="W655" s="5">
        <v>2</v>
      </c>
      <c r="X655" s="5">
        <v>3</v>
      </c>
      <c r="Y655" s="5">
        <v>2</v>
      </c>
      <c r="Z655" s="5">
        <v>7</v>
      </c>
    </row>
    <row r="656" spans="1:26" x14ac:dyDescent="0.35">
      <c r="A656">
        <v>655</v>
      </c>
      <c r="B656" s="10">
        <v>0.15686274509803921</v>
      </c>
      <c r="C656">
        <v>0</v>
      </c>
      <c r="D656">
        <v>0</v>
      </c>
      <c r="E656">
        <v>1</v>
      </c>
      <c r="F656">
        <v>0</v>
      </c>
      <c r="G656">
        <v>0</v>
      </c>
      <c r="H656">
        <v>2</v>
      </c>
      <c r="I656">
        <v>0</v>
      </c>
      <c r="J656" s="10">
        <v>0.53041259038706934</v>
      </c>
      <c r="K656">
        <v>1</v>
      </c>
      <c r="L656">
        <v>0</v>
      </c>
      <c r="M656">
        <v>0</v>
      </c>
      <c r="N656" s="10">
        <v>0.61827654432149359</v>
      </c>
      <c r="O656" s="11">
        <v>0.46887820233360383</v>
      </c>
      <c r="P656" s="10">
        <v>1</v>
      </c>
      <c r="Q656">
        <v>2</v>
      </c>
      <c r="R656">
        <v>1</v>
      </c>
      <c r="S656">
        <v>1</v>
      </c>
      <c r="T656">
        <v>1</v>
      </c>
      <c r="U656">
        <v>0</v>
      </c>
      <c r="V656" s="10">
        <v>0.41126760563380282</v>
      </c>
      <c r="W656" s="5">
        <v>1</v>
      </c>
      <c r="X656" s="5">
        <v>3</v>
      </c>
      <c r="Y656" s="5">
        <v>3</v>
      </c>
      <c r="Z656" s="5">
        <v>7</v>
      </c>
    </row>
    <row r="657" spans="1:26" x14ac:dyDescent="0.35">
      <c r="A657">
        <v>656</v>
      </c>
      <c r="B657" s="10">
        <v>1</v>
      </c>
      <c r="C657">
        <v>0</v>
      </c>
      <c r="D657">
        <v>0</v>
      </c>
      <c r="E657">
        <v>0</v>
      </c>
      <c r="F657">
        <v>1</v>
      </c>
      <c r="G657">
        <v>0</v>
      </c>
      <c r="H657">
        <v>1</v>
      </c>
      <c r="I657">
        <v>0</v>
      </c>
      <c r="J657" s="10">
        <v>0.71416418545299876</v>
      </c>
      <c r="K657">
        <v>1</v>
      </c>
      <c r="L657">
        <v>0</v>
      </c>
      <c r="M657">
        <v>0</v>
      </c>
      <c r="N657" s="10">
        <v>0.46137715328294193</v>
      </c>
      <c r="O657" s="11">
        <v>0.45057532057270483</v>
      </c>
      <c r="P657" s="10">
        <v>0.75</v>
      </c>
      <c r="Q657">
        <v>0</v>
      </c>
      <c r="R657">
        <v>0</v>
      </c>
      <c r="S657">
        <v>0</v>
      </c>
      <c r="T657">
        <v>0</v>
      </c>
      <c r="U657">
        <v>0</v>
      </c>
      <c r="V657" s="10">
        <v>0.12676056338028169</v>
      </c>
      <c r="W657" s="5">
        <v>2</v>
      </c>
      <c r="X657" s="5">
        <v>2</v>
      </c>
      <c r="Y657" s="5">
        <v>2</v>
      </c>
      <c r="Z657" s="5">
        <v>6</v>
      </c>
    </row>
    <row r="658" spans="1:26" x14ac:dyDescent="0.35">
      <c r="A658">
        <v>657</v>
      </c>
      <c r="B658" s="10">
        <v>0.19607843137254902</v>
      </c>
      <c r="C658">
        <v>0</v>
      </c>
      <c r="D658">
        <v>0</v>
      </c>
      <c r="E658">
        <v>0</v>
      </c>
      <c r="F658">
        <v>0</v>
      </c>
      <c r="G658">
        <v>1</v>
      </c>
      <c r="H658">
        <v>3</v>
      </c>
      <c r="I658">
        <v>1</v>
      </c>
      <c r="J658" s="10">
        <v>0.32624415142492558</v>
      </c>
      <c r="K658">
        <v>0</v>
      </c>
      <c r="L658">
        <v>0</v>
      </c>
      <c r="M658">
        <v>1</v>
      </c>
      <c r="N658" s="10">
        <v>0.33335900291448478</v>
      </c>
      <c r="O658" s="11">
        <v>0.45687035956457883</v>
      </c>
      <c r="P658" s="10">
        <v>0.5</v>
      </c>
      <c r="Q658">
        <v>1</v>
      </c>
      <c r="R658">
        <v>0</v>
      </c>
      <c r="S658">
        <v>0</v>
      </c>
      <c r="T658">
        <v>0</v>
      </c>
      <c r="U658">
        <v>1</v>
      </c>
      <c r="V658" s="10">
        <v>0.3295774647887324</v>
      </c>
      <c r="W658" s="5">
        <v>1</v>
      </c>
      <c r="X658" s="5">
        <v>2</v>
      </c>
      <c r="Y658" s="5">
        <v>2</v>
      </c>
      <c r="Z658" s="5">
        <v>5</v>
      </c>
    </row>
    <row r="659" spans="1:26" x14ac:dyDescent="0.35">
      <c r="A659">
        <v>658</v>
      </c>
      <c r="B659" s="10">
        <v>0.94117647058823528</v>
      </c>
      <c r="C659">
        <v>1</v>
      </c>
      <c r="D659">
        <v>0</v>
      </c>
      <c r="E659">
        <v>0</v>
      </c>
      <c r="F659">
        <v>1</v>
      </c>
      <c r="G659">
        <v>0</v>
      </c>
      <c r="H659">
        <v>1</v>
      </c>
      <c r="I659">
        <v>1</v>
      </c>
      <c r="J659" s="10">
        <v>0.26499361973628244</v>
      </c>
      <c r="K659">
        <v>1</v>
      </c>
      <c r="L659">
        <v>0</v>
      </c>
      <c r="M659">
        <v>0</v>
      </c>
      <c r="N659" s="10">
        <v>0.3326155723526763</v>
      </c>
      <c r="O659" s="11">
        <v>0.37988356573237553</v>
      </c>
      <c r="P659" s="10">
        <v>0.625</v>
      </c>
      <c r="Q659">
        <v>1</v>
      </c>
      <c r="R659">
        <v>1</v>
      </c>
      <c r="S659">
        <v>0</v>
      </c>
      <c r="T659">
        <v>0</v>
      </c>
      <c r="U659">
        <v>1</v>
      </c>
      <c r="V659" s="10">
        <v>0.30422535211267604</v>
      </c>
      <c r="W659" s="5">
        <v>1</v>
      </c>
      <c r="X659" s="5">
        <v>2</v>
      </c>
      <c r="Y659" s="5">
        <v>2</v>
      </c>
      <c r="Z659" s="5">
        <v>5</v>
      </c>
    </row>
    <row r="660" spans="1:26" x14ac:dyDescent="0.35">
      <c r="A660">
        <v>659</v>
      </c>
      <c r="B660" s="10">
        <v>0.50980392156862742</v>
      </c>
      <c r="C660">
        <v>0</v>
      </c>
      <c r="D660">
        <v>0</v>
      </c>
      <c r="E660">
        <v>0</v>
      </c>
      <c r="F660">
        <v>0</v>
      </c>
      <c r="G660">
        <v>1</v>
      </c>
      <c r="H660">
        <v>1</v>
      </c>
      <c r="I660">
        <v>0</v>
      </c>
      <c r="J660" s="10">
        <v>0.2037430880476393</v>
      </c>
      <c r="K660">
        <v>0</v>
      </c>
      <c r="L660">
        <v>1</v>
      </c>
      <c r="M660">
        <v>0</v>
      </c>
      <c r="N660" s="10">
        <v>0.48822358600099519</v>
      </c>
      <c r="O660" s="11">
        <v>0.55606752650958768</v>
      </c>
      <c r="P660" s="10">
        <v>0.625</v>
      </c>
      <c r="Q660">
        <v>2</v>
      </c>
      <c r="R660">
        <v>1</v>
      </c>
      <c r="S660">
        <v>1</v>
      </c>
      <c r="T660">
        <v>0</v>
      </c>
      <c r="U660">
        <v>1</v>
      </c>
      <c r="V660" s="10">
        <v>8.7323943661971826E-2</v>
      </c>
      <c r="W660" s="5">
        <v>2</v>
      </c>
      <c r="X660" s="5">
        <v>2</v>
      </c>
      <c r="Y660" s="5">
        <v>3</v>
      </c>
      <c r="Z660" s="5">
        <v>7</v>
      </c>
    </row>
    <row r="661" spans="1:26" x14ac:dyDescent="0.35">
      <c r="A661">
        <v>660</v>
      </c>
      <c r="B661" s="10">
        <v>0.52941176470588236</v>
      </c>
      <c r="C661">
        <v>0</v>
      </c>
      <c r="D661">
        <v>0</v>
      </c>
      <c r="E661">
        <v>1</v>
      </c>
      <c r="F661">
        <v>0</v>
      </c>
      <c r="G661">
        <v>0</v>
      </c>
      <c r="H661">
        <v>3</v>
      </c>
      <c r="I661">
        <v>0</v>
      </c>
      <c r="J661" s="10">
        <v>0.16290940025521056</v>
      </c>
      <c r="K661">
        <v>1</v>
      </c>
      <c r="L661">
        <v>0</v>
      </c>
      <c r="M661">
        <v>0</v>
      </c>
      <c r="N661" s="10">
        <v>0.78977205411937534</v>
      </c>
      <c r="O661" s="11">
        <v>0.67311716533531862</v>
      </c>
      <c r="P661" s="10">
        <v>0.875</v>
      </c>
      <c r="Q661">
        <v>2</v>
      </c>
      <c r="R661">
        <v>1</v>
      </c>
      <c r="S661">
        <v>1</v>
      </c>
      <c r="T661">
        <v>0</v>
      </c>
      <c r="U661">
        <v>1</v>
      </c>
      <c r="V661" s="10">
        <v>0.20563380281690141</v>
      </c>
      <c r="W661" s="5">
        <v>2</v>
      </c>
      <c r="X661" s="5">
        <v>3</v>
      </c>
      <c r="Y661" s="5">
        <v>3</v>
      </c>
      <c r="Z661" s="5">
        <v>8</v>
      </c>
    </row>
    <row r="662" spans="1:26" x14ac:dyDescent="0.35">
      <c r="A662">
        <v>661</v>
      </c>
      <c r="B662" s="10">
        <v>1.9607843137254902E-2</v>
      </c>
      <c r="C662">
        <v>1</v>
      </c>
      <c r="D662">
        <v>0</v>
      </c>
      <c r="E662">
        <v>0</v>
      </c>
      <c r="F662">
        <v>1</v>
      </c>
      <c r="G662">
        <v>0</v>
      </c>
      <c r="H662">
        <v>1</v>
      </c>
      <c r="I662">
        <v>0</v>
      </c>
      <c r="J662" s="10">
        <v>0.55082943428328379</v>
      </c>
      <c r="K662">
        <v>1</v>
      </c>
      <c r="L662">
        <v>0</v>
      </c>
      <c r="M662">
        <v>0</v>
      </c>
      <c r="N662" s="10">
        <v>0.46498175485155085</v>
      </c>
      <c r="O662" s="11">
        <v>0.39731433228032759</v>
      </c>
      <c r="P662" s="10">
        <v>0.875</v>
      </c>
      <c r="Q662">
        <v>0</v>
      </c>
      <c r="R662">
        <v>0</v>
      </c>
      <c r="S662">
        <v>0</v>
      </c>
      <c r="T662">
        <v>0</v>
      </c>
      <c r="U662">
        <v>0</v>
      </c>
      <c r="V662" s="10">
        <v>2.2535211267605635E-2</v>
      </c>
      <c r="W662" s="5">
        <v>3</v>
      </c>
      <c r="X662" s="5">
        <v>3</v>
      </c>
      <c r="Y662" s="5">
        <v>3</v>
      </c>
      <c r="Z662" s="5">
        <v>9</v>
      </c>
    </row>
    <row r="663" spans="1:26" x14ac:dyDescent="0.35">
      <c r="A663">
        <v>662</v>
      </c>
      <c r="B663" s="10">
        <v>0</v>
      </c>
      <c r="C663">
        <v>0</v>
      </c>
      <c r="D663">
        <v>1</v>
      </c>
      <c r="E663">
        <v>0</v>
      </c>
      <c r="F663">
        <v>0</v>
      </c>
      <c r="G663">
        <v>0</v>
      </c>
      <c r="H663">
        <v>3</v>
      </c>
      <c r="I663">
        <v>0</v>
      </c>
      <c r="J663" s="10">
        <v>0.53041259038706934</v>
      </c>
      <c r="K663">
        <v>1</v>
      </c>
      <c r="L663">
        <v>0</v>
      </c>
      <c r="M663">
        <v>0</v>
      </c>
      <c r="N663" s="10">
        <v>0.22172890552804306</v>
      </c>
      <c r="O663" s="11">
        <v>0.38150163987202967</v>
      </c>
      <c r="P663" s="10">
        <v>0.375</v>
      </c>
      <c r="Q663">
        <v>0</v>
      </c>
      <c r="R663">
        <v>0</v>
      </c>
      <c r="S663">
        <v>0</v>
      </c>
      <c r="T663">
        <v>0</v>
      </c>
      <c r="U663">
        <v>0</v>
      </c>
      <c r="V663" s="10">
        <v>0.48169014084507045</v>
      </c>
      <c r="W663" s="5">
        <v>1</v>
      </c>
      <c r="X663" s="5">
        <v>2</v>
      </c>
      <c r="Y663" s="5">
        <v>1</v>
      </c>
      <c r="Z663" s="5">
        <v>4</v>
      </c>
    </row>
    <row r="664" spans="1:26" x14ac:dyDescent="0.35">
      <c r="A664">
        <v>663</v>
      </c>
      <c r="B664" s="10">
        <v>9.8039215686274508E-2</v>
      </c>
      <c r="C664">
        <v>0</v>
      </c>
      <c r="D664">
        <v>0</v>
      </c>
      <c r="E664">
        <v>0</v>
      </c>
      <c r="F664">
        <v>1</v>
      </c>
      <c r="G664">
        <v>0</v>
      </c>
      <c r="H664">
        <v>1</v>
      </c>
      <c r="I664">
        <v>0</v>
      </c>
      <c r="J664" s="10">
        <v>6.0825180774138662E-2</v>
      </c>
      <c r="K664">
        <v>1</v>
      </c>
      <c r="L664">
        <v>0</v>
      </c>
      <c r="M664">
        <v>0</v>
      </c>
      <c r="N664" s="10">
        <v>0.34096805914271505</v>
      </c>
      <c r="O664" s="11">
        <v>0.38934049645532781</v>
      </c>
      <c r="P664" s="10">
        <v>0.625</v>
      </c>
      <c r="Q664">
        <v>1</v>
      </c>
      <c r="R664">
        <v>1</v>
      </c>
      <c r="S664">
        <v>1</v>
      </c>
      <c r="T664">
        <v>0</v>
      </c>
      <c r="U664">
        <v>0</v>
      </c>
      <c r="V664" s="10">
        <v>0.29014084507042254</v>
      </c>
      <c r="W664" s="5">
        <v>1</v>
      </c>
      <c r="X664" s="5">
        <v>2</v>
      </c>
      <c r="Y664" s="5">
        <v>2</v>
      </c>
      <c r="Z664" s="5">
        <v>5</v>
      </c>
    </row>
    <row r="665" spans="1:26" x14ac:dyDescent="0.35">
      <c r="A665">
        <v>664</v>
      </c>
      <c r="B665" s="10">
        <v>0.47058823529411764</v>
      </c>
      <c r="C665">
        <v>0</v>
      </c>
      <c r="D665">
        <v>0</v>
      </c>
      <c r="E665">
        <v>0</v>
      </c>
      <c r="F665">
        <v>0</v>
      </c>
      <c r="G665">
        <v>1</v>
      </c>
      <c r="H665">
        <v>2</v>
      </c>
      <c r="I665">
        <v>0</v>
      </c>
      <c r="J665" s="10">
        <v>0.91833262441514252</v>
      </c>
      <c r="K665">
        <v>0</v>
      </c>
      <c r="L665">
        <v>0</v>
      </c>
      <c r="M665">
        <v>1</v>
      </c>
      <c r="N665" s="10">
        <v>0.58145747932611413</v>
      </c>
      <c r="O665" s="11">
        <v>0.66162967732415812</v>
      </c>
      <c r="P665" s="10">
        <v>0.625</v>
      </c>
      <c r="Q665">
        <v>1</v>
      </c>
      <c r="R665">
        <v>1</v>
      </c>
      <c r="S665">
        <v>1</v>
      </c>
      <c r="T665">
        <v>0</v>
      </c>
      <c r="U665">
        <v>0</v>
      </c>
      <c r="V665" s="10">
        <v>9.5774647887323941E-2</v>
      </c>
      <c r="W665" s="5">
        <v>2</v>
      </c>
      <c r="X665" s="5">
        <v>2</v>
      </c>
      <c r="Y665" s="5">
        <v>3</v>
      </c>
      <c r="Z665" s="5">
        <v>7</v>
      </c>
    </row>
    <row r="666" spans="1:26" x14ac:dyDescent="0.35">
      <c r="A666">
        <v>665</v>
      </c>
      <c r="B666" s="10">
        <v>0.66666666666666663</v>
      </c>
      <c r="C666">
        <v>0</v>
      </c>
      <c r="D666">
        <v>0</v>
      </c>
      <c r="E666">
        <v>0</v>
      </c>
      <c r="F666">
        <v>0</v>
      </c>
      <c r="G666">
        <v>1</v>
      </c>
      <c r="H666">
        <v>3</v>
      </c>
      <c r="I666">
        <v>0</v>
      </c>
      <c r="J666" s="10">
        <v>0.7345810293492131</v>
      </c>
      <c r="K666">
        <v>0</v>
      </c>
      <c r="L666">
        <v>0</v>
      </c>
      <c r="M666">
        <v>1</v>
      </c>
      <c r="N666" s="10">
        <v>0.41329704049475158</v>
      </c>
      <c r="O666" s="11">
        <v>0.5654801907483048</v>
      </c>
      <c r="P666" s="10">
        <v>0.5</v>
      </c>
      <c r="Q666">
        <v>1</v>
      </c>
      <c r="R666">
        <v>1</v>
      </c>
      <c r="S666">
        <v>1</v>
      </c>
      <c r="T666">
        <v>0</v>
      </c>
      <c r="U666">
        <v>0</v>
      </c>
      <c r="V666" s="10">
        <v>0.3464788732394366</v>
      </c>
      <c r="W666" s="5">
        <v>1</v>
      </c>
      <c r="X666" s="5">
        <v>2</v>
      </c>
      <c r="Y666" s="5">
        <v>2</v>
      </c>
      <c r="Z666" s="5">
        <v>5</v>
      </c>
    </row>
    <row r="667" spans="1:26" x14ac:dyDescent="0.35">
      <c r="A667">
        <v>666</v>
      </c>
      <c r="B667" s="10">
        <v>0.29411764705882354</v>
      </c>
      <c r="C667">
        <v>1</v>
      </c>
      <c r="D667">
        <v>1</v>
      </c>
      <c r="E667">
        <v>0</v>
      </c>
      <c r="F667">
        <v>0</v>
      </c>
      <c r="G667">
        <v>0</v>
      </c>
      <c r="H667">
        <v>2</v>
      </c>
      <c r="I667">
        <v>0</v>
      </c>
      <c r="J667" s="10">
        <v>0.83666524883028492</v>
      </c>
      <c r="K667">
        <v>0</v>
      </c>
      <c r="L667">
        <v>0</v>
      </c>
      <c r="M667">
        <v>1</v>
      </c>
      <c r="N667" s="10">
        <v>0.13760277705376395</v>
      </c>
      <c r="O667" s="11">
        <v>0.95450612688384073</v>
      </c>
      <c r="P667" s="10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 s="10">
        <v>0.9887323943661972</v>
      </c>
      <c r="W667" s="5">
        <v>1</v>
      </c>
      <c r="X667" s="5">
        <v>1</v>
      </c>
      <c r="Y667" s="5">
        <v>1</v>
      </c>
      <c r="Z667" s="5">
        <v>3</v>
      </c>
    </row>
    <row r="668" spans="1:26" x14ac:dyDescent="0.35">
      <c r="A668">
        <v>667</v>
      </c>
      <c r="B668" s="10">
        <v>5.8823529411764705E-2</v>
      </c>
      <c r="C668">
        <v>0</v>
      </c>
      <c r="D668">
        <v>0</v>
      </c>
      <c r="E668">
        <v>0</v>
      </c>
      <c r="F668">
        <v>1</v>
      </c>
      <c r="G668">
        <v>0</v>
      </c>
      <c r="H668">
        <v>1</v>
      </c>
      <c r="I668">
        <v>0</v>
      </c>
      <c r="J668" s="10">
        <v>0.16290940025521056</v>
      </c>
      <c r="K668">
        <v>0</v>
      </c>
      <c r="L668">
        <v>0</v>
      </c>
      <c r="M668">
        <v>1</v>
      </c>
      <c r="N668" s="10">
        <v>0.42424412956424901</v>
      </c>
      <c r="O668" s="11">
        <v>0.48362810787608068</v>
      </c>
      <c r="P668" s="10">
        <v>0.625</v>
      </c>
      <c r="Q668">
        <v>1</v>
      </c>
      <c r="R668">
        <v>0</v>
      </c>
      <c r="S668">
        <v>0</v>
      </c>
      <c r="T668">
        <v>1</v>
      </c>
      <c r="U668">
        <v>0</v>
      </c>
      <c r="V668" s="10">
        <v>0.35492957746478876</v>
      </c>
      <c r="W668" s="5">
        <v>1</v>
      </c>
      <c r="X668" s="5">
        <v>2</v>
      </c>
      <c r="Y668" s="5">
        <v>2</v>
      </c>
      <c r="Z668" s="5">
        <v>5</v>
      </c>
    </row>
    <row r="669" spans="1:26" x14ac:dyDescent="0.35">
      <c r="A669">
        <v>668</v>
      </c>
      <c r="B669" s="10">
        <v>0.90196078431372551</v>
      </c>
      <c r="C669">
        <v>1</v>
      </c>
      <c r="D669">
        <v>0</v>
      </c>
      <c r="E669">
        <v>1</v>
      </c>
      <c r="F669">
        <v>0</v>
      </c>
      <c r="G669">
        <v>0</v>
      </c>
      <c r="H669">
        <v>2</v>
      </c>
      <c r="I669">
        <v>0</v>
      </c>
      <c r="J669" s="10">
        <v>0.65291365376435562</v>
      </c>
      <c r="K669">
        <v>0</v>
      </c>
      <c r="L669">
        <v>1</v>
      </c>
      <c r="M669">
        <v>0</v>
      </c>
      <c r="N669" s="10">
        <v>0.49131282136341015</v>
      </c>
      <c r="O669" s="11">
        <v>0.47962735668725726</v>
      </c>
      <c r="P669" s="10">
        <v>0.75</v>
      </c>
      <c r="Q669">
        <v>1</v>
      </c>
      <c r="R669">
        <v>1</v>
      </c>
      <c r="S669">
        <v>0</v>
      </c>
      <c r="T669">
        <v>0</v>
      </c>
      <c r="U669">
        <v>1</v>
      </c>
      <c r="V669" s="10">
        <v>1.6901408450704224E-2</v>
      </c>
      <c r="W669" s="5">
        <v>3</v>
      </c>
      <c r="X669" s="5">
        <v>2</v>
      </c>
      <c r="Y669" s="5">
        <v>3</v>
      </c>
      <c r="Z669" s="5">
        <v>8</v>
      </c>
    </row>
    <row r="670" spans="1:26" x14ac:dyDescent="0.35">
      <c r="A670">
        <v>669</v>
      </c>
      <c r="B670" s="10">
        <v>0.72549019607843135</v>
      </c>
      <c r="C670">
        <v>0</v>
      </c>
      <c r="D670">
        <v>0</v>
      </c>
      <c r="E670">
        <v>0</v>
      </c>
      <c r="F670">
        <v>1</v>
      </c>
      <c r="G670">
        <v>0</v>
      </c>
      <c r="H670">
        <v>3</v>
      </c>
      <c r="I670">
        <v>0</v>
      </c>
      <c r="J670" s="10">
        <v>0.38749468311356872</v>
      </c>
      <c r="K670">
        <v>0</v>
      </c>
      <c r="L670">
        <v>1</v>
      </c>
      <c r="M670">
        <v>0</v>
      </c>
      <c r="N670" s="10">
        <v>0.65830924341871422</v>
      </c>
      <c r="O670" s="11">
        <v>0.56148262540493765</v>
      </c>
      <c r="P670" s="10">
        <v>0.875</v>
      </c>
      <c r="Q670">
        <v>2</v>
      </c>
      <c r="R670">
        <v>1</v>
      </c>
      <c r="S670">
        <v>1</v>
      </c>
      <c r="T670">
        <v>1</v>
      </c>
      <c r="U670">
        <v>0</v>
      </c>
      <c r="V670" s="10">
        <v>0.16619718309859155</v>
      </c>
      <c r="W670" s="5">
        <v>2</v>
      </c>
      <c r="X670" s="5">
        <v>3</v>
      </c>
      <c r="Y670" s="5">
        <v>3</v>
      </c>
      <c r="Z670" s="5">
        <v>8</v>
      </c>
    </row>
    <row r="671" spans="1:26" x14ac:dyDescent="0.35">
      <c r="A671">
        <v>670</v>
      </c>
      <c r="B671" s="10">
        <v>0.84313725490196079</v>
      </c>
      <c r="C671">
        <v>0</v>
      </c>
      <c r="D671">
        <v>0</v>
      </c>
      <c r="E671">
        <v>0</v>
      </c>
      <c r="F671">
        <v>1</v>
      </c>
      <c r="G671">
        <v>0</v>
      </c>
      <c r="H671">
        <v>1</v>
      </c>
      <c r="I671">
        <v>0</v>
      </c>
      <c r="J671" s="10">
        <v>0.24457677584006807</v>
      </c>
      <c r="K671">
        <v>0</v>
      </c>
      <c r="L671">
        <v>0</v>
      </c>
      <c r="M671">
        <v>1</v>
      </c>
      <c r="N671" s="10">
        <v>3.9552875388005587E-2</v>
      </c>
      <c r="O671" s="11">
        <v>0.28841626592084346</v>
      </c>
      <c r="P671" s="10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 s="10">
        <v>0.15774647887323945</v>
      </c>
      <c r="W671" s="5">
        <v>2</v>
      </c>
      <c r="X671" s="5">
        <v>1</v>
      </c>
      <c r="Y671" s="5">
        <v>1</v>
      </c>
      <c r="Z671" s="5">
        <v>4</v>
      </c>
    </row>
    <row r="672" spans="1:26" x14ac:dyDescent="0.35">
      <c r="A672">
        <v>671</v>
      </c>
      <c r="B672" s="10">
        <v>0.37254901960784315</v>
      </c>
      <c r="C672">
        <v>0</v>
      </c>
      <c r="D672">
        <v>0</v>
      </c>
      <c r="E672">
        <v>0</v>
      </c>
      <c r="F672">
        <v>1</v>
      </c>
      <c r="G672">
        <v>0</v>
      </c>
      <c r="H672">
        <v>3</v>
      </c>
      <c r="I672">
        <v>0</v>
      </c>
      <c r="J672" s="10">
        <v>0.91833262441514252</v>
      </c>
      <c r="K672">
        <v>0</v>
      </c>
      <c r="L672">
        <v>0</v>
      </c>
      <c r="M672">
        <v>1</v>
      </c>
      <c r="N672" s="10">
        <v>0.76347356822974655</v>
      </c>
      <c r="O672" s="11">
        <v>0.57847575739283819</v>
      </c>
      <c r="P672" s="10">
        <v>1</v>
      </c>
      <c r="Q672">
        <v>1</v>
      </c>
      <c r="R672">
        <v>0</v>
      </c>
      <c r="S672">
        <v>1</v>
      </c>
      <c r="T672">
        <v>0</v>
      </c>
      <c r="U672">
        <v>0</v>
      </c>
      <c r="V672" s="10">
        <v>5.6338028169014086E-2</v>
      </c>
      <c r="W672" s="5">
        <v>3</v>
      </c>
      <c r="X672" s="5">
        <v>3</v>
      </c>
      <c r="Y672" s="5">
        <v>3</v>
      </c>
      <c r="Z672" s="5">
        <v>9</v>
      </c>
    </row>
    <row r="673" spans="1:26" x14ac:dyDescent="0.35">
      <c r="A673">
        <v>672</v>
      </c>
      <c r="B673" s="10">
        <v>0.47058823529411764</v>
      </c>
      <c r="C673">
        <v>0</v>
      </c>
      <c r="D673">
        <v>1</v>
      </c>
      <c r="E673">
        <v>0</v>
      </c>
      <c r="F673">
        <v>0</v>
      </c>
      <c r="G673">
        <v>0</v>
      </c>
      <c r="H673">
        <v>1</v>
      </c>
      <c r="I673">
        <v>0</v>
      </c>
      <c r="J673" s="10">
        <v>0.91833262441514252</v>
      </c>
      <c r="K673">
        <v>1</v>
      </c>
      <c r="L673">
        <v>0</v>
      </c>
      <c r="M673">
        <v>0</v>
      </c>
      <c r="N673" s="10">
        <v>1.9995616425372603E-2</v>
      </c>
      <c r="O673" s="11">
        <v>0.15555644982796435</v>
      </c>
      <c r="P673" s="10">
        <v>0</v>
      </c>
      <c r="Q673">
        <v>2</v>
      </c>
      <c r="R673">
        <v>0</v>
      </c>
      <c r="S673">
        <v>0</v>
      </c>
      <c r="T673">
        <v>0</v>
      </c>
      <c r="U673">
        <v>1</v>
      </c>
      <c r="V673" s="10">
        <v>0.60563380281690138</v>
      </c>
      <c r="W673" s="5">
        <v>1</v>
      </c>
      <c r="X673" s="5">
        <v>1</v>
      </c>
      <c r="Y673" s="5">
        <v>1</v>
      </c>
      <c r="Z673" s="5">
        <v>3</v>
      </c>
    </row>
    <row r="674" spans="1:26" x14ac:dyDescent="0.35">
      <c r="A674">
        <v>673</v>
      </c>
      <c r="B674" s="10">
        <v>0.11764705882352941</v>
      </c>
      <c r="C674">
        <v>0</v>
      </c>
      <c r="D674">
        <v>1</v>
      </c>
      <c r="E674">
        <v>0</v>
      </c>
      <c r="F674">
        <v>0</v>
      </c>
      <c r="G674">
        <v>0</v>
      </c>
      <c r="H674">
        <v>2</v>
      </c>
      <c r="I674">
        <v>0</v>
      </c>
      <c r="J674" s="10">
        <v>0.26499361973628244</v>
      </c>
      <c r="K674">
        <v>1</v>
      </c>
      <c r="L674">
        <v>0</v>
      </c>
      <c r="M674">
        <v>0</v>
      </c>
      <c r="N674" s="10">
        <v>0.52416297419614721</v>
      </c>
      <c r="O674" s="11">
        <v>0.44756936759290933</v>
      </c>
      <c r="P674" s="10">
        <v>0.875</v>
      </c>
      <c r="Q674">
        <v>2</v>
      </c>
      <c r="R674">
        <v>0</v>
      </c>
      <c r="S674">
        <v>1</v>
      </c>
      <c r="T674">
        <v>0</v>
      </c>
      <c r="U674">
        <v>1</v>
      </c>
      <c r="V674" s="10">
        <v>7.0422535211267609E-2</v>
      </c>
      <c r="W674" s="5">
        <v>3</v>
      </c>
      <c r="X674" s="5">
        <v>3</v>
      </c>
      <c r="Y674" s="5">
        <v>3</v>
      </c>
      <c r="Z674" s="5">
        <v>9</v>
      </c>
    </row>
    <row r="675" spans="1:26" x14ac:dyDescent="0.35">
      <c r="A675">
        <v>674</v>
      </c>
      <c r="B675" s="10">
        <v>0.39215686274509803</v>
      </c>
      <c r="C675">
        <v>1</v>
      </c>
      <c r="D675">
        <v>1</v>
      </c>
      <c r="E675">
        <v>0</v>
      </c>
      <c r="F675">
        <v>0</v>
      </c>
      <c r="G675">
        <v>0</v>
      </c>
      <c r="H675">
        <v>2</v>
      </c>
      <c r="I675">
        <v>1</v>
      </c>
      <c r="J675" s="10">
        <v>0.89791578051892806</v>
      </c>
      <c r="K675">
        <v>0</v>
      </c>
      <c r="L675">
        <v>0</v>
      </c>
      <c r="M675">
        <v>1</v>
      </c>
      <c r="N675" s="10">
        <v>0.68262031135227341</v>
      </c>
      <c r="O675" s="11">
        <v>0.51744613685497809</v>
      </c>
      <c r="P675" s="10">
        <v>1</v>
      </c>
      <c r="Q675">
        <v>2</v>
      </c>
      <c r="R675">
        <v>1</v>
      </c>
      <c r="S675">
        <v>1</v>
      </c>
      <c r="T675">
        <v>0</v>
      </c>
      <c r="U675">
        <v>1</v>
      </c>
      <c r="V675" s="10">
        <v>0.28732394366197184</v>
      </c>
      <c r="W675" s="5">
        <v>1</v>
      </c>
      <c r="X675" s="5">
        <v>3</v>
      </c>
      <c r="Y675" s="5">
        <v>3</v>
      </c>
      <c r="Z675" s="5">
        <v>7</v>
      </c>
    </row>
    <row r="676" spans="1:26" x14ac:dyDescent="0.35">
      <c r="A676">
        <v>675</v>
      </c>
      <c r="B676" s="10">
        <v>0.11764705882352941</v>
      </c>
      <c r="C676">
        <v>1</v>
      </c>
      <c r="D676">
        <v>1</v>
      </c>
      <c r="E676">
        <v>0</v>
      </c>
      <c r="F676">
        <v>0</v>
      </c>
      <c r="G676">
        <v>0</v>
      </c>
      <c r="H676">
        <v>3</v>
      </c>
      <c r="I676">
        <v>0</v>
      </c>
      <c r="J676" s="10">
        <v>0.97958315610378566</v>
      </c>
      <c r="K676">
        <v>0</v>
      </c>
      <c r="L676">
        <v>0</v>
      </c>
      <c r="M676">
        <v>1</v>
      </c>
      <c r="N676" s="10">
        <v>0.72610359453119444</v>
      </c>
      <c r="O676" s="11">
        <v>0.55026816993858596</v>
      </c>
      <c r="P676" s="10">
        <v>1</v>
      </c>
      <c r="Q676">
        <v>2</v>
      </c>
      <c r="R676">
        <v>0</v>
      </c>
      <c r="S676">
        <v>0</v>
      </c>
      <c r="T676">
        <v>1</v>
      </c>
      <c r="U676">
        <v>0</v>
      </c>
      <c r="V676" s="10">
        <v>1.4084507042253521E-2</v>
      </c>
      <c r="W676" s="5">
        <v>3</v>
      </c>
      <c r="X676" s="5">
        <v>3</v>
      </c>
      <c r="Y676" s="5">
        <v>3</v>
      </c>
      <c r="Z676" s="5">
        <v>9</v>
      </c>
    </row>
    <row r="677" spans="1:26" x14ac:dyDescent="0.35">
      <c r="A677">
        <v>676</v>
      </c>
      <c r="B677" s="10">
        <v>0.5490196078431373</v>
      </c>
      <c r="C677">
        <v>1</v>
      </c>
      <c r="D677">
        <v>1</v>
      </c>
      <c r="E677">
        <v>0</v>
      </c>
      <c r="F677">
        <v>0</v>
      </c>
      <c r="G677">
        <v>0</v>
      </c>
      <c r="H677">
        <v>3</v>
      </c>
      <c r="I677">
        <v>0</v>
      </c>
      <c r="J677" s="10">
        <v>0.91833262441514252</v>
      </c>
      <c r="K677">
        <v>1</v>
      </c>
      <c r="L677">
        <v>0</v>
      </c>
      <c r="M677">
        <v>0</v>
      </c>
      <c r="N677" s="10">
        <v>0.27064130512048906</v>
      </c>
      <c r="O677" s="11">
        <v>0.37165737741202032</v>
      </c>
      <c r="P677" s="10">
        <v>0.5</v>
      </c>
      <c r="Q677">
        <v>0</v>
      </c>
      <c r="R677">
        <v>0</v>
      </c>
      <c r="S677">
        <v>0</v>
      </c>
      <c r="T677">
        <v>0</v>
      </c>
      <c r="U677">
        <v>0</v>
      </c>
      <c r="V677" s="10">
        <v>2.8169014084507044E-3</v>
      </c>
      <c r="W677" s="5">
        <v>3</v>
      </c>
      <c r="X677" s="5">
        <v>2</v>
      </c>
      <c r="Y677" s="5">
        <v>2</v>
      </c>
      <c r="Z677" s="5">
        <v>7</v>
      </c>
    </row>
    <row r="678" spans="1:26" x14ac:dyDescent="0.35">
      <c r="A678">
        <v>677</v>
      </c>
      <c r="B678" s="10">
        <v>1</v>
      </c>
      <c r="C678">
        <v>0</v>
      </c>
      <c r="D678">
        <v>0</v>
      </c>
      <c r="E678">
        <v>1</v>
      </c>
      <c r="F678">
        <v>0</v>
      </c>
      <c r="G678">
        <v>0</v>
      </c>
      <c r="H678">
        <v>1</v>
      </c>
      <c r="I678">
        <v>1</v>
      </c>
      <c r="J678" s="10">
        <v>0.14249255635899619</v>
      </c>
      <c r="K678">
        <v>0</v>
      </c>
      <c r="L678">
        <v>1</v>
      </c>
      <c r="M678">
        <v>0</v>
      </c>
      <c r="N678" s="10">
        <v>8.85659787218918E-2</v>
      </c>
      <c r="O678" s="11">
        <v>0.621380711885551</v>
      </c>
      <c r="P678" s="10">
        <v>0</v>
      </c>
      <c r="Q678">
        <v>2</v>
      </c>
      <c r="R678">
        <v>1</v>
      </c>
      <c r="S678">
        <v>1</v>
      </c>
      <c r="T678">
        <v>0</v>
      </c>
      <c r="U678">
        <v>0</v>
      </c>
      <c r="V678" s="10">
        <v>0.71267605633802822</v>
      </c>
      <c r="W678" s="5">
        <v>1</v>
      </c>
      <c r="X678" s="5">
        <v>1</v>
      </c>
      <c r="Y678" s="5">
        <v>1</v>
      </c>
      <c r="Z678" s="5">
        <v>3</v>
      </c>
    </row>
    <row r="679" spans="1:26" x14ac:dyDescent="0.35">
      <c r="A679">
        <v>678</v>
      </c>
      <c r="B679" s="10">
        <v>0.11764705882352941</v>
      </c>
      <c r="C679">
        <v>1</v>
      </c>
      <c r="D679">
        <v>0</v>
      </c>
      <c r="E679">
        <v>0</v>
      </c>
      <c r="F679">
        <v>1</v>
      </c>
      <c r="G679">
        <v>0</v>
      </c>
      <c r="H679">
        <v>3</v>
      </c>
      <c r="I679">
        <v>0</v>
      </c>
      <c r="J679" s="10">
        <v>0.9591663122075712</v>
      </c>
      <c r="K679">
        <v>0</v>
      </c>
      <c r="L679">
        <v>0</v>
      </c>
      <c r="M679">
        <v>1</v>
      </c>
      <c r="N679" s="10">
        <v>0.2530921972371632</v>
      </c>
      <c r="O679" s="11">
        <v>0.43476729914082773</v>
      </c>
      <c r="P679" s="10">
        <v>0.375</v>
      </c>
      <c r="Q679">
        <v>1</v>
      </c>
      <c r="R679">
        <v>0</v>
      </c>
      <c r="S679">
        <v>1</v>
      </c>
      <c r="T679">
        <v>0</v>
      </c>
      <c r="U679">
        <v>0</v>
      </c>
      <c r="V679" s="10">
        <v>5.9154929577464786E-2</v>
      </c>
      <c r="W679" s="5">
        <v>3</v>
      </c>
      <c r="X679" s="5">
        <v>2</v>
      </c>
      <c r="Y679" s="5">
        <v>2</v>
      </c>
      <c r="Z679" s="5">
        <v>7</v>
      </c>
    </row>
    <row r="680" spans="1:26" x14ac:dyDescent="0.35">
      <c r="A680">
        <v>679</v>
      </c>
      <c r="B680" s="10">
        <v>3.9215686274509803E-2</v>
      </c>
      <c r="C680">
        <v>0</v>
      </c>
      <c r="D680">
        <v>0</v>
      </c>
      <c r="E680">
        <v>0</v>
      </c>
      <c r="F680">
        <v>1</v>
      </c>
      <c r="G680">
        <v>0</v>
      </c>
      <c r="H680">
        <v>3</v>
      </c>
      <c r="I680">
        <v>0</v>
      </c>
      <c r="J680" s="10">
        <v>0.9591663122075712</v>
      </c>
      <c r="K680">
        <v>0</v>
      </c>
      <c r="L680">
        <v>1</v>
      </c>
      <c r="M680">
        <v>0</v>
      </c>
      <c r="N680" s="10">
        <v>0.50070492619008122</v>
      </c>
      <c r="O680" s="11">
        <v>0.48874222821384739</v>
      </c>
      <c r="P680" s="10">
        <v>0.75</v>
      </c>
      <c r="Q680">
        <v>2</v>
      </c>
      <c r="R680">
        <v>1</v>
      </c>
      <c r="S680">
        <v>0</v>
      </c>
      <c r="T680">
        <v>1</v>
      </c>
      <c r="U680">
        <v>0</v>
      </c>
      <c r="V680" s="10">
        <v>1.4084507042253521E-2</v>
      </c>
      <c r="W680" s="5">
        <v>3</v>
      </c>
      <c r="X680" s="5">
        <v>2</v>
      </c>
      <c r="Y680" s="5">
        <v>3</v>
      </c>
      <c r="Z680" s="5">
        <v>8</v>
      </c>
    </row>
    <row r="681" spans="1:26" x14ac:dyDescent="0.35">
      <c r="A681">
        <v>680</v>
      </c>
      <c r="B681" s="10">
        <v>0.5490196078431373</v>
      </c>
      <c r="C681">
        <v>1</v>
      </c>
      <c r="D681">
        <v>0</v>
      </c>
      <c r="E681">
        <v>1</v>
      </c>
      <c r="F681">
        <v>0</v>
      </c>
      <c r="G681">
        <v>0</v>
      </c>
      <c r="H681">
        <v>2</v>
      </c>
      <c r="I681">
        <v>0</v>
      </c>
      <c r="J681" s="10">
        <v>0.32624415142492558</v>
      </c>
      <c r="K681">
        <v>0</v>
      </c>
      <c r="L681">
        <v>1</v>
      </c>
      <c r="M681">
        <v>0</v>
      </c>
      <c r="N681" s="10">
        <v>0.73485593441224528</v>
      </c>
      <c r="O681" s="11">
        <v>0.55687460735852046</v>
      </c>
      <c r="P681" s="10">
        <v>1</v>
      </c>
      <c r="Q681">
        <v>0</v>
      </c>
      <c r="R681">
        <v>0</v>
      </c>
      <c r="S681">
        <v>0</v>
      </c>
      <c r="T681">
        <v>0</v>
      </c>
      <c r="U681">
        <v>0</v>
      </c>
      <c r="V681" s="10">
        <v>5.0704225352112678E-2</v>
      </c>
      <c r="W681" s="5">
        <v>3</v>
      </c>
      <c r="X681" s="5">
        <v>3</v>
      </c>
      <c r="Y681" s="5">
        <v>3</v>
      </c>
      <c r="Z681" s="5">
        <v>9</v>
      </c>
    </row>
    <row r="682" spans="1:26" x14ac:dyDescent="0.35">
      <c r="A682">
        <v>681</v>
      </c>
      <c r="B682" s="10">
        <v>0.5490196078431373</v>
      </c>
      <c r="C682">
        <v>1</v>
      </c>
      <c r="D682">
        <v>0</v>
      </c>
      <c r="E682">
        <v>1</v>
      </c>
      <c r="F682">
        <v>0</v>
      </c>
      <c r="G682">
        <v>0</v>
      </c>
      <c r="H682">
        <v>3</v>
      </c>
      <c r="I682">
        <v>0</v>
      </c>
      <c r="J682" s="10">
        <v>0.65291365376435562</v>
      </c>
      <c r="K682">
        <v>1</v>
      </c>
      <c r="L682">
        <v>0</v>
      </c>
      <c r="M682">
        <v>0</v>
      </c>
      <c r="N682" s="10">
        <v>0.43047591403454732</v>
      </c>
      <c r="O682" s="11">
        <v>0.7360258757721484</v>
      </c>
      <c r="P682" s="10">
        <v>0.375</v>
      </c>
      <c r="Q682">
        <v>0</v>
      </c>
      <c r="R682">
        <v>0</v>
      </c>
      <c r="S682">
        <v>0</v>
      </c>
      <c r="T682">
        <v>0</v>
      </c>
      <c r="U682">
        <v>0</v>
      </c>
      <c r="V682" s="10">
        <v>0.27042253521126758</v>
      </c>
      <c r="W682" s="5">
        <v>1</v>
      </c>
      <c r="X682" s="5">
        <v>2</v>
      </c>
      <c r="Y682" s="5">
        <v>2</v>
      </c>
      <c r="Z682" s="5">
        <v>5</v>
      </c>
    </row>
    <row r="683" spans="1:26" x14ac:dyDescent="0.35">
      <c r="A683">
        <v>682</v>
      </c>
      <c r="B683" s="10">
        <v>0.74509803921568629</v>
      </c>
      <c r="C683">
        <v>1</v>
      </c>
      <c r="D683">
        <v>0</v>
      </c>
      <c r="E683">
        <v>1</v>
      </c>
      <c r="F683">
        <v>0</v>
      </c>
      <c r="G683">
        <v>0</v>
      </c>
      <c r="H683">
        <v>3</v>
      </c>
      <c r="I683">
        <v>1</v>
      </c>
      <c r="J683" s="10">
        <v>0.18332624415142493</v>
      </c>
      <c r="K683">
        <v>1</v>
      </c>
      <c r="L683">
        <v>0</v>
      </c>
      <c r="M683">
        <v>0</v>
      </c>
      <c r="N683" s="10">
        <v>0.31819716607824089</v>
      </c>
      <c r="O683" s="11">
        <v>0.4362703474919013</v>
      </c>
      <c r="P683" s="10">
        <v>0.5</v>
      </c>
      <c r="Q683">
        <v>1</v>
      </c>
      <c r="R683">
        <v>0</v>
      </c>
      <c r="S683">
        <v>0</v>
      </c>
      <c r="T683">
        <v>0</v>
      </c>
      <c r="U683">
        <v>1</v>
      </c>
      <c r="V683" s="10">
        <v>4.2253521126760563E-2</v>
      </c>
      <c r="W683" s="5">
        <v>3</v>
      </c>
      <c r="X683" s="5">
        <v>2</v>
      </c>
      <c r="Y683" s="5">
        <v>2</v>
      </c>
      <c r="Z683" s="5">
        <v>7</v>
      </c>
    </row>
    <row r="684" spans="1:26" x14ac:dyDescent="0.35">
      <c r="A684">
        <v>683</v>
      </c>
      <c r="B684" s="10">
        <v>0.72549019607843135</v>
      </c>
      <c r="C684">
        <v>0</v>
      </c>
      <c r="D684">
        <v>0</v>
      </c>
      <c r="E684">
        <v>1</v>
      </c>
      <c r="F684">
        <v>0</v>
      </c>
      <c r="G684">
        <v>0</v>
      </c>
      <c r="H684">
        <v>1</v>
      </c>
      <c r="I684">
        <v>0</v>
      </c>
      <c r="J684" s="10">
        <v>0.53041259038706934</v>
      </c>
      <c r="K684">
        <v>0</v>
      </c>
      <c r="L684">
        <v>0</v>
      </c>
      <c r="M684">
        <v>1</v>
      </c>
      <c r="N684" s="10">
        <v>0.40680757292135628</v>
      </c>
      <c r="O684" s="11">
        <v>0.55666311193384177</v>
      </c>
      <c r="P684" s="10">
        <v>0.5</v>
      </c>
      <c r="Q684">
        <v>2</v>
      </c>
      <c r="R684">
        <v>1</v>
      </c>
      <c r="S684">
        <v>0</v>
      </c>
      <c r="T684">
        <v>1</v>
      </c>
      <c r="U684">
        <v>0</v>
      </c>
      <c r="V684" s="10">
        <v>0.10422535211267606</v>
      </c>
      <c r="W684" s="5">
        <v>2</v>
      </c>
      <c r="X684" s="5">
        <v>2</v>
      </c>
      <c r="Y684" s="5">
        <v>2</v>
      </c>
      <c r="Z684" s="5">
        <v>6</v>
      </c>
    </row>
    <row r="685" spans="1:26" x14ac:dyDescent="0.35">
      <c r="A685">
        <v>684</v>
      </c>
      <c r="B685" s="10">
        <v>9.8039215686274508E-2</v>
      </c>
      <c r="C685">
        <v>1</v>
      </c>
      <c r="D685">
        <v>1</v>
      </c>
      <c r="E685">
        <v>0</v>
      </c>
      <c r="F685">
        <v>0</v>
      </c>
      <c r="G685">
        <v>0</v>
      </c>
      <c r="H685">
        <v>2</v>
      </c>
      <c r="I685">
        <v>0</v>
      </c>
      <c r="J685" s="10">
        <v>0.97958315610378566</v>
      </c>
      <c r="K685">
        <v>1</v>
      </c>
      <c r="L685">
        <v>0</v>
      </c>
      <c r="M685">
        <v>0</v>
      </c>
      <c r="N685" s="10">
        <v>0.36464824775489896</v>
      </c>
      <c r="O685" s="11">
        <v>0.49938228133362844</v>
      </c>
      <c r="P685" s="10">
        <v>0.5</v>
      </c>
      <c r="Q685">
        <v>1</v>
      </c>
      <c r="R685">
        <v>0</v>
      </c>
      <c r="S685">
        <v>0</v>
      </c>
      <c r="T685">
        <v>1</v>
      </c>
      <c r="U685">
        <v>0</v>
      </c>
      <c r="V685" s="10">
        <v>0.12676056338028169</v>
      </c>
      <c r="W685" s="5">
        <v>2</v>
      </c>
      <c r="X685" s="5">
        <v>2</v>
      </c>
      <c r="Y685" s="5">
        <v>2</v>
      </c>
      <c r="Z685" s="5">
        <v>6</v>
      </c>
    </row>
    <row r="686" spans="1:26" x14ac:dyDescent="0.35">
      <c r="A686">
        <v>685</v>
      </c>
      <c r="B686" s="10">
        <v>0.88235294117647056</v>
      </c>
      <c r="C686">
        <v>0</v>
      </c>
      <c r="D686">
        <v>0</v>
      </c>
      <c r="E686">
        <v>0</v>
      </c>
      <c r="F686">
        <v>1</v>
      </c>
      <c r="G686">
        <v>0</v>
      </c>
      <c r="H686">
        <v>2</v>
      </c>
      <c r="I686">
        <v>1</v>
      </c>
      <c r="J686" s="10">
        <v>0.81624840493407058</v>
      </c>
      <c r="K686">
        <v>0</v>
      </c>
      <c r="L686">
        <v>1</v>
      </c>
      <c r="M686">
        <v>0</v>
      </c>
      <c r="N686" s="10">
        <v>0.15548065303414449</v>
      </c>
      <c r="O686" s="11">
        <v>0.53797863136079194</v>
      </c>
      <c r="P686" s="10">
        <v>0.125</v>
      </c>
      <c r="Q686">
        <v>0</v>
      </c>
      <c r="R686">
        <v>0</v>
      </c>
      <c r="S686">
        <v>0</v>
      </c>
      <c r="T686">
        <v>0</v>
      </c>
      <c r="U686">
        <v>0</v>
      </c>
      <c r="V686" s="10">
        <v>0.81126760563380285</v>
      </c>
      <c r="W686" s="5">
        <v>1</v>
      </c>
      <c r="X686" s="5">
        <v>1</v>
      </c>
      <c r="Y686" s="5">
        <v>1</v>
      </c>
      <c r="Z686" s="5">
        <v>3</v>
      </c>
    </row>
    <row r="687" spans="1:26" x14ac:dyDescent="0.35">
      <c r="A687">
        <v>686</v>
      </c>
      <c r="B687" s="10">
        <v>0.17647058823529413</v>
      </c>
      <c r="C687">
        <v>1</v>
      </c>
      <c r="D687">
        <v>0</v>
      </c>
      <c r="E687">
        <v>1</v>
      </c>
      <c r="F687">
        <v>0</v>
      </c>
      <c r="G687">
        <v>0</v>
      </c>
      <c r="H687">
        <v>1</v>
      </c>
      <c r="I687">
        <v>0</v>
      </c>
      <c r="J687" s="10">
        <v>0.9591663122075712</v>
      </c>
      <c r="K687">
        <v>0</v>
      </c>
      <c r="L687">
        <v>1</v>
      </c>
      <c r="M687">
        <v>0</v>
      </c>
      <c r="N687" s="10">
        <v>0.29911084520057812</v>
      </c>
      <c r="O687" s="11">
        <v>0.51292279522726814</v>
      </c>
      <c r="P687" s="10">
        <v>0.375</v>
      </c>
      <c r="Q687">
        <v>0</v>
      </c>
      <c r="R687">
        <v>0</v>
      </c>
      <c r="S687">
        <v>0</v>
      </c>
      <c r="T687">
        <v>0</v>
      </c>
      <c r="U687">
        <v>0</v>
      </c>
      <c r="V687" s="10">
        <v>7.605633802816901E-2</v>
      </c>
      <c r="W687" s="5">
        <v>3</v>
      </c>
      <c r="X687" s="5">
        <v>2</v>
      </c>
      <c r="Y687" s="5">
        <v>2</v>
      </c>
      <c r="Z687" s="5">
        <v>7</v>
      </c>
    </row>
    <row r="688" spans="1:26" x14ac:dyDescent="0.35">
      <c r="A688">
        <v>687</v>
      </c>
      <c r="B688" s="10">
        <v>0.70588235294117652</v>
      </c>
      <c r="C688">
        <v>0</v>
      </c>
      <c r="D688">
        <v>0</v>
      </c>
      <c r="E688">
        <v>0</v>
      </c>
      <c r="F688">
        <v>0</v>
      </c>
      <c r="G688">
        <v>1</v>
      </c>
      <c r="H688">
        <v>2</v>
      </c>
      <c r="I688">
        <v>0</v>
      </c>
      <c r="J688" s="10">
        <v>0.40791152700978311</v>
      </c>
      <c r="K688">
        <v>0</v>
      </c>
      <c r="L688">
        <v>0</v>
      </c>
      <c r="M688">
        <v>1</v>
      </c>
      <c r="N688" s="10">
        <v>0.42558882069995024</v>
      </c>
      <c r="O688" s="11">
        <v>0.32343373776803019</v>
      </c>
      <c r="P688" s="10">
        <v>1</v>
      </c>
      <c r="Q688">
        <v>1</v>
      </c>
      <c r="R688">
        <v>0</v>
      </c>
      <c r="S688">
        <v>0</v>
      </c>
      <c r="T688">
        <v>0</v>
      </c>
      <c r="U688">
        <v>1</v>
      </c>
      <c r="V688" s="10">
        <v>3.9436619718309862E-2</v>
      </c>
      <c r="W688" s="5">
        <v>3</v>
      </c>
      <c r="X688" s="5">
        <v>3</v>
      </c>
      <c r="Y688" s="5">
        <v>2</v>
      </c>
      <c r="Z688" s="5">
        <v>8</v>
      </c>
    </row>
    <row r="689" spans="1:26" x14ac:dyDescent="0.35">
      <c r="A689">
        <v>688</v>
      </c>
      <c r="B689" s="10">
        <v>0.25490196078431371</v>
      </c>
      <c r="C689">
        <v>0</v>
      </c>
      <c r="D689">
        <v>0</v>
      </c>
      <c r="E689">
        <v>1</v>
      </c>
      <c r="F689">
        <v>0</v>
      </c>
      <c r="G689">
        <v>0</v>
      </c>
      <c r="H689">
        <v>1</v>
      </c>
      <c r="I689">
        <v>0</v>
      </c>
      <c r="J689" s="10">
        <v>0.1220757124627818</v>
      </c>
      <c r="K689">
        <v>0</v>
      </c>
      <c r="L689">
        <v>1</v>
      </c>
      <c r="M689">
        <v>0</v>
      </c>
      <c r="N689" s="10">
        <v>0.67284020093358288</v>
      </c>
      <c r="O689" s="11">
        <v>0.51006391812041829</v>
      </c>
      <c r="P689" s="10">
        <v>1</v>
      </c>
      <c r="Q689">
        <v>2</v>
      </c>
      <c r="R689">
        <v>1</v>
      </c>
      <c r="S689">
        <v>0</v>
      </c>
      <c r="T689">
        <v>0</v>
      </c>
      <c r="U689">
        <v>1</v>
      </c>
      <c r="V689" s="10">
        <v>5.3521126760563378E-2</v>
      </c>
      <c r="W689" s="5">
        <v>3</v>
      </c>
      <c r="X689" s="5">
        <v>3</v>
      </c>
      <c r="Y689" s="5">
        <v>3</v>
      </c>
      <c r="Z689" s="5">
        <v>9</v>
      </c>
    </row>
    <row r="690" spans="1:26" x14ac:dyDescent="0.35">
      <c r="A690">
        <v>689</v>
      </c>
      <c r="B690" s="10">
        <v>0.41176470588235292</v>
      </c>
      <c r="C690">
        <v>0</v>
      </c>
      <c r="D690">
        <v>0</v>
      </c>
      <c r="E690">
        <v>0</v>
      </c>
      <c r="F690">
        <v>1</v>
      </c>
      <c r="G690">
        <v>0</v>
      </c>
      <c r="H690">
        <v>1</v>
      </c>
      <c r="I690">
        <v>0</v>
      </c>
      <c r="J690" s="10">
        <v>0.22415993194385367</v>
      </c>
      <c r="K690">
        <v>1</v>
      </c>
      <c r="L690">
        <v>0</v>
      </c>
      <c r="M690">
        <v>0</v>
      </c>
      <c r="N690" s="10">
        <v>0.26292858327607044</v>
      </c>
      <c r="O690" s="11">
        <v>0.45147286665727682</v>
      </c>
      <c r="P690" s="10">
        <v>0.375</v>
      </c>
      <c r="Q690">
        <v>0</v>
      </c>
      <c r="R690">
        <v>0</v>
      </c>
      <c r="S690">
        <v>0</v>
      </c>
      <c r="T690">
        <v>0</v>
      </c>
      <c r="U690">
        <v>0</v>
      </c>
      <c r="V690" s="10">
        <v>2.8169014084507043E-2</v>
      </c>
      <c r="W690" s="5">
        <v>3</v>
      </c>
      <c r="X690" s="5">
        <v>2</v>
      </c>
      <c r="Y690" s="5">
        <v>2</v>
      </c>
      <c r="Z690" s="5">
        <v>7</v>
      </c>
    </row>
    <row r="691" spans="1:26" x14ac:dyDescent="0.35">
      <c r="A691">
        <v>690</v>
      </c>
      <c r="B691" s="10">
        <v>0.60784313725490191</v>
      </c>
      <c r="C691">
        <v>0</v>
      </c>
      <c r="D691">
        <v>0</v>
      </c>
      <c r="E691">
        <v>0</v>
      </c>
      <c r="F691">
        <v>0</v>
      </c>
      <c r="G691">
        <v>1</v>
      </c>
      <c r="H691">
        <v>3</v>
      </c>
      <c r="I691">
        <v>0</v>
      </c>
      <c r="J691" s="10">
        <v>0.59166312207571248</v>
      </c>
      <c r="K691">
        <v>0</v>
      </c>
      <c r="L691">
        <v>0</v>
      </c>
      <c r="M691">
        <v>1</v>
      </c>
      <c r="N691" s="10">
        <v>0.18608274293296687</v>
      </c>
      <c r="O691" s="11">
        <v>0.42794958986431658</v>
      </c>
      <c r="P691" s="10">
        <v>0.25</v>
      </c>
      <c r="Q691">
        <v>0</v>
      </c>
      <c r="R691">
        <v>0</v>
      </c>
      <c r="S691">
        <v>0</v>
      </c>
      <c r="T691">
        <v>0</v>
      </c>
      <c r="U691">
        <v>0</v>
      </c>
      <c r="V691" s="10">
        <v>3.0985915492957747E-2</v>
      </c>
      <c r="W691" s="5">
        <v>3</v>
      </c>
      <c r="X691" s="5">
        <v>2</v>
      </c>
      <c r="Y691" s="5">
        <v>1</v>
      </c>
      <c r="Z691" s="5">
        <v>6</v>
      </c>
    </row>
    <row r="692" spans="1:26" x14ac:dyDescent="0.35">
      <c r="A692">
        <v>691</v>
      </c>
      <c r="B692" s="10">
        <v>0.33333333333333331</v>
      </c>
      <c r="C692">
        <v>0</v>
      </c>
      <c r="D692">
        <v>0</v>
      </c>
      <c r="E692">
        <v>1</v>
      </c>
      <c r="F692">
        <v>0</v>
      </c>
      <c r="G692">
        <v>0</v>
      </c>
      <c r="H692">
        <v>3</v>
      </c>
      <c r="I692">
        <v>1</v>
      </c>
      <c r="J692" s="10">
        <v>0.14249255635899619</v>
      </c>
      <c r="K692">
        <v>1</v>
      </c>
      <c r="L692">
        <v>0</v>
      </c>
      <c r="M692">
        <v>0</v>
      </c>
      <c r="N692" s="10">
        <v>0.1994496836717769</v>
      </c>
      <c r="O692" s="11">
        <v>0.68732771283124416</v>
      </c>
      <c r="P692" s="10">
        <v>0.125</v>
      </c>
      <c r="Q692">
        <v>0</v>
      </c>
      <c r="R692">
        <v>0</v>
      </c>
      <c r="S692">
        <v>0</v>
      </c>
      <c r="T692">
        <v>0</v>
      </c>
      <c r="U692">
        <v>0</v>
      </c>
      <c r="V692" s="10">
        <v>0.11267605633802817</v>
      </c>
      <c r="W692" s="5">
        <v>2</v>
      </c>
      <c r="X692" s="5">
        <v>1</v>
      </c>
      <c r="Y692" s="5">
        <v>1</v>
      </c>
      <c r="Z692" s="5">
        <v>4</v>
      </c>
    </row>
    <row r="693" spans="1:26" x14ac:dyDescent="0.35">
      <c r="A693">
        <v>692</v>
      </c>
      <c r="B693" s="10">
        <v>0.68627450980392157</v>
      </c>
      <c r="C693">
        <v>0</v>
      </c>
      <c r="D693">
        <v>1</v>
      </c>
      <c r="E693">
        <v>0</v>
      </c>
      <c r="F693">
        <v>0</v>
      </c>
      <c r="G693">
        <v>0</v>
      </c>
      <c r="H693">
        <v>1</v>
      </c>
      <c r="I693">
        <v>0</v>
      </c>
      <c r="J693" s="10">
        <v>0.59166312207571248</v>
      </c>
      <c r="K693">
        <v>0</v>
      </c>
      <c r="L693">
        <v>1</v>
      </c>
      <c r="M693">
        <v>0</v>
      </c>
      <c r="N693" s="10">
        <v>0.4180567732151742</v>
      </c>
      <c r="O693" s="11">
        <v>0.5719471216724682</v>
      </c>
      <c r="P693" s="10">
        <v>0.5</v>
      </c>
      <c r="Q693">
        <v>0</v>
      </c>
      <c r="R693">
        <v>0</v>
      </c>
      <c r="S693">
        <v>0</v>
      </c>
      <c r="T693">
        <v>0</v>
      </c>
      <c r="U693">
        <v>0</v>
      </c>
      <c r="V693" s="10">
        <v>0.10704225352112676</v>
      </c>
      <c r="W693" s="5">
        <v>2</v>
      </c>
      <c r="X693" s="5">
        <v>2</v>
      </c>
      <c r="Y693" s="5">
        <v>2</v>
      </c>
      <c r="Z693" s="5">
        <v>6</v>
      </c>
    </row>
    <row r="694" spans="1:26" x14ac:dyDescent="0.35">
      <c r="A694">
        <v>693</v>
      </c>
      <c r="B694" s="10">
        <v>0.88235294117647056</v>
      </c>
      <c r="C694">
        <v>0</v>
      </c>
      <c r="D694">
        <v>1</v>
      </c>
      <c r="E694">
        <v>0</v>
      </c>
      <c r="F694">
        <v>0</v>
      </c>
      <c r="G694">
        <v>0</v>
      </c>
      <c r="H694">
        <v>3</v>
      </c>
      <c r="I694">
        <v>0</v>
      </c>
      <c r="J694" s="10">
        <v>0.87749893662271372</v>
      </c>
      <c r="K694">
        <v>1</v>
      </c>
      <c r="L694">
        <v>0</v>
      </c>
      <c r="M694">
        <v>0</v>
      </c>
      <c r="N694" s="10">
        <v>0.63526881975215022</v>
      </c>
      <c r="O694" s="11">
        <v>0.54191734240125555</v>
      </c>
      <c r="P694" s="10">
        <v>0.875</v>
      </c>
      <c r="Q694">
        <v>1</v>
      </c>
      <c r="R694">
        <v>0</v>
      </c>
      <c r="S694">
        <v>1</v>
      </c>
      <c r="T694">
        <v>0</v>
      </c>
      <c r="U694">
        <v>0</v>
      </c>
      <c r="V694" s="10">
        <v>4.507042253521127E-2</v>
      </c>
      <c r="W694" s="5">
        <v>3</v>
      </c>
      <c r="X694" s="5">
        <v>3</v>
      </c>
      <c r="Y694" s="5">
        <v>3</v>
      </c>
      <c r="Z694" s="5">
        <v>9</v>
      </c>
    </row>
    <row r="695" spans="1:26" x14ac:dyDescent="0.35">
      <c r="A695">
        <v>694</v>
      </c>
      <c r="B695" s="10">
        <v>1</v>
      </c>
      <c r="C695">
        <v>0</v>
      </c>
      <c r="D695">
        <v>0</v>
      </c>
      <c r="E695">
        <v>0</v>
      </c>
      <c r="F695">
        <v>0</v>
      </c>
      <c r="G695">
        <v>1</v>
      </c>
      <c r="H695">
        <v>3</v>
      </c>
      <c r="I695">
        <v>0</v>
      </c>
      <c r="J695" s="10">
        <v>8.1242024670353047E-2</v>
      </c>
      <c r="K695">
        <v>0</v>
      </c>
      <c r="L695">
        <v>0</v>
      </c>
      <c r="M695">
        <v>1</v>
      </c>
      <c r="N695" s="10">
        <v>0.44150889747174371</v>
      </c>
      <c r="O695" s="11">
        <v>0.43129352990718411</v>
      </c>
      <c r="P695" s="10">
        <v>0.75</v>
      </c>
      <c r="Q695">
        <v>0</v>
      </c>
      <c r="R695">
        <v>0</v>
      </c>
      <c r="S695">
        <v>0</v>
      </c>
      <c r="T695">
        <v>0</v>
      </c>
      <c r="U695">
        <v>0</v>
      </c>
      <c r="V695" s="10">
        <v>0.25070422535211268</v>
      </c>
      <c r="W695" s="5">
        <v>1</v>
      </c>
      <c r="X695" s="5">
        <v>2</v>
      </c>
      <c r="Y695" s="5">
        <v>2</v>
      </c>
      <c r="Z695" s="5">
        <v>5</v>
      </c>
    </row>
    <row r="696" spans="1:26" x14ac:dyDescent="0.35">
      <c r="A696">
        <v>695</v>
      </c>
      <c r="B696" s="10">
        <v>0.15686274509803921</v>
      </c>
      <c r="C696">
        <v>0</v>
      </c>
      <c r="D696">
        <v>1</v>
      </c>
      <c r="E696">
        <v>0</v>
      </c>
      <c r="F696">
        <v>0</v>
      </c>
      <c r="G696">
        <v>0</v>
      </c>
      <c r="H696">
        <v>2</v>
      </c>
      <c r="I696">
        <v>1</v>
      </c>
      <c r="J696" s="10">
        <v>0.48957890259464065</v>
      </c>
      <c r="K696">
        <v>1</v>
      </c>
      <c r="L696">
        <v>0</v>
      </c>
      <c r="M696">
        <v>0</v>
      </c>
      <c r="N696" s="10">
        <v>0.77175497002582749</v>
      </c>
      <c r="O696" s="11">
        <v>0.58472672153027894</v>
      </c>
      <c r="P696" s="10">
        <v>1</v>
      </c>
      <c r="Q696">
        <v>2</v>
      </c>
      <c r="R696">
        <v>1</v>
      </c>
      <c r="S696">
        <v>0</v>
      </c>
      <c r="T696">
        <v>0</v>
      </c>
      <c r="U696">
        <v>1</v>
      </c>
      <c r="V696" s="10">
        <v>1.6901408450704224E-2</v>
      </c>
      <c r="W696" s="5">
        <v>3</v>
      </c>
      <c r="X696" s="5">
        <v>3</v>
      </c>
      <c r="Y696" s="5">
        <v>3</v>
      </c>
      <c r="Z696" s="5">
        <v>9</v>
      </c>
    </row>
    <row r="697" spans="1:26" x14ac:dyDescent="0.35">
      <c r="A697">
        <v>696</v>
      </c>
      <c r="B697" s="10">
        <v>0.49019607843137253</v>
      </c>
      <c r="C697">
        <v>0</v>
      </c>
      <c r="D697">
        <v>0</v>
      </c>
      <c r="E697">
        <v>0</v>
      </c>
      <c r="F697">
        <v>0</v>
      </c>
      <c r="G697">
        <v>1</v>
      </c>
      <c r="H697">
        <v>2</v>
      </c>
      <c r="I697">
        <v>1</v>
      </c>
      <c r="J697" s="10">
        <v>6.0825180774138662E-2</v>
      </c>
      <c r="K697">
        <v>0</v>
      </c>
      <c r="L697">
        <v>1</v>
      </c>
      <c r="M697">
        <v>0</v>
      </c>
      <c r="N697" s="10">
        <v>1.361573821766225E-2</v>
      </c>
      <c r="O697" s="11">
        <v>0.11221553753596653</v>
      </c>
      <c r="P697" s="10">
        <v>0</v>
      </c>
      <c r="Q697">
        <v>1</v>
      </c>
      <c r="R697">
        <v>1</v>
      </c>
      <c r="S697">
        <v>1</v>
      </c>
      <c r="T697">
        <v>0</v>
      </c>
      <c r="U697">
        <v>0</v>
      </c>
      <c r="V697" s="10">
        <v>0.78591549295774643</v>
      </c>
      <c r="W697" s="5">
        <v>1</v>
      </c>
      <c r="X697" s="5">
        <v>1</v>
      </c>
      <c r="Y697" s="5">
        <v>1</v>
      </c>
      <c r="Z697" s="5">
        <v>3</v>
      </c>
    </row>
    <row r="698" spans="1:26" x14ac:dyDescent="0.35">
      <c r="A698">
        <v>697</v>
      </c>
      <c r="B698" s="10">
        <v>0.41176470588235292</v>
      </c>
      <c r="C698">
        <v>1</v>
      </c>
      <c r="D698">
        <v>0</v>
      </c>
      <c r="E698">
        <v>1</v>
      </c>
      <c r="F698">
        <v>0</v>
      </c>
      <c r="G698">
        <v>0</v>
      </c>
      <c r="H698">
        <v>3</v>
      </c>
      <c r="I698">
        <v>0</v>
      </c>
      <c r="J698" s="10">
        <v>0.24457677584006807</v>
      </c>
      <c r="K698">
        <v>0</v>
      </c>
      <c r="L698">
        <v>0</v>
      </c>
      <c r="M698">
        <v>1</v>
      </c>
      <c r="N698" s="10">
        <v>0.14196265668317418</v>
      </c>
      <c r="O698" s="11">
        <v>0.49206221453147952</v>
      </c>
      <c r="P698" s="10">
        <v>0.125</v>
      </c>
      <c r="Q698">
        <v>0</v>
      </c>
      <c r="R698">
        <v>0</v>
      </c>
      <c r="S698">
        <v>0</v>
      </c>
      <c r="T698">
        <v>0</v>
      </c>
      <c r="U698">
        <v>0</v>
      </c>
      <c r="V698" s="10">
        <v>0.30422535211267604</v>
      </c>
      <c r="W698" s="5">
        <v>1</v>
      </c>
      <c r="X698" s="5">
        <v>1</v>
      </c>
      <c r="Y698" s="5">
        <v>1</v>
      </c>
      <c r="Z698" s="5">
        <v>3</v>
      </c>
    </row>
    <row r="699" spans="1:26" x14ac:dyDescent="0.35">
      <c r="A699">
        <v>698</v>
      </c>
      <c r="B699" s="10">
        <v>0.88235294117647056</v>
      </c>
      <c r="C699">
        <v>0</v>
      </c>
      <c r="D699">
        <v>0</v>
      </c>
      <c r="E699">
        <v>0</v>
      </c>
      <c r="F699">
        <v>1</v>
      </c>
      <c r="G699">
        <v>0</v>
      </c>
      <c r="H699">
        <v>1</v>
      </c>
      <c r="I699">
        <v>0</v>
      </c>
      <c r="J699" s="10">
        <v>0.71416418545299876</v>
      </c>
      <c r="K699">
        <v>0</v>
      </c>
      <c r="L699">
        <v>1</v>
      </c>
      <c r="M699">
        <v>0</v>
      </c>
      <c r="N699" s="10">
        <v>7.7962467123190285E-2</v>
      </c>
      <c r="O699" s="11">
        <v>0.27467353467876615</v>
      </c>
      <c r="P699" s="10">
        <v>0.125</v>
      </c>
      <c r="Q699">
        <v>0</v>
      </c>
      <c r="R699">
        <v>0</v>
      </c>
      <c r="S699">
        <v>0</v>
      </c>
      <c r="T699">
        <v>0</v>
      </c>
      <c r="U699">
        <v>0</v>
      </c>
      <c r="V699" s="10">
        <v>0.15211267605633802</v>
      </c>
      <c r="W699" s="5">
        <v>2</v>
      </c>
      <c r="X699" s="5">
        <v>1</v>
      </c>
      <c r="Y699" s="5">
        <v>1</v>
      </c>
      <c r="Z699" s="5">
        <v>4</v>
      </c>
    </row>
    <row r="700" spans="1:26" x14ac:dyDescent="0.35">
      <c r="A700">
        <v>699</v>
      </c>
      <c r="B700" s="10">
        <v>0.72549019607843135</v>
      </c>
      <c r="C700">
        <v>1</v>
      </c>
      <c r="D700">
        <v>0</v>
      </c>
      <c r="E700">
        <v>0</v>
      </c>
      <c r="F700">
        <v>0</v>
      </c>
      <c r="G700">
        <v>1</v>
      </c>
      <c r="H700">
        <v>1</v>
      </c>
      <c r="I700">
        <v>1</v>
      </c>
      <c r="J700" s="10">
        <v>0.16290940025521056</v>
      </c>
      <c r="K700">
        <v>1</v>
      </c>
      <c r="L700">
        <v>0</v>
      </c>
      <c r="M700">
        <v>0</v>
      </c>
      <c r="N700" s="10">
        <v>0.29155510271781621</v>
      </c>
      <c r="O700" s="11">
        <v>0.50009054508138984</v>
      </c>
      <c r="P700" s="10">
        <v>0.375</v>
      </c>
      <c r="Q700">
        <v>0</v>
      </c>
      <c r="R700">
        <v>0</v>
      </c>
      <c r="S700">
        <v>0</v>
      </c>
      <c r="T700">
        <v>0</v>
      </c>
      <c r="U700">
        <v>0</v>
      </c>
      <c r="V700" s="10">
        <v>9.8591549295774641E-2</v>
      </c>
      <c r="W700" s="5">
        <v>2</v>
      </c>
      <c r="X700" s="5">
        <v>2</v>
      </c>
      <c r="Y700" s="5">
        <v>2</v>
      </c>
      <c r="Z700" s="5">
        <v>6</v>
      </c>
    </row>
    <row r="701" spans="1:26" x14ac:dyDescent="0.35">
      <c r="A701">
        <v>700</v>
      </c>
      <c r="B701" s="10">
        <v>0.43137254901960786</v>
      </c>
      <c r="C701">
        <v>1</v>
      </c>
      <c r="D701">
        <v>0</v>
      </c>
      <c r="E701">
        <v>1</v>
      </c>
      <c r="F701">
        <v>0</v>
      </c>
      <c r="G701">
        <v>0</v>
      </c>
      <c r="H701">
        <v>3</v>
      </c>
      <c r="I701">
        <v>0</v>
      </c>
      <c r="J701" s="10">
        <v>0.7754147171416419</v>
      </c>
      <c r="K701">
        <v>0</v>
      </c>
      <c r="L701">
        <v>0</v>
      </c>
      <c r="M701">
        <v>1</v>
      </c>
      <c r="N701" s="10">
        <v>0.82946709949529651</v>
      </c>
      <c r="O701" s="11">
        <v>0.7068250870238838</v>
      </c>
      <c r="P701" s="10">
        <v>0.875</v>
      </c>
      <c r="Q701">
        <v>2</v>
      </c>
      <c r="R701">
        <v>1</v>
      </c>
      <c r="S701">
        <v>0</v>
      </c>
      <c r="T701">
        <v>0</v>
      </c>
      <c r="U701">
        <v>1</v>
      </c>
      <c r="V701" s="10">
        <v>0.29577464788732394</v>
      </c>
      <c r="W701" s="5">
        <v>1</v>
      </c>
      <c r="X701" s="5">
        <v>3</v>
      </c>
      <c r="Y701" s="5">
        <v>3</v>
      </c>
      <c r="Z701" s="5">
        <v>7</v>
      </c>
    </row>
    <row r="702" spans="1:26" x14ac:dyDescent="0.35">
      <c r="A702">
        <v>701</v>
      </c>
      <c r="B702" s="10">
        <v>0.31372549019607843</v>
      </c>
      <c r="C702">
        <v>0</v>
      </c>
      <c r="D702">
        <v>0</v>
      </c>
      <c r="E702">
        <v>0</v>
      </c>
      <c r="F702">
        <v>0</v>
      </c>
      <c r="G702">
        <v>1</v>
      </c>
      <c r="H702">
        <v>3</v>
      </c>
      <c r="I702">
        <v>0</v>
      </c>
      <c r="J702" s="10">
        <v>0.83666524883028492</v>
      </c>
      <c r="K702">
        <v>0</v>
      </c>
      <c r="L702">
        <v>0</v>
      </c>
      <c r="M702">
        <v>1</v>
      </c>
      <c r="N702" s="10">
        <v>0.70649598369784139</v>
      </c>
      <c r="O702" s="11">
        <v>0.53546796157311471</v>
      </c>
      <c r="P702" s="10">
        <v>1</v>
      </c>
      <c r="Q702">
        <v>0</v>
      </c>
      <c r="R702">
        <v>0</v>
      </c>
      <c r="S702">
        <v>0</v>
      </c>
      <c r="T702">
        <v>0</v>
      </c>
      <c r="U702">
        <v>0</v>
      </c>
      <c r="V702" s="10">
        <v>0.16901408450704225</v>
      </c>
      <c r="W702" s="5">
        <v>2</v>
      </c>
      <c r="X702" s="5">
        <v>3</v>
      </c>
      <c r="Y702" s="5">
        <v>3</v>
      </c>
      <c r="Z702" s="5">
        <v>8</v>
      </c>
    </row>
    <row r="703" spans="1:26" x14ac:dyDescent="0.35">
      <c r="A703">
        <v>702</v>
      </c>
      <c r="B703" s="10">
        <v>0.49019607843137253</v>
      </c>
      <c r="C703">
        <v>1</v>
      </c>
      <c r="D703">
        <v>0</v>
      </c>
      <c r="E703">
        <v>0</v>
      </c>
      <c r="F703">
        <v>1</v>
      </c>
      <c r="G703">
        <v>0</v>
      </c>
      <c r="H703">
        <v>1</v>
      </c>
      <c r="I703">
        <v>1</v>
      </c>
      <c r="J703" s="10">
        <v>0.7754147171416419</v>
      </c>
      <c r="K703">
        <v>1</v>
      </c>
      <c r="L703">
        <v>0</v>
      </c>
      <c r="M703">
        <v>0</v>
      </c>
      <c r="N703" s="10">
        <v>0.19902909745752675</v>
      </c>
      <c r="O703" s="11">
        <v>0.27435964506328098</v>
      </c>
      <c r="P703" s="10">
        <v>0.5</v>
      </c>
      <c r="Q703">
        <v>0</v>
      </c>
      <c r="R703">
        <v>0</v>
      </c>
      <c r="S703">
        <v>0</v>
      </c>
      <c r="T703">
        <v>0</v>
      </c>
      <c r="U703">
        <v>0</v>
      </c>
      <c r="V703" s="10">
        <v>0.20845070422535211</v>
      </c>
      <c r="W703" s="5">
        <v>2</v>
      </c>
      <c r="X703" s="5">
        <v>2</v>
      </c>
      <c r="Y703" s="5">
        <v>1</v>
      </c>
      <c r="Z703" s="5">
        <v>5</v>
      </c>
    </row>
    <row r="704" spans="1:26" x14ac:dyDescent="0.35">
      <c r="A704">
        <v>703</v>
      </c>
      <c r="B704" s="10">
        <v>0.90196078431372551</v>
      </c>
      <c r="C704">
        <v>0</v>
      </c>
      <c r="D704">
        <v>1</v>
      </c>
      <c r="E704">
        <v>0</v>
      </c>
      <c r="F704">
        <v>0</v>
      </c>
      <c r="G704">
        <v>0</v>
      </c>
      <c r="H704">
        <v>2</v>
      </c>
      <c r="I704">
        <v>0</v>
      </c>
      <c r="J704" s="10">
        <v>0.30582730752871118</v>
      </c>
      <c r="K704">
        <v>1</v>
      </c>
      <c r="L704">
        <v>0</v>
      </c>
      <c r="M704">
        <v>0</v>
      </c>
      <c r="N704" s="10">
        <v>0.37904592090609679</v>
      </c>
      <c r="O704" s="11">
        <v>0.37067431652835786</v>
      </c>
      <c r="P704" s="10">
        <v>0.75</v>
      </c>
      <c r="Q704">
        <v>2</v>
      </c>
      <c r="R704">
        <v>0</v>
      </c>
      <c r="S704">
        <v>1</v>
      </c>
      <c r="T704">
        <v>0</v>
      </c>
      <c r="U704">
        <v>1</v>
      </c>
      <c r="V704" s="10">
        <v>0.16338028169014085</v>
      </c>
      <c r="W704" s="5">
        <v>2</v>
      </c>
      <c r="X704" s="5">
        <v>2</v>
      </c>
      <c r="Y704" s="5">
        <v>2</v>
      </c>
      <c r="Z704" s="5">
        <v>6</v>
      </c>
    </row>
    <row r="705" spans="1:26" x14ac:dyDescent="0.35">
      <c r="A705">
        <v>704</v>
      </c>
      <c r="B705" s="10">
        <v>0.72549019607843135</v>
      </c>
      <c r="C705">
        <v>0</v>
      </c>
      <c r="D705">
        <v>1</v>
      </c>
      <c r="E705">
        <v>0</v>
      </c>
      <c r="F705">
        <v>0</v>
      </c>
      <c r="G705">
        <v>0</v>
      </c>
      <c r="H705">
        <v>2</v>
      </c>
      <c r="I705">
        <v>0</v>
      </c>
      <c r="J705" s="10">
        <v>0.10165886856656743</v>
      </c>
      <c r="K705">
        <v>0</v>
      </c>
      <c r="L705">
        <v>1</v>
      </c>
      <c r="M705">
        <v>0</v>
      </c>
      <c r="N705" s="10">
        <v>0.27808449636281779</v>
      </c>
      <c r="O705" s="11">
        <v>0.63628376157803301</v>
      </c>
      <c r="P705" s="10">
        <v>0.25</v>
      </c>
      <c r="Q705">
        <v>0</v>
      </c>
      <c r="R705">
        <v>0</v>
      </c>
      <c r="S705">
        <v>0</v>
      </c>
      <c r="T705">
        <v>0</v>
      </c>
      <c r="U705">
        <v>0</v>
      </c>
      <c r="V705" s="10">
        <v>0.6901408450704225</v>
      </c>
      <c r="W705" s="5">
        <v>1</v>
      </c>
      <c r="X705" s="5">
        <v>2</v>
      </c>
      <c r="Y705" s="5">
        <v>2</v>
      </c>
      <c r="Z705" s="5">
        <v>5</v>
      </c>
    </row>
    <row r="706" spans="1:26" x14ac:dyDescent="0.35">
      <c r="A706">
        <v>705</v>
      </c>
      <c r="B706" s="10">
        <v>1.9607843137254902E-2</v>
      </c>
      <c r="C706">
        <v>1</v>
      </c>
      <c r="D706">
        <v>0</v>
      </c>
      <c r="E706">
        <v>0</v>
      </c>
      <c r="F706">
        <v>0</v>
      </c>
      <c r="G706">
        <v>1</v>
      </c>
      <c r="H706">
        <v>1</v>
      </c>
      <c r="I706">
        <v>0</v>
      </c>
      <c r="J706" s="10">
        <v>0.81624840493407058</v>
      </c>
      <c r="K706">
        <v>0</v>
      </c>
      <c r="L706">
        <v>1</v>
      </c>
      <c r="M706">
        <v>0</v>
      </c>
      <c r="N706" s="10">
        <v>0.52533883847119867</v>
      </c>
      <c r="O706" s="11">
        <v>0.51264900414782699</v>
      </c>
      <c r="P706" s="10">
        <v>0.75</v>
      </c>
      <c r="Q706">
        <v>2</v>
      </c>
      <c r="R706">
        <v>1</v>
      </c>
      <c r="S706">
        <v>0</v>
      </c>
      <c r="T706">
        <v>0</v>
      </c>
      <c r="U706">
        <v>1</v>
      </c>
      <c r="V706" s="10">
        <v>0.35774647887323946</v>
      </c>
      <c r="W706" s="5">
        <v>1</v>
      </c>
      <c r="X706" s="5">
        <v>2</v>
      </c>
      <c r="Y706" s="5">
        <v>3</v>
      </c>
      <c r="Z706" s="5">
        <v>6</v>
      </c>
    </row>
    <row r="707" spans="1:26" x14ac:dyDescent="0.35">
      <c r="A707">
        <v>706</v>
      </c>
      <c r="B707" s="10">
        <v>9.8039215686274508E-2</v>
      </c>
      <c r="C707">
        <v>0</v>
      </c>
      <c r="D707">
        <v>0</v>
      </c>
      <c r="E707">
        <v>0</v>
      </c>
      <c r="F707">
        <v>1</v>
      </c>
      <c r="G707">
        <v>0</v>
      </c>
      <c r="H707">
        <v>3</v>
      </c>
      <c r="I707">
        <v>0</v>
      </c>
      <c r="J707" s="10">
        <v>0.32624415142492558</v>
      </c>
      <c r="K707">
        <v>0</v>
      </c>
      <c r="L707">
        <v>0</v>
      </c>
      <c r="M707">
        <v>1</v>
      </c>
      <c r="N707" s="10">
        <v>2.7900860128426887E-2</v>
      </c>
      <c r="O707" s="11">
        <v>0.20925974365681402</v>
      </c>
      <c r="P707" s="10">
        <v>0</v>
      </c>
      <c r="Q707">
        <v>1</v>
      </c>
      <c r="R707">
        <v>1</v>
      </c>
      <c r="S707">
        <v>0</v>
      </c>
      <c r="T707">
        <v>1</v>
      </c>
      <c r="U707">
        <v>0</v>
      </c>
      <c r="V707" s="10">
        <v>0.62253521126760558</v>
      </c>
      <c r="W707" s="5">
        <v>1</v>
      </c>
      <c r="X707" s="5">
        <v>1</v>
      </c>
      <c r="Y707" s="5">
        <v>1</v>
      </c>
      <c r="Z707" s="5">
        <v>3</v>
      </c>
    </row>
    <row r="708" spans="1:26" x14ac:dyDescent="0.35">
      <c r="A708">
        <v>707</v>
      </c>
      <c r="B708" s="10">
        <v>0.11764705882352941</v>
      </c>
      <c r="C708">
        <v>1</v>
      </c>
      <c r="D708">
        <v>0</v>
      </c>
      <c r="E708">
        <v>1</v>
      </c>
      <c r="F708">
        <v>0</v>
      </c>
      <c r="G708">
        <v>0</v>
      </c>
      <c r="H708">
        <v>2</v>
      </c>
      <c r="I708">
        <v>0</v>
      </c>
      <c r="J708" s="10">
        <v>0.93874946831135686</v>
      </c>
      <c r="K708">
        <v>0</v>
      </c>
      <c r="L708">
        <v>0</v>
      </c>
      <c r="M708">
        <v>1</v>
      </c>
      <c r="N708" s="10">
        <v>7.5350093595242043E-3</v>
      </c>
      <c r="O708" s="11">
        <v>7.0906859292943519E-2</v>
      </c>
      <c r="P708" s="10">
        <v>0</v>
      </c>
      <c r="Q708">
        <v>1</v>
      </c>
      <c r="R708">
        <v>1</v>
      </c>
      <c r="S708">
        <v>0</v>
      </c>
      <c r="T708">
        <v>0</v>
      </c>
      <c r="U708">
        <v>1</v>
      </c>
      <c r="V708" s="10">
        <v>0.73239436619718312</v>
      </c>
      <c r="W708" s="5">
        <v>1</v>
      </c>
      <c r="X708" s="5">
        <v>1</v>
      </c>
      <c r="Y708" s="5">
        <v>1</v>
      </c>
      <c r="Z708" s="5">
        <v>3</v>
      </c>
    </row>
    <row r="709" spans="1:26" x14ac:dyDescent="0.35">
      <c r="A709">
        <v>708</v>
      </c>
      <c r="B709" s="10">
        <v>0.23529411764705882</v>
      </c>
      <c r="C709">
        <v>1</v>
      </c>
      <c r="D709">
        <v>0</v>
      </c>
      <c r="E709">
        <v>1</v>
      </c>
      <c r="F709">
        <v>0</v>
      </c>
      <c r="G709">
        <v>0</v>
      </c>
      <c r="H709">
        <v>1</v>
      </c>
      <c r="I709">
        <v>0</v>
      </c>
      <c r="J709" s="10">
        <v>0.57124627817949813</v>
      </c>
      <c r="K709">
        <v>0</v>
      </c>
      <c r="L709">
        <v>1</v>
      </c>
      <c r="M709">
        <v>0</v>
      </c>
      <c r="N709" s="10">
        <v>0.23626282491765987</v>
      </c>
      <c r="O709" s="11">
        <v>0.54158031348719293</v>
      </c>
      <c r="P709" s="10">
        <v>0.25</v>
      </c>
      <c r="Q709">
        <v>1</v>
      </c>
      <c r="R709">
        <v>1</v>
      </c>
      <c r="S709">
        <v>0</v>
      </c>
      <c r="T709">
        <v>1</v>
      </c>
      <c r="U709">
        <v>0</v>
      </c>
      <c r="V709" s="10">
        <v>4.507042253521127E-2</v>
      </c>
      <c r="W709" s="5">
        <v>3</v>
      </c>
      <c r="X709" s="5">
        <v>2</v>
      </c>
      <c r="Y709" s="5">
        <v>1</v>
      </c>
      <c r="Z709" s="5">
        <v>6</v>
      </c>
    </row>
    <row r="710" spans="1:26" x14ac:dyDescent="0.35">
      <c r="A710">
        <v>709</v>
      </c>
      <c r="B710" s="10">
        <v>0.50980392156862742</v>
      </c>
      <c r="C710">
        <v>1</v>
      </c>
      <c r="D710">
        <v>0</v>
      </c>
      <c r="E710">
        <v>1</v>
      </c>
      <c r="F710">
        <v>0</v>
      </c>
      <c r="G710">
        <v>0</v>
      </c>
      <c r="H710">
        <v>3</v>
      </c>
      <c r="I710">
        <v>0</v>
      </c>
      <c r="J710" s="10">
        <v>0.26499361973628244</v>
      </c>
      <c r="K710">
        <v>1</v>
      </c>
      <c r="L710">
        <v>0</v>
      </c>
      <c r="M710">
        <v>0</v>
      </c>
      <c r="N710" s="10">
        <v>9.9856645262185142E-2</v>
      </c>
      <c r="O710" s="11">
        <v>0.69808245638745248</v>
      </c>
      <c r="P710" s="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 s="10">
        <v>0.6591549295774648</v>
      </c>
      <c r="W710" s="5">
        <v>1</v>
      </c>
      <c r="X710" s="5">
        <v>1</v>
      </c>
      <c r="Y710" s="5">
        <v>1</v>
      </c>
      <c r="Z710" s="5">
        <v>3</v>
      </c>
    </row>
    <row r="711" spans="1:26" x14ac:dyDescent="0.35">
      <c r="A711">
        <v>710</v>
      </c>
      <c r="B711" s="10">
        <v>0.19607843137254902</v>
      </c>
      <c r="C711">
        <v>1</v>
      </c>
      <c r="D711">
        <v>0</v>
      </c>
      <c r="E711">
        <v>0</v>
      </c>
      <c r="F711">
        <v>0</v>
      </c>
      <c r="G711">
        <v>1</v>
      </c>
      <c r="H711">
        <v>3</v>
      </c>
      <c r="I711">
        <v>0</v>
      </c>
      <c r="J711" s="10">
        <v>0.83666524883028492</v>
      </c>
      <c r="K711">
        <v>0</v>
      </c>
      <c r="L711">
        <v>1</v>
      </c>
      <c r="M711">
        <v>0</v>
      </c>
      <c r="N711" s="10">
        <v>0.4039582494135488</v>
      </c>
      <c r="O711" s="11">
        <v>0.4606598388968256</v>
      </c>
      <c r="P711" s="10">
        <v>0.625</v>
      </c>
      <c r="Q711">
        <v>0</v>
      </c>
      <c r="R711">
        <v>0</v>
      </c>
      <c r="S711">
        <v>0</v>
      </c>
      <c r="T711">
        <v>0</v>
      </c>
      <c r="U711">
        <v>0</v>
      </c>
      <c r="V711" s="10">
        <v>7.3239436619718309E-2</v>
      </c>
      <c r="W711" s="5">
        <v>3</v>
      </c>
      <c r="X711" s="5">
        <v>2</v>
      </c>
      <c r="Y711" s="5">
        <v>2</v>
      </c>
      <c r="Z711" s="5">
        <v>7</v>
      </c>
    </row>
    <row r="712" spans="1:26" x14ac:dyDescent="0.35">
      <c r="A712">
        <v>711</v>
      </c>
      <c r="B712" s="10">
        <v>0.27450980392156865</v>
      </c>
      <c r="C712">
        <v>0</v>
      </c>
      <c r="D712">
        <v>1</v>
      </c>
      <c r="E712">
        <v>0</v>
      </c>
      <c r="F712">
        <v>0</v>
      </c>
      <c r="G712">
        <v>0</v>
      </c>
      <c r="H712">
        <v>2</v>
      </c>
      <c r="I712">
        <v>0</v>
      </c>
      <c r="J712" s="10">
        <v>0.22415993194385367</v>
      </c>
      <c r="K712">
        <v>0</v>
      </c>
      <c r="L712">
        <v>1</v>
      </c>
      <c r="M712">
        <v>0</v>
      </c>
      <c r="N712" s="10">
        <v>0.11319989100300926</v>
      </c>
      <c r="O712" s="11">
        <v>0.78872814342340891</v>
      </c>
      <c r="P712" s="10">
        <v>0</v>
      </c>
      <c r="Q712">
        <v>1</v>
      </c>
      <c r="R712">
        <v>1</v>
      </c>
      <c r="S712">
        <v>1</v>
      </c>
      <c r="T712">
        <v>0</v>
      </c>
      <c r="U712">
        <v>0</v>
      </c>
      <c r="V712" s="10">
        <v>0.61408450704225348</v>
      </c>
      <c r="W712" s="5">
        <v>1</v>
      </c>
      <c r="X712" s="5">
        <v>1</v>
      </c>
      <c r="Y712" s="5">
        <v>1</v>
      </c>
      <c r="Z712" s="5">
        <v>3</v>
      </c>
    </row>
    <row r="713" spans="1:26" x14ac:dyDescent="0.35">
      <c r="A713">
        <v>712</v>
      </c>
      <c r="B713" s="10">
        <v>0.15686274509803921</v>
      </c>
      <c r="C713">
        <v>0</v>
      </c>
      <c r="D713">
        <v>0</v>
      </c>
      <c r="E713">
        <v>0</v>
      </c>
      <c r="F713">
        <v>0</v>
      </c>
      <c r="G713">
        <v>1</v>
      </c>
      <c r="H713">
        <v>3</v>
      </c>
      <c r="I713">
        <v>0</v>
      </c>
      <c r="J713" s="10">
        <v>0.75499787324542744</v>
      </c>
      <c r="K713">
        <v>1</v>
      </c>
      <c r="L713">
        <v>0</v>
      </c>
      <c r="M713">
        <v>0</v>
      </c>
      <c r="N713" s="10">
        <v>0.34049415918299641</v>
      </c>
      <c r="O713" s="11">
        <v>0.46656471961206458</v>
      </c>
      <c r="P713" s="10">
        <v>0.5</v>
      </c>
      <c r="Q713">
        <v>2</v>
      </c>
      <c r="R713">
        <v>0</v>
      </c>
      <c r="S713">
        <v>0</v>
      </c>
      <c r="T713">
        <v>0</v>
      </c>
      <c r="U713">
        <v>1</v>
      </c>
      <c r="V713" s="10">
        <v>7.8873239436619724E-2</v>
      </c>
      <c r="W713" s="5">
        <v>3</v>
      </c>
      <c r="X713" s="5">
        <v>2</v>
      </c>
      <c r="Y713" s="5">
        <v>2</v>
      </c>
      <c r="Z713" s="5">
        <v>7</v>
      </c>
    </row>
    <row r="714" spans="1:26" x14ac:dyDescent="0.35">
      <c r="A714">
        <v>713</v>
      </c>
      <c r="B714" s="10">
        <v>0.13725490196078433</v>
      </c>
      <c r="C714">
        <v>0</v>
      </c>
      <c r="D714">
        <v>0</v>
      </c>
      <c r="E714">
        <v>0</v>
      </c>
      <c r="F714">
        <v>0</v>
      </c>
      <c r="G714">
        <v>1</v>
      </c>
      <c r="H714">
        <v>1</v>
      </c>
      <c r="I714">
        <v>0</v>
      </c>
      <c r="J714" s="10">
        <v>6.0825180774138662E-2</v>
      </c>
      <c r="K714">
        <v>0</v>
      </c>
      <c r="L714">
        <v>1</v>
      </c>
      <c r="M714">
        <v>0</v>
      </c>
      <c r="N714" s="10">
        <v>0.5280252588678529</v>
      </c>
      <c r="O714" s="11">
        <v>0.45084911165214586</v>
      </c>
      <c r="P714" s="10">
        <v>0.875</v>
      </c>
      <c r="Q714">
        <v>1</v>
      </c>
      <c r="R714">
        <v>0</v>
      </c>
      <c r="S714">
        <v>0</v>
      </c>
      <c r="T714">
        <v>0</v>
      </c>
      <c r="U714">
        <v>1</v>
      </c>
      <c r="V714" s="10">
        <v>0.15492957746478872</v>
      </c>
      <c r="W714" s="5">
        <v>2</v>
      </c>
      <c r="X714" s="5">
        <v>3</v>
      </c>
      <c r="Y714" s="5">
        <v>3</v>
      </c>
      <c r="Z714" s="5">
        <v>8</v>
      </c>
    </row>
    <row r="715" spans="1:26" x14ac:dyDescent="0.35">
      <c r="A715">
        <v>714</v>
      </c>
      <c r="B715" s="10">
        <v>0.88235294117647056</v>
      </c>
      <c r="C715">
        <v>1</v>
      </c>
      <c r="D715">
        <v>0</v>
      </c>
      <c r="E715">
        <v>0</v>
      </c>
      <c r="F715">
        <v>0</v>
      </c>
      <c r="G715">
        <v>1</v>
      </c>
      <c r="H715">
        <v>1</v>
      </c>
      <c r="I715">
        <v>0</v>
      </c>
      <c r="J715" s="10">
        <v>0.16290940025521056</v>
      </c>
      <c r="K715">
        <v>1</v>
      </c>
      <c r="L715">
        <v>0</v>
      </c>
      <c r="M715">
        <v>0</v>
      </c>
      <c r="N715" s="10">
        <v>0.34373148828282352</v>
      </c>
      <c r="O715" s="11">
        <v>0.29435199903418585</v>
      </c>
      <c r="P715" s="10">
        <v>0.875</v>
      </c>
      <c r="Q715">
        <v>0</v>
      </c>
      <c r="R715">
        <v>0</v>
      </c>
      <c r="S715">
        <v>0</v>
      </c>
      <c r="T715">
        <v>0</v>
      </c>
      <c r="U715">
        <v>0</v>
      </c>
      <c r="V715" s="10">
        <v>1.9718309859154931E-2</v>
      </c>
      <c r="W715" s="5">
        <v>3</v>
      </c>
      <c r="X715" s="5">
        <v>3</v>
      </c>
      <c r="Y715" s="5">
        <v>2</v>
      </c>
      <c r="Z715" s="5">
        <v>8</v>
      </c>
    </row>
    <row r="716" spans="1:26" x14ac:dyDescent="0.35">
      <c r="A716">
        <v>715</v>
      </c>
      <c r="B716" s="10">
        <v>9.8039215686274508E-2</v>
      </c>
      <c r="C716">
        <v>0</v>
      </c>
      <c r="D716">
        <v>0</v>
      </c>
      <c r="E716">
        <v>1</v>
      </c>
      <c r="F716">
        <v>0</v>
      </c>
      <c r="G716">
        <v>0</v>
      </c>
      <c r="H716">
        <v>1</v>
      </c>
      <c r="I716">
        <v>0</v>
      </c>
      <c r="J716" s="10">
        <v>0.7754147171416419</v>
      </c>
      <c r="K716">
        <v>0</v>
      </c>
      <c r="L716">
        <v>0</v>
      </c>
      <c r="M716">
        <v>1</v>
      </c>
      <c r="N716" s="10">
        <v>0.16175094187616992</v>
      </c>
      <c r="O716" s="11">
        <v>0.55927684661663213</v>
      </c>
      <c r="P716" s="10">
        <v>0.125</v>
      </c>
      <c r="Q716">
        <v>1</v>
      </c>
      <c r="R716">
        <v>1</v>
      </c>
      <c r="S716">
        <v>0</v>
      </c>
      <c r="T716">
        <v>0</v>
      </c>
      <c r="U716">
        <v>1</v>
      </c>
      <c r="V716" s="10">
        <v>0.40281690140845072</v>
      </c>
      <c r="W716" s="5">
        <v>1</v>
      </c>
      <c r="X716" s="5">
        <v>1</v>
      </c>
      <c r="Y716" s="5">
        <v>1</v>
      </c>
      <c r="Z716" s="5">
        <v>3</v>
      </c>
    </row>
    <row r="717" spans="1:26" x14ac:dyDescent="0.35">
      <c r="A717">
        <v>716</v>
      </c>
      <c r="B717" s="10">
        <v>0.92156862745098034</v>
      </c>
      <c r="C717">
        <v>1</v>
      </c>
      <c r="D717">
        <v>0</v>
      </c>
      <c r="E717">
        <v>0</v>
      </c>
      <c r="F717">
        <v>1</v>
      </c>
      <c r="G717">
        <v>0</v>
      </c>
      <c r="H717">
        <v>1</v>
      </c>
      <c r="I717">
        <v>1</v>
      </c>
      <c r="J717" s="10">
        <v>0.9591663122075712</v>
      </c>
      <c r="K717">
        <v>1</v>
      </c>
      <c r="L717">
        <v>0</v>
      </c>
      <c r="M717">
        <v>0</v>
      </c>
      <c r="N717" s="10">
        <v>0.95090988792265951</v>
      </c>
      <c r="O717" s="11">
        <v>0.71995635950645109</v>
      </c>
      <c r="P717" s="10">
        <v>1</v>
      </c>
      <c r="Q717">
        <v>2</v>
      </c>
      <c r="R717">
        <v>1</v>
      </c>
      <c r="S717">
        <v>0</v>
      </c>
      <c r="T717">
        <v>0</v>
      </c>
      <c r="U717">
        <v>1</v>
      </c>
      <c r="V717" s="10">
        <v>0.12394366197183099</v>
      </c>
      <c r="W717" s="5">
        <v>2</v>
      </c>
      <c r="X717" s="5">
        <v>3</v>
      </c>
      <c r="Y717" s="5">
        <v>3</v>
      </c>
      <c r="Z717" s="5">
        <v>8</v>
      </c>
    </row>
    <row r="718" spans="1:26" x14ac:dyDescent="0.35">
      <c r="A718">
        <v>717</v>
      </c>
      <c r="B718" s="10">
        <v>0.82352941176470584</v>
      </c>
      <c r="C718">
        <v>1</v>
      </c>
      <c r="D718">
        <v>0</v>
      </c>
      <c r="E718">
        <v>0</v>
      </c>
      <c r="F718">
        <v>0</v>
      </c>
      <c r="G718">
        <v>1</v>
      </c>
      <c r="H718">
        <v>3</v>
      </c>
      <c r="I718">
        <v>0</v>
      </c>
      <c r="J718" s="10">
        <v>0.6937473415567843</v>
      </c>
      <c r="K718">
        <v>0</v>
      </c>
      <c r="L718">
        <v>1</v>
      </c>
      <c r="M718">
        <v>0</v>
      </c>
      <c r="N718" s="10">
        <v>0.57484953676278938</v>
      </c>
      <c r="O718" s="11">
        <v>0.56069826067210327</v>
      </c>
      <c r="P718" s="10">
        <v>0.75</v>
      </c>
      <c r="Q718">
        <v>2</v>
      </c>
      <c r="R718">
        <v>1</v>
      </c>
      <c r="S718">
        <v>0</v>
      </c>
      <c r="T718">
        <v>1</v>
      </c>
      <c r="U718">
        <v>1</v>
      </c>
      <c r="V718" s="10">
        <v>0.25915492957746478</v>
      </c>
      <c r="W718" s="5">
        <v>1</v>
      </c>
      <c r="X718" s="5">
        <v>2</v>
      </c>
      <c r="Y718" s="5">
        <v>3</v>
      </c>
      <c r="Z718" s="5">
        <v>6</v>
      </c>
    </row>
    <row r="719" spans="1:26" x14ac:dyDescent="0.35">
      <c r="A719">
        <v>718</v>
      </c>
      <c r="B719" s="10">
        <v>5.8823529411764705E-2</v>
      </c>
      <c r="C719">
        <v>1</v>
      </c>
      <c r="D719">
        <v>0</v>
      </c>
      <c r="E719">
        <v>1</v>
      </c>
      <c r="F719">
        <v>0</v>
      </c>
      <c r="G719">
        <v>0</v>
      </c>
      <c r="H719">
        <v>1</v>
      </c>
      <c r="I719">
        <v>0</v>
      </c>
      <c r="J719" s="10">
        <v>0.7754147171416419</v>
      </c>
      <c r="K719">
        <v>1</v>
      </c>
      <c r="L719">
        <v>0</v>
      </c>
      <c r="M719">
        <v>0</v>
      </c>
      <c r="N719" s="10">
        <v>0.54362545316683641</v>
      </c>
      <c r="O719" s="11">
        <v>0.61879514678363756</v>
      </c>
      <c r="P719" s="10">
        <v>0.625</v>
      </c>
      <c r="Q719">
        <v>1</v>
      </c>
      <c r="R719">
        <v>1</v>
      </c>
      <c r="S719">
        <v>0</v>
      </c>
      <c r="T719">
        <v>1</v>
      </c>
      <c r="U719">
        <v>0</v>
      </c>
      <c r="V719" s="10">
        <v>0.21126760563380281</v>
      </c>
      <c r="W719" s="5">
        <v>2</v>
      </c>
      <c r="X719" s="5">
        <v>2</v>
      </c>
      <c r="Y719" s="5">
        <v>3</v>
      </c>
      <c r="Z719" s="5">
        <v>7</v>
      </c>
    </row>
    <row r="720" spans="1:26" x14ac:dyDescent="0.35">
      <c r="A720">
        <v>719</v>
      </c>
      <c r="B720" s="10">
        <v>0.19607843137254902</v>
      </c>
      <c r="C720">
        <v>1</v>
      </c>
      <c r="D720">
        <v>0</v>
      </c>
      <c r="E720">
        <v>0</v>
      </c>
      <c r="F720">
        <v>0</v>
      </c>
      <c r="G720">
        <v>1</v>
      </c>
      <c r="H720">
        <v>2</v>
      </c>
      <c r="I720">
        <v>0</v>
      </c>
      <c r="J720" s="10">
        <v>0.85708209272649938</v>
      </c>
      <c r="K720">
        <v>0</v>
      </c>
      <c r="L720">
        <v>0</v>
      </c>
      <c r="M720">
        <v>1</v>
      </c>
      <c r="N720" s="10">
        <v>0.12589744804871691</v>
      </c>
      <c r="O720" s="11">
        <v>0.43749371214712568</v>
      </c>
      <c r="P720" s="10">
        <v>0.125</v>
      </c>
      <c r="Q720">
        <v>0</v>
      </c>
      <c r="R720">
        <v>0</v>
      </c>
      <c r="S720">
        <v>0</v>
      </c>
      <c r="T720">
        <v>0</v>
      </c>
      <c r="U720">
        <v>0</v>
      </c>
      <c r="V720" s="10">
        <v>0.27042253521126758</v>
      </c>
      <c r="W720" s="5">
        <v>1</v>
      </c>
      <c r="X720" s="5">
        <v>1</v>
      </c>
      <c r="Y720" s="5">
        <v>1</v>
      </c>
      <c r="Z720" s="5">
        <v>3</v>
      </c>
    </row>
    <row r="721" spans="1:26" x14ac:dyDescent="0.35">
      <c r="A721">
        <v>720</v>
      </c>
      <c r="B721" s="10">
        <v>0.98039215686274506</v>
      </c>
      <c r="C721">
        <v>1</v>
      </c>
      <c r="D721">
        <v>0</v>
      </c>
      <c r="E721">
        <v>0</v>
      </c>
      <c r="F721">
        <v>0</v>
      </c>
      <c r="G721">
        <v>1</v>
      </c>
      <c r="H721">
        <v>3</v>
      </c>
      <c r="I721">
        <v>0</v>
      </c>
      <c r="J721" s="10">
        <v>0.48957890259464065</v>
      </c>
      <c r="K721">
        <v>0</v>
      </c>
      <c r="L721">
        <v>1</v>
      </c>
      <c r="M721">
        <v>0</v>
      </c>
      <c r="N721" s="10">
        <v>0.45652264057057557</v>
      </c>
      <c r="O721" s="11">
        <v>0.52017478554229801</v>
      </c>
      <c r="P721" s="10">
        <v>0.625</v>
      </c>
      <c r="Q721">
        <v>2</v>
      </c>
      <c r="R721">
        <v>1</v>
      </c>
      <c r="S721">
        <v>0</v>
      </c>
      <c r="T721">
        <v>1</v>
      </c>
      <c r="U721">
        <v>1</v>
      </c>
      <c r="V721" s="10">
        <v>0.28450704225352114</v>
      </c>
      <c r="W721" s="5">
        <v>1</v>
      </c>
      <c r="X721" s="5">
        <v>2</v>
      </c>
      <c r="Y721" s="5">
        <v>2</v>
      </c>
      <c r="Z721" s="5">
        <v>5</v>
      </c>
    </row>
    <row r="722" spans="1:26" x14ac:dyDescent="0.35">
      <c r="A722">
        <v>721</v>
      </c>
      <c r="B722" s="10">
        <v>0.52941176470588236</v>
      </c>
      <c r="C722">
        <v>1</v>
      </c>
      <c r="D722">
        <v>0</v>
      </c>
      <c r="E722">
        <v>1</v>
      </c>
      <c r="F722">
        <v>0</v>
      </c>
      <c r="G722">
        <v>0</v>
      </c>
      <c r="H722">
        <v>3</v>
      </c>
      <c r="I722">
        <v>0</v>
      </c>
      <c r="J722" s="10">
        <v>0.36707783921735437</v>
      </c>
      <c r="K722">
        <v>0</v>
      </c>
      <c r="L722">
        <v>1</v>
      </c>
      <c r="M722">
        <v>0</v>
      </c>
      <c r="N722" s="10">
        <v>0.26998376892637965</v>
      </c>
      <c r="O722" s="11">
        <v>0.37076399927563936</v>
      </c>
      <c r="P722" s="10">
        <v>0.5</v>
      </c>
      <c r="Q722">
        <v>0</v>
      </c>
      <c r="R722">
        <v>0</v>
      </c>
      <c r="S722">
        <v>0</v>
      </c>
      <c r="T722">
        <v>0</v>
      </c>
      <c r="U722">
        <v>0</v>
      </c>
      <c r="V722" s="10">
        <v>0.47323943661971829</v>
      </c>
      <c r="W722" s="5">
        <v>1</v>
      </c>
      <c r="X722" s="5">
        <v>2</v>
      </c>
      <c r="Y722" s="5">
        <v>2</v>
      </c>
      <c r="Z722" s="5">
        <v>5</v>
      </c>
    </row>
    <row r="723" spans="1:26" x14ac:dyDescent="0.35">
      <c r="A723">
        <v>722</v>
      </c>
      <c r="B723" s="10">
        <v>0.49019607843137253</v>
      </c>
      <c r="C723">
        <v>0</v>
      </c>
      <c r="D723">
        <v>0</v>
      </c>
      <c r="E723">
        <v>0</v>
      </c>
      <c r="F723">
        <v>1</v>
      </c>
      <c r="G723">
        <v>0</v>
      </c>
      <c r="H723">
        <v>3</v>
      </c>
      <c r="I723">
        <v>0</v>
      </c>
      <c r="J723" s="10">
        <v>0.509995746490855</v>
      </c>
      <c r="K723">
        <v>0</v>
      </c>
      <c r="L723">
        <v>1</v>
      </c>
      <c r="M723">
        <v>0</v>
      </c>
      <c r="N723" s="10">
        <v>0.23841314598488259</v>
      </c>
      <c r="O723" s="11">
        <v>0.54644962675305331</v>
      </c>
      <c r="P723" s="10">
        <v>0.25</v>
      </c>
      <c r="Q723">
        <v>1</v>
      </c>
      <c r="R723">
        <v>1</v>
      </c>
      <c r="S723">
        <v>0</v>
      </c>
      <c r="T723">
        <v>0</v>
      </c>
      <c r="U723">
        <v>1</v>
      </c>
      <c r="V723" s="10">
        <v>7.3239436619718309E-2</v>
      </c>
      <c r="W723" s="5">
        <v>3</v>
      </c>
      <c r="X723" s="5">
        <v>2</v>
      </c>
      <c r="Y723" s="5">
        <v>1</v>
      </c>
      <c r="Z723" s="5">
        <v>6</v>
      </c>
    </row>
    <row r="724" spans="1:26" x14ac:dyDescent="0.35">
      <c r="A724">
        <v>723</v>
      </c>
      <c r="B724" s="10">
        <v>5.8823529411764705E-2</v>
      </c>
      <c r="C724">
        <v>0</v>
      </c>
      <c r="D724">
        <v>0</v>
      </c>
      <c r="E724">
        <v>0</v>
      </c>
      <c r="F724">
        <v>1</v>
      </c>
      <c r="G724">
        <v>0</v>
      </c>
      <c r="H724">
        <v>1</v>
      </c>
      <c r="I724">
        <v>0</v>
      </c>
      <c r="J724" s="10">
        <v>0.26499361973628244</v>
      </c>
      <c r="K724">
        <v>0</v>
      </c>
      <c r="L724">
        <v>1</v>
      </c>
      <c r="M724">
        <v>0</v>
      </c>
      <c r="N724" s="10">
        <v>0.63199298628059608</v>
      </c>
      <c r="O724" s="11">
        <v>0.61615496718818719</v>
      </c>
      <c r="P724" s="10">
        <v>0.75</v>
      </c>
      <c r="Q724">
        <v>2</v>
      </c>
      <c r="R724">
        <v>0</v>
      </c>
      <c r="S724">
        <v>0</v>
      </c>
      <c r="T724">
        <v>1</v>
      </c>
      <c r="U724">
        <v>1</v>
      </c>
      <c r="V724" s="10">
        <v>0.16338028169014085</v>
      </c>
      <c r="W724" s="5">
        <v>2</v>
      </c>
      <c r="X724" s="5">
        <v>2</v>
      </c>
      <c r="Y724" s="5">
        <v>3</v>
      </c>
      <c r="Z724" s="5">
        <v>7</v>
      </c>
    </row>
    <row r="725" spans="1:26" x14ac:dyDescent="0.35">
      <c r="A725">
        <v>724</v>
      </c>
      <c r="B725" s="10">
        <v>0.27450980392156865</v>
      </c>
      <c r="C725">
        <v>0</v>
      </c>
      <c r="D725">
        <v>1</v>
      </c>
      <c r="E725">
        <v>0</v>
      </c>
      <c r="F725">
        <v>0</v>
      </c>
      <c r="G725">
        <v>0</v>
      </c>
      <c r="H725">
        <v>3</v>
      </c>
      <c r="I725">
        <v>0</v>
      </c>
      <c r="J725" s="10">
        <v>0.79583156103785624</v>
      </c>
      <c r="K725">
        <v>0</v>
      </c>
      <c r="L725">
        <v>1</v>
      </c>
      <c r="M725">
        <v>0</v>
      </c>
      <c r="N725" s="10">
        <v>0.13859500509442457</v>
      </c>
      <c r="O725" s="11">
        <v>0.48062335258254696</v>
      </c>
      <c r="P725" s="10">
        <v>0.125</v>
      </c>
      <c r="Q725">
        <v>1</v>
      </c>
      <c r="R725">
        <v>1</v>
      </c>
      <c r="S725">
        <v>0</v>
      </c>
      <c r="T725">
        <v>1</v>
      </c>
      <c r="U725">
        <v>0</v>
      </c>
      <c r="V725" s="10">
        <v>0.61971830985915488</v>
      </c>
      <c r="W725" s="5">
        <v>1</v>
      </c>
      <c r="X725" s="5">
        <v>1</v>
      </c>
      <c r="Y725" s="5">
        <v>1</v>
      </c>
      <c r="Z725" s="5">
        <v>3</v>
      </c>
    </row>
    <row r="726" spans="1:26" x14ac:dyDescent="0.35">
      <c r="A726">
        <v>725</v>
      </c>
      <c r="B726" s="10">
        <v>0.35294117647058826</v>
      </c>
      <c r="C726">
        <v>1</v>
      </c>
      <c r="D726">
        <v>0</v>
      </c>
      <c r="E726">
        <v>0</v>
      </c>
      <c r="F726">
        <v>0</v>
      </c>
      <c r="G726">
        <v>1</v>
      </c>
      <c r="H726">
        <v>1</v>
      </c>
      <c r="I726">
        <v>0</v>
      </c>
      <c r="J726" s="10">
        <v>0.44874521480221186</v>
      </c>
      <c r="K726">
        <v>1</v>
      </c>
      <c r="L726">
        <v>0</v>
      </c>
      <c r="M726">
        <v>0</v>
      </c>
      <c r="N726" s="10">
        <v>0.18289280382911166</v>
      </c>
      <c r="O726" s="11">
        <v>0.63108915672347532</v>
      </c>
      <c r="P726" s="10">
        <v>0.125</v>
      </c>
      <c r="Q726">
        <v>0</v>
      </c>
      <c r="R726">
        <v>0</v>
      </c>
      <c r="S726">
        <v>0</v>
      </c>
      <c r="T726">
        <v>0</v>
      </c>
      <c r="U726">
        <v>0</v>
      </c>
      <c r="V726" s="10">
        <v>0.676056338028169</v>
      </c>
      <c r="W726" s="5">
        <v>1</v>
      </c>
      <c r="X726" s="5">
        <v>1</v>
      </c>
      <c r="Y726" s="5">
        <v>1</v>
      </c>
      <c r="Z726" s="5">
        <v>3</v>
      </c>
    </row>
    <row r="727" spans="1:26" x14ac:dyDescent="0.35">
      <c r="A727">
        <v>726</v>
      </c>
      <c r="B727" s="10">
        <v>9.8039215686274508E-2</v>
      </c>
      <c r="C727">
        <v>1</v>
      </c>
      <c r="D727">
        <v>1</v>
      </c>
      <c r="E727">
        <v>0</v>
      </c>
      <c r="F727">
        <v>0</v>
      </c>
      <c r="G727">
        <v>0</v>
      </c>
      <c r="H727">
        <v>1</v>
      </c>
      <c r="I727">
        <v>0</v>
      </c>
      <c r="J727" s="10">
        <v>0.61207996597192693</v>
      </c>
      <c r="K727">
        <v>0</v>
      </c>
      <c r="L727">
        <v>0</v>
      </c>
      <c r="M727">
        <v>1</v>
      </c>
      <c r="N727" s="10">
        <v>0.6037485486813734</v>
      </c>
      <c r="O727" s="11">
        <v>0.51515121028592126</v>
      </c>
      <c r="P727" s="10">
        <v>0.875</v>
      </c>
      <c r="Q727">
        <v>1</v>
      </c>
      <c r="R727">
        <v>0</v>
      </c>
      <c r="S727">
        <v>1</v>
      </c>
      <c r="T727">
        <v>0</v>
      </c>
      <c r="U727">
        <v>0</v>
      </c>
      <c r="V727" s="10">
        <v>2.5352112676056339E-2</v>
      </c>
      <c r="W727" s="5">
        <v>3</v>
      </c>
      <c r="X727" s="5">
        <v>3</v>
      </c>
      <c r="Y727" s="5">
        <v>3</v>
      </c>
      <c r="Z727" s="5">
        <v>9</v>
      </c>
    </row>
    <row r="728" spans="1:26" x14ac:dyDescent="0.35">
      <c r="A728">
        <v>727</v>
      </c>
      <c r="B728" s="10">
        <v>7.8431372549019607E-2</v>
      </c>
      <c r="C728">
        <v>0</v>
      </c>
      <c r="D728">
        <v>0</v>
      </c>
      <c r="E728">
        <v>1</v>
      </c>
      <c r="F728">
        <v>0</v>
      </c>
      <c r="G728">
        <v>0</v>
      </c>
      <c r="H728">
        <v>3</v>
      </c>
      <c r="I728">
        <v>0</v>
      </c>
      <c r="J728" s="10">
        <v>0.61207996597192693</v>
      </c>
      <c r="K728">
        <v>1</v>
      </c>
      <c r="L728">
        <v>0</v>
      </c>
      <c r="M728">
        <v>0</v>
      </c>
      <c r="N728" s="10">
        <v>0.36795369997393551</v>
      </c>
      <c r="O728" s="11">
        <v>0.41989443114214242</v>
      </c>
      <c r="P728" s="10">
        <v>0.625</v>
      </c>
      <c r="Q728">
        <v>0</v>
      </c>
      <c r="R728">
        <v>0</v>
      </c>
      <c r="S728">
        <v>0</v>
      </c>
      <c r="T728">
        <v>0</v>
      </c>
      <c r="U728">
        <v>0</v>
      </c>
      <c r="V728" s="10">
        <v>2.2535211267605635E-2</v>
      </c>
      <c r="W728" s="5">
        <v>3</v>
      </c>
      <c r="X728" s="5">
        <v>2</v>
      </c>
      <c r="Y728" s="5">
        <v>2</v>
      </c>
      <c r="Z728" s="5">
        <v>7</v>
      </c>
    </row>
    <row r="729" spans="1:26" x14ac:dyDescent="0.35">
      <c r="A729">
        <v>728</v>
      </c>
      <c r="B729" s="10">
        <v>0.33333333333333331</v>
      </c>
      <c r="C729">
        <v>0</v>
      </c>
      <c r="D729">
        <v>0</v>
      </c>
      <c r="E729">
        <v>0</v>
      </c>
      <c r="F729">
        <v>0</v>
      </c>
      <c r="G729">
        <v>1</v>
      </c>
      <c r="H729">
        <v>3</v>
      </c>
      <c r="I729">
        <v>0</v>
      </c>
      <c r="J729" s="10">
        <v>0.75499787324542744</v>
      </c>
      <c r="K729">
        <v>0</v>
      </c>
      <c r="L729">
        <v>1</v>
      </c>
      <c r="M729">
        <v>0</v>
      </c>
      <c r="N729" s="10">
        <v>0.45691064616259508</v>
      </c>
      <c r="O729" s="11">
        <v>0.62473691623573913</v>
      </c>
      <c r="P729" s="10">
        <v>0.5</v>
      </c>
      <c r="Q729">
        <v>1</v>
      </c>
      <c r="R729">
        <v>1</v>
      </c>
      <c r="S729">
        <v>1</v>
      </c>
      <c r="T729">
        <v>0</v>
      </c>
      <c r="U729">
        <v>0</v>
      </c>
      <c r="V729" s="10">
        <v>0.16056338028169015</v>
      </c>
      <c r="W729" s="5">
        <v>2</v>
      </c>
      <c r="X729" s="5">
        <v>2</v>
      </c>
      <c r="Y729" s="5">
        <v>2</v>
      </c>
      <c r="Z729" s="5">
        <v>6</v>
      </c>
    </row>
    <row r="730" spans="1:26" x14ac:dyDescent="0.35">
      <c r="A730">
        <v>729</v>
      </c>
      <c r="B730" s="10">
        <v>9.8039215686274508E-2</v>
      </c>
      <c r="C730">
        <v>0</v>
      </c>
      <c r="D730">
        <v>0</v>
      </c>
      <c r="E730">
        <v>1</v>
      </c>
      <c r="F730">
        <v>0</v>
      </c>
      <c r="G730">
        <v>0</v>
      </c>
      <c r="H730">
        <v>1</v>
      </c>
      <c r="I730">
        <v>0</v>
      </c>
      <c r="J730" s="10">
        <v>0.91833262441514252</v>
      </c>
      <c r="K730">
        <v>1</v>
      </c>
      <c r="L730">
        <v>0</v>
      </c>
      <c r="M730">
        <v>0</v>
      </c>
      <c r="N730" s="10">
        <v>4.4804279316636247E-2</v>
      </c>
      <c r="O730" s="11">
        <v>0.16204551399424535</v>
      </c>
      <c r="P730" s="10">
        <v>0.125</v>
      </c>
      <c r="Q730">
        <v>1</v>
      </c>
      <c r="R730">
        <v>0</v>
      </c>
      <c r="S730">
        <v>0</v>
      </c>
      <c r="T730">
        <v>1</v>
      </c>
      <c r="U730">
        <v>0</v>
      </c>
      <c r="V730" s="10">
        <v>3.3802816901408447E-2</v>
      </c>
      <c r="W730" s="5">
        <v>3</v>
      </c>
      <c r="X730" s="5">
        <v>1</v>
      </c>
      <c r="Y730" s="5">
        <v>1</v>
      </c>
      <c r="Z730" s="5">
        <v>5</v>
      </c>
    </row>
    <row r="731" spans="1:26" x14ac:dyDescent="0.35">
      <c r="A731">
        <v>730</v>
      </c>
      <c r="B731" s="10">
        <v>0.58823529411764708</v>
      </c>
      <c r="C731">
        <v>1</v>
      </c>
      <c r="D731">
        <v>1</v>
      </c>
      <c r="E731">
        <v>0</v>
      </c>
      <c r="F731">
        <v>0</v>
      </c>
      <c r="G731">
        <v>0</v>
      </c>
      <c r="H731">
        <v>3</v>
      </c>
      <c r="I731">
        <v>0</v>
      </c>
      <c r="J731" s="10">
        <v>0.87749893662271372</v>
      </c>
      <c r="K731">
        <v>0</v>
      </c>
      <c r="L731">
        <v>1</v>
      </c>
      <c r="M731">
        <v>0</v>
      </c>
      <c r="N731" s="10">
        <v>0.36667713195744378</v>
      </c>
      <c r="O731" s="11">
        <v>0.41844906336143584</v>
      </c>
      <c r="P731" s="10">
        <v>0.625</v>
      </c>
      <c r="Q731">
        <v>1</v>
      </c>
      <c r="R731">
        <v>0</v>
      </c>
      <c r="S731">
        <v>0</v>
      </c>
      <c r="T731">
        <v>0</v>
      </c>
      <c r="U731">
        <v>1</v>
      </c>
      <c r="V731" s="10">
        <v>0.29577464788732394</v>
      </c>
      <c r="W731" s="5">
        <v>1</v>
      </c>
      <c r="X731" s="5">
        <v>2</v>
      </c>
      <c r="Y731" s="5">
        <v>2</v>
      </c>
      <c r="Z731" s="5">
        <v>5</v>
      </c>
    </row>
    <row r="732" spans="1:26" x14ac:dyDescent="0.35">
      <c r="A732">
        <v>731</v>
      </c>
      <c r="B732" s="10">
        <v>0.47058823529411764</v>
      </c>
      <c r="C732">
        <v>0</v>
      </c>
      <c r="D732">
        <v>0</v>
      </c>
      <c r="E732">
        <v>1</v>
      </c>
      <c r="F732">
        <v>0</v>
      </c>
      <c r="G732">
        <v>0</v>
      </c>
      <c r="H732">
        <v>3</v>
      </c>
      <c r="I732">
        <v>0</v>
      </c>
      <c r="J732" s="10">
        <v>0.30582730752871118</v>
      </c>
      <c r="K732">
        <v>0</v>
      </c>
      <c r="L732">
        <v>0</v>
      </c>
      <c r="M732">
        <v>1</v>
      </c>
      <c r="N732" s="10">
        <v>0.45900172973485298</v>
      </c>
      <c r="O732" s="11">
        <v>0.39223626229904024</v>
      </c>
      <c r="P732" s="10">
        <v>0.875</v>
      </c>
      <c r="Q732">
        <v>0</v>
      </c>
      <c r="R732">
        <v>0</v>
      </c>
      <c r="S732">
        <v>0</v>
      </c>
      <c r="T732">
        <v>0</v>
      </c>
      <c r="U732">
        <v>0</v>
      </c>
      <c r="V732" s="10">
        <v>0.25352112676056338</v>
      </c>
      <c r="W732" s="5">
        <v>1</v>
      </c>
      <c r="X732" s="5">
        <v>3</v>
      </c>
      <c r="Y732" s="5">
        <v>2</v>
      </c>
      <c r="Z732" s="5">
        <v>6</v>
      </c>
    </row>
    <row r="733" spans="1:26" x14ac:dyDescent="0.35">
      <c r="A733">
        <v>732</v>
      </c>
      <c r="B733" s="10">
        <v>5.8823529411764705E-2</v>
      </c>
      <c r="C733">
        <v>0</v>
      </c>
      <c r="D733">
        <v>0</v>
      </c>
      <c r="E733">
        <v>1</v>
      </c>
      <c r="F733">
        <v>0</v>
      </c>
      <c r="G733">
        <v>0</v>
      </c>
      <c r="H733">
        <v>1</v>
      </c>
      <c r="I733">
        <v>0</v>
      </c>
      <c r="J733" s="10">
        <v>0.71416418545299876</v>
      </c>
      <c r="K733">
        <v>1</v>
      </c>
      <c r="L733">
        <v>0</v>
      </c>
      <c r="M733">
        <v>0</v>
      </c>
      <c r="N733" s="10">
        <v>0.54970025827547797</v>
      </c>
      <c r="O733" s="11">
        <v>0.41711547963182805</v>
      </c>
      <c r="P733" s="10">
        <v>1</v>
      </c>
      <c r="Q733">
        <v>1</v>
      </c>
      <c r="R733">
        <v>1</v>
      </c>
      <c r="S733">
        <v>0</v>
      </c>
      <c r="T733">
        <v>1</v>
      </c>
      <c r="U733">
        <v>0</v>
      </c>
      <c r="V733" s="10">
        <v>0.3183098591549296</v>
      </c>
      <c r="W733" s="5">
        <v>1</v>
      </c>
      <c r="X733" s="5">
        <v>3</v>
      </c>
      <c r="Y733" s="5">
        <v>3</v>
      </c>
      <c r="Z733" s="5">
        <v>7</v>
      </c>
    </row>
    <row r="734" spans="1:26" x14ac:dyDescent="0.35">
      <c r="A734">
        <v>733</v>
      </c>
      <c r="B734" s="10">
        <v>9.8039215686274508E-2</v>
      </c>
      <c r="C734">
        <v>1</v>
      </c>
      <c r="D734">
        <v>0</v>
      </c>
      <c r="E734">
        <v>0</v>
      </c>
      <c r="F734">
        <v>1</v>
      </c>
      <c r="G734">
        <v>0</v>
      </c>
      <c r="H734">
        <v>1</v>
      </c>
      <c r="I734">
        <v>1</v>
      </c>
      <c r="J734" s="10">
        <v>0.1220757124627818</v>
      </c>
      <c r="K734">
        <v>0</v>
      </c>
      <c r="L734">
        <v>0</v>
      </c>
      <c r="M734">
        <v>1</v>
      </c>
      <c r="N734" s="10">
        <v>0.19884249934838755</v>
      </c>
      <c r="O734" s="11">
        <v>0.45684353139231504</v>
      </c>
      <c r="P734" s="10">
        <v>0.25</v>
      </c>
      <c r="Q734">
        <v>2</v>
      </c>
      <c r="R734">
        <v>1</v>
      </c>
      <c r="S734">
        <v>0</v>
      </c>
      <c r="T734">
        <v>1</v>
      </c>
      <c r="U734">
        <v>0</v>
      </c>
      <c r="V734" s="10">
        <v>0.14084507042253522</v>
      </c>
      <c r="W734" s="5">
        <v>2</v>
      </c>
      <c r="X734" s="5">
        <v>2</v>
      </c>
      <c r="Y734" s="5">
        <v>1</v>
      </c>
      <c r="Z734" s="5">
        <v>5</v>
      </c>
    </row>
    <row r="735" spans="1:26" x14ac:dyDescent="0.35">
      <c r="A735">
        <v>734</v>
      </c>
      <c r="B735" s="10">
        <v>0.78431372549019607</v>
      </c>
      <c r="C735">
        <v>1</v>
      </c>
      <c r="D735">
        <v>0</v>
      </c>
      <c r="E735">
        <v>0</v>
      </c>
      <c r="F735">
        <v>0</v>
      </c>
      <c r="G735">
        <v>1</v>
      </c>
      <c r="H735">
        <v>3</v>
      </c>
      <c r="I735">
        <v>0</v>
      </c>
      <c r="J735" s="10">
        <v>0.22415993194385367</v>
      </c>
      <c r="K735">
        <v>1</v>
      </c>
      <c r="L735">
        <v>0</v>
      </c>
      <c r="M735">
        <v>0</v>
      </c>
      <c r="N735" s="10">
        <v>0.30724119138449868</v>
      </c>
      <c r="O735" s="11">
        <v>0.42138473611139055</v>
      </c>
      <c r="P735" s="10">
        <v>0.5</v>
      </c>
      <c r="Q735">
        <v>2</v>
      </c>
      <c r="R735">
        <v>1</v>
      </c>
      <c r="S735">
        <v>1</v>
      </c>
      <c r="T735">
        <v>1</v>
      </c>
      <c r="U735">
        <v>0</v>
      </c>
      <c r="V735" s="10">
        <v>0.17183098591549295</v>
      </c>
      <c r="W735" s="5">
        <v>2</v>
      </c>
      <c r="X735" s="5">
        <v>2</v>
      </c>
      <c r="Y735" s="5">
        <v>2</v>
      </c>
      <c r="Z735" s="5">
        <v>6</v>
      </c>
    </row>
    <row r="736" spans="1:26" x14ac:dyDescent="0.35">
      <c r="A736">
        <v>735</v>
      </c>
      <c r="B736" s="10">
        <v>0.70588235294117652</v>
      </c>
      <c r="C736">
        <v>0</v>
      </c>
      <c r="D736">
        <v>0</v>
      </c>
      <c r="E736">
        <v>0</v>
      </c>
      <c r="F736">
        <v>0</v>
      </c>
      <c r="G736">
        <v>1</v>
      </c>
      <c r="H736">
        <v>1</v>
      </c>
      <c r="I736">
        <v>0</v>
      </c>
      <c r="J736" s="10">
        <v>0.57124627817949813</v>
      </c>
      <c r="K736">
        <v>0</v>
      </c>
      <c r="L736">
        <v>1</v>
      </c>
      <c r="M736">
        <v>0</v>
      </c>
      <c r="N736" s="10">
        <v>0.63848837760348787</v>
      </c>
      <c r="O736" s="11">
        <v>0.54465130083100266</v>
      </c>
      <c r="P736" s="10">
        <v>0.875</v>
      </c>
      <c r="Q736">
        <v>2</v>
      </c>
      <c r="R736">
        <v>1</v>
      </c>
      <c r="S736">
        <v>0</v>
      </c>
      <c r="T736">
        <v>0</v>
      </c>
      <c r="U736">
        <v>1</v>
      </c>
      <c r="V736" s="10">
        <v>4.507042253521127E-2</v>
      </c>
      <c r="W736" s="5">
        <v>3</v>
      </c>
      <c r="X736" s="5">
        <v>3</v>
      </c>
      <c r="Y736" s="5">
        <v>3</v>
      </c>
      <c r="Z736" s="5">
        <v>9</v>
      </c>
    </row>
    <row r="737" spans="1:26" x14ac:dyDescent="0.35">
      <c r="A737">
        <v>736</v>
      </c>
      <c r="B737" s="10">
        <v>0.96078431372549022</v>
      </c>
      <c r="C737">
        <v>0</v>
      </c>
      <c r="D737">
        <v>0</v>
      </c>
      <c r="E737">
        <v>0</v>
      </c>
      <c r="F737">
        <v>0</v>
      </c>
      <c r="G737">
        <v>1</v>
      </c>
      <c r="H737">
        <v>1</v>
      </c>
      <c r="I737">
        <v>0</v>
      </c>
      <c r="J737" s="10">
        <v>0.61207996597192693</v>
      </c>
      <c r="K737">
        <v>0</v>
      </c>
      <c r="L737">
        <v>1</v>
      </c>
      <c r="M737">
        <v>0</v>
      </c>
      <c r="N737" s="10">
        <v>0.16779020448783261</v>
      </c>
      <c r="O737" s="11">
        <v>0.38652689188917277</v>
      </c>
      <c r="P737" s="10">
        <v>0.25</v>
      </c>
      <c r="Q737">
        <v>1</v>
      </c>
      <c r="R737">
        <v>1</v>
      </c>
      <c r="S737">
        <v>1</v>
      </c>
      <c r="T737">
        <v>0</v>
      </c>
      <c r="U737">
        <v>0</v>
      </c>
      <c r="V737" s="10">
        <v>0.41971830985915493</v>
      </c>
      <c r="W737" s="5">
        <v>1</v>
      </c>
      <c r="X737" s="5">
        <v>2</v>
      </c>
      <c r="Y737" s="5">
        <v>1</v>
      </c>
      <c r="Z737" s="5">
        <v>4</v>
      </c>
    </row>
    <row r="738" spans="1:26" x14ac:dyDescent="0.35">
      <c r="A738">
        <v>737</v>
      </c>
      <c r="B738" s="10">
        <v>0.47058823529411764</v>
      </c>
      <c r="C738">
        <v>1</v>
      </c>
      <c r="D738">
        <v>0</v>
      </c>
      <c r="E738">
        <v>1</v>
      </c>
      <c r="F738">
        <v>0</v>
      </c>
      <c r="G738">
        <v>0</v>
      </c>
      <c r="H738">
        <v>2</v>
      </c>
      <c r="I738">
        <v>0</v>
      </c>
      <c r="J738" s="10">
        <v>0.32624415142492558</v>
      </c>
      <c r="K738">
        <v>1</v>
      </c>
      <c r="L738">
        <v>0</v>
      </c>
      <c r="M738">
        <v>0</v>
      </c>
      <c r="N738" s="10">
        <v>0.62858386844537095</v>
      </c>
      <c r="O738" s="11">
        <v>0.47665837229007507</v>
      </c>
      <c r="P738" s="10">
        <v>1</v>
      </c>
      <c r="Q738">
        <v>2</v>
      </c>
      <c r="R738">
        <v>1</v>
      </c>
      <c r="S738">
        <v>0</v>
      </c>
      <c r="T738">
        <v>1</v>
      </c>
      <c r="U738">
        <v>1</v>
      </c>
      <c r="V738" s="10">
        <v>0.12394366197183099</v>
      </c>
      <c r="W738" s="5">
        <v>2</v>
      </c>
      <c r="X738" s="5">
        <v>3</v>
      </c>
      <c r="Y738" s="5">
        <v>3</v>
      </c>
      <c r="Z738" s="5">
        <v>8</v>
      </c>
    </row>
    <row r="739" spans="1:26" x14ac:dyDescent="0.35">
      <c r="A739">
        <v>738</v>
      </c>
      <c r="B739" s="10">
        <v>0.6470588235294118</v>
      </c>
      <c r="C739">
        <v>1</v>
      </c>
      <c r="D739">
        <v>0</v>
      </c>
      <c r="E739">
        <v>0</v>
      </c>
      <c r="F739">
        <v>1</v>
      </c>
      <c r="G739">
        <v>0</v>
      </c>
      <c r="H739">
        <v>3</v>
      </c>
      <c r="I739">
        <v>0</v>
      </c>
      <c r="J739" s="10">
        <v>0.57124627817949813</v>
      </c>
      <c r="K739">
        <v>1</v>
      </c>
      <c r="L739">
        <v>0</v>
      </c>
      <c r="M739">
        <v>0</v>
      </c>
      <c r="N739" s="10">
        <v>0.19713053574390446</v>
      </c>
      <c r="O739" s="11">
        <v>0.45296686050021129</v>
      </c>
      <c r="P739" s="10">
        <v>0.25</v>
      </c>
      <c r="Q739">
        <v>2</v>
      </c>
      <c r="R739">
        <v>1</v>
      </c>
      <c r="S739">
        <v>1</v>
      </c>
      <c r="T739">
        <v>0</v>
      </c>
      <c r="U739">
        <v>0</v>
      </c>
      <c r="V739" s="10">
        <v>0.6422535211267606</v>
      </c>
      <c r="W739" s="5">
        <v>1</v>
      </c>
      <c r="X739" s="5">
        <v>2</v>
      </c>
      <c r="Y739" s="5">
        <v>1</v>
      </c>
      <c r="Z739" s="5">
        <v>4</v>
      </c>
    </row>
    <row r="740" spans="1:26" x14ac:dyDescent="0.35">
      <c r="A740">
        <v>739</v>
      </c>
      <c r="B740" s="10">
        <v>0.35294117647058826</v>
      </c>
      <c r="C740">
        <v>1</v>
      </c>
      <c r="D740">
        <v>1</v>
      </c>
      <c r="E740">
        <v>0</v>
      </c>
      <c r="F740">
        <v>0</v>
      </c>
      <c r="G740">
        <v>0</v>
      </c>
      <c r="H740">
        <v>3</v>
      </c>
      <c r="I740">
        <v>0</v>
      </c>
      <c r="J740" s="10">
        <v>0.509995746490855</v>
      </c>
      <c r="K740">
        <v>0</v>
      </c>
      <c r="L740">
        <v>0</v>
      </c>
      <c r="M740">
        <v>1</v>
      </c>
      <c r="N740" s="10">
        <v>9.7496031087837345E-2</v>
      </c>
      <c r="O740" s="11">
        <v>0.34102295820841461</v>
      </c>
      <c r="P740" s="10">
        <v>0.125</v>
      </c>
      <c r="Q740">
        <v>0</v>
      </c>
      <c r="R740">
        <v>0</v>
      </c>
      <c r="S740">
        <v>0</v>
      </c>
      <c r="T740">
        <v>0</v>
      </c>
      <c r="U740">
        <v>0</v>
      </c>
      <c r="V740" s="10">
        <v>0.23380281690140844</v>
      </c>
      <c r="W740" s="5">
        <v>1</v>
      </c>
      <c r="X740" s="5">
        <v>1</v>
      </c>
      <c r="Y740" s="5">
        <v>1</v>
      </c>
      <c r="Z740" s="5">
        <v>3</v>
      </c>
    </row>
    <row r="741" spans="1:26" x14ac:dyDescent="0.35">
      <c r="A741">
        <v>740</v>
      </c>
      <c r="B741" s="10">
        <v>0.6470588235294118</v>
      </c>
      <c r="C741">
        <v>1</v>
      </c>
      <c r="D741">
        <v>0</v>
      </c>
      <c r="E741">
        <v>0</v>
      </c>
      <c r="F741">
        <v>0</v>
      </c>
      <c r="G741">
        <v>1</v>
      </c>
      <c r="H741">
        <v>3</v>
      </c>
      <c r="I741">
        <v>0</v>
      </c>
      <c r="J741" s="10">
        <v>0.97958315610378566</v>
      </c>
      <c r="K741">
        <v>0</v>
      </c>
      <c r="L741">
        <v>0</v>
      </c>
      <c r="M741">
        <v>1</v>
      </c>
      <c r="N741" s="10">
        <v>0.61755384688292292</v>
      </c>
      <c r="O741" s="11">
        <v>0.46833269616424206</v>
      </c>
      <c r="P741" s="10">
        <v>1</v>
      </c>
      <c r="Q741">
        <v>1</v>
      </c>
      <c r="R741">
        <v>0</v>
      </c>
      <c r="S741">
        <v>1</v>
      </c>
      <c r="T741">
        <v>0</v>
      </c>
      <c r="U741">
        <v>0</v>
      </c>
      <c r="V741" s="10">
        <v>8.1690140845070425E-2</v>
      </c>
      <c r="W741" s="5">
        <v>2</v>
      </c>
      <c r="X741" s="5">
        <v>3</v>
      </c>
      <c r="Y741" s="5">
        <v>3</v>
      </c>
      <c r="Z741" s="5">
        <v>8</v>
      </c>
    </row>
    <row r="742" spans="1:26" x14ac:dyDescent="0.35">
      <c r="A742">
        <v>741</v>
      </c>
      <c r="B742" s="10">
        <v>0.27450980392156865</v>
      </c>
      <c r="C742">
        <v>0</v>
      </c>
      <c r="D742">
        <v>0</v>
      </c>
      <c r="E742">
        <v>1</v>
      </c>
      <c r="F742">
        <v>0</v>
      </c>
      <c r="G742">
        <v>0</v>
      </c>
      <c r="H742">
        <v>3</v>
      </c>
      <c r="I742">
        <v>0</v>
      </c>
      <c r="J742" s="10">
        <v>0.61207996597192693</v>
      </c>
      <c r="K742">
        <v>0</v>
      </c>
      <c r="L742">
        <v>1</v>
      </c>
      <c r="M742">
        <v>0</v>
      </c>
      <c r="N742" s="10">
        <v>0.68355922564746585</v>
      </c>
      <c r="O742" s="11">
        <v>0.58292420370631204</v>
      </c>
      <c r="P742" s="10">
        <v>0.875</v>
      </c>
      <c r="Q742">
        <v>1</v>
      </c>
      <c r="R742">
        <v>0</v>
      </c>
      <c r="S742">
        <v>1</v>
      </c>
      <c r="T742">
        <v>0</v>
      </c>
      <c r="U742">
        <v>0</v>
      </c>
      <c r="V742" s="10">
        <v>4.507042253521127E-2</v>
      </c>
      <c r="W742" s="5">
        <v>3</v>
      </c>
      <c r="X742" s="5">
        <v>3</v>
      </c>
      <c r="Y742" s="5">
        <v>3</v>
      </c>
      <c r="Z742" s="5">
        <v>9</v>
      </c>
    </row>
    <row r="743" spans="1:26" x14ac:dyDescent="0.35">
      <c r="A743">
        <v>742</v>
      </c>
      <c r="B743" s="10">
        <v>0.96078431372549022</v>
      </c>
      <c r="C743">
        <v>0</v>
      </c>
      <c r="D743">
        <v>0</v>
      </c>
      <c r="E743">
        <v>0</v>
      </c>
      <c r="F743">
        <v>1</v>
      </c>
      <c r="G743">
        <v>0</v>
      </c>
      <c r="H743">
        <v>3</v>
      </c>
      <c r="I743">
        <v>1</v>
      </c>
      <c r="J743" s="10">
        <v>0.91833262441514252</v>
      </c>
      <c r="K743">
        <v>0</v>
      </c>
      <c r="L743">
        <v>0</v>
      </c>
      <c r="M743">
        <v>1</v>
      </c>
      <c r="N743" s="10">
        <v>0.16980427931663628</v>
      </c>
      <c r="O743" s="11">
        <v>0.5866315217610012</v>
      </c>
      <c r="P743" s="10">
        <v>0.125</v>
      </c>
      <c r="Q743">
        <v>0</v>
      </c>
      <c r="R743">
        <v>0</v>
      </c>
      <c r="S743">
        <v>0</v>
      </c>
      <c r="T743">
        <v>0</v>
      </c>
      <c r="U743">
        <v>0</v>
      </c>
      <c r="V743" s="10">
        <v>0.51549295774647885</v>
      </c>
      <c r="W743" s="5">
        <v>1</v>
      </c>
      <c r="X743" s="5">
        <v>1</v>
      </c>
      <c r="Y743" s="5">
        <v>1</v>
      </c>
      <c r="Z743" s="5">
        <v>3</v>
      </c>
    </row>
    <row r="744" spans="1:26" x14ac:dyDescent="0.35">
      <c r="A744">
        <v>743</v>
      </c>
      <c r="B744" s="10">
        <v>0.13725490196078433</v>
      </c>
      <c r="C744">
        <v>0</v>
      </c>
      <c r="D744">
        <v>0</v>
      </c>
      <c r="E744">
        <v>0</v>
      </c>
      <c r="F744">
        <v>1</v>
      </c>
      <c r="G744">
        <v>0</v>
      </c>
      <c r="H744">
        <v>1</v>
      </c>
      <c r="I744">
        <v>0</v>
      </c>
      <c r="J744" s="10">
        <v>0.28541046363249684</v>
      </c>
      <c r="K744">
        <v>0</v>
      </c>
      <c r="L744">
        <v>0</v>
      </c>
      <c r="M744">
        <v>1</v>
      </c>
      <c r="N744" s="10">
        <v>0.32835639646470627</v>
      </c>
      <c r="O744" s="11">
        <v>0.56259180265196473</v>
      </c>
      <c r="P744" s="10">
        <v>0.375</v>
      </c>
      <c r="Q744">
        <v>2</v>
      </c>
      <c r="R744">
        <v>0</v>
      </c>
      <c r="S744">
        <v>1</v>
      </c>
      <c r="T744">
        <v>0</v>
      </c>
      <c r="U744">
        <v>1</v>
      </c>
      <c r="V744" s="10">
        <v>4.507042253521127E-2</v>
      </c>
      <c r="W744" s="5">
        <v>3</v>
      </c>
      <c r="X744" s="5">
        <v>2</v>
      </c>
      <c r="Y744" s="5">
        <v>2</v>
      </c>
      <c r="Z744" s="5">
        <v>7</v>
      </c>
    </row>
    <row r="745" spans="1:26" x14ac:dyDescent="0.35">
      <c r="A745">
        <v>744</v>
      </c>
      <c r="B745" s="10">
        <v>0.84313725490196079</v>
      </c>
      <c r="C745">
        <v>0</v>
      </c>
      <c r="D745">
        <v>0</v>
      </c>
      <c r="E745">
        <v>0</v>
      </c>
      <c r="F745">
        <v>0</v>
      </c>
      <c r="G745">
        <v>1</v>
      </c>
      <c r="H745">
        <v>3</v>
      </c>
      <c r="I745">
        <v>0</v>
      </c>
      <c r="J745" s="10">
        <v>0.55082943428328379</v>
      </c>
      <c r="K745">
        <v>0</v>
      </c>
      <c r="L745">
        <v>1</v>
      </c>
      <c r="M745">
        <v>0</v>
      </c>
      <c r="N745" s="10">
        <v>0.33239046987181003</v>
      </c>
      <c r="O745" s="11">
        <v>0.37962869809587046</v>
      </c>
      <c r="P745" s="10">
        <v>0.625</v>
      </c>
      <c r="Q745">
        <v>0</v>
      </c>
      <c r="R745">
        <v>0</v>
      </c>
      <c r="S745">
        <v>0</v>
      </c>
      <c r="T745">
        <v>0</v>
      </c>
      <c r="U745">
        <v>0</v>
      </c>
      <c r="V745" s="10">
        <v>0.22253521126760564</v>
      </c>
      <c r="W745" s="5">
        <v>2</v>
      </c>
      <c r="X745" s="5">
        <v>2</v>
      </c>
      <c r="Y745" s="5">
        <v>2</v>
      </c>
      <c r="Z745" s="5">
        <v>6</v>
      </c>
    </row>
    <row r="746" spans="1:26" x14ac:dyDescent="0.35">
      <c r="A746">
        <v>745</v>
      </c>
      <c r="B746" s="10">
        <v>0.90196078431372551</v>
      </c>
      <c r="C746">
        <v>0</v>
      </c>
      <c r="D746">
        <v>0</v>
      </c>
      <c r="E746">
        <v>0</v>
      </c>
      <c r="F746">
        <v>1</v>
      </c>
      <c r="G746">
        <v>0</v>
      </c>
      <c r="H746">
        <v>3</v>
      </c>
      <c r="I746">
        <v>0</v>
      </c>
      <c r="J746" s="10">
        <v>0.97958315610378566</v>
      </c>
      <c r="K746">
        <v>0</v>
      </c>
      <c r="L746">
        <v>1</v>
      </c>
      <c r="M746">
        <v>0</v>
      </c>
      <c r="N746" s="10">
        <v>0.77881904130038127</v>
      </c>
      <c r="O746" s="11">
        <v>0.59005882076768812</v>
      </c>
      <c r="P746" s="10">
        <v>1</v>
      </c>
      <c r="Q746">
        <v>0</v>
      </c>
      <c r="R746">
        <v>0</v>
      </c>
      <c r="S746">
        <v>0</v>
      </c>
      <c r="T746">
        <v>0</v>
      </c>
      <c r="U746">
        <v>0</v>
      </c>
      <c r="V746" s="10">
        <v>9.5774647887323941E-2</v>
      </c>
      <c r="W746" s="5">
        <v>2</v>
      </c>
      <c r="X746" s="5">
        <v>3</v>
      </c>
      <c r="Y746" s="5">
        <v>3</v>
      </c>
      <c r="Z746" s="5">
        <v>8</v>
      </c>
    </row>
    <row r="747" spans="1:26" x14ac:dyDescent="0.35">
      <c r="A747">
        <v>746</v>
      </c>
      <c r="B747" s="10">
        <v>0.94117647058823528</v>
      </c>
      <c r="C747">
        <v>1</v>
      </c>
      <c r="D747">
        <v>0</v>
      </c>
      <c r="E747">
        <v>0</v>
      </c>
      <c r="F747">
        <v>1</v>
      </c>
      <c r="G747">
        <v>0</v>
      </c>
      <c r="H747">
        <v>2</v>
      </c>
      <c r="I747">
        <v>0</v>
      </c>
      <c r="J747" s="10">
        <v>0.61207996597192693</v>
      </c>
      <c r="K747">
        <v>1</v>
      </c>
      <c r="L747">
        <v>0</v>
      </c>
      <c r="M747">
        <v>0</v>
      </c>
      <c r="N747" s="10">
        <v>0.17623747126981493</v>
      </c>
      <c r="O747" s="11">
        <v>0.60848306806978003</v>
      </c>
      <c r="P747" s="10">
        <v>0.125</v>
      </c>
      <c r="Q747">
        <v>1</v>
      </c>
      <c r="R747">
        <v>0</v>
      </c>
      <c r="S747">
        <v>0</v>
      </c>
      <c r="T747">
        <v>1</v>
      </c>
      <c r="U747">
        <v>0</v>
      </c>
      <c r="V747" s="10">
        <v>0.20281690140845071</v>
      </c>
      <c r="W747" s="5">
        <v>2</v>
      </c>
      <c r="X747" s="5">
        <v>1</v>
      </c>
      <c r="Y747" s="5">
        <v>1</v>
      </c>
      <c r="Z747" s="5">
        <v>4</v>
      </c>
    </row>
    <row r="748" spans="1:26" x14ac:dyDescent="0.35">
      <c r="A748">
        <v>747</v>
      </c>
      <c r="B748" s="10">
        <v>0.6470588235294118</v>
      </c>
      <c r="C748">
        <v>1</v>
      </c>
      <c r="D748">
        <v>0</v>
      </c>
      <c r="E748">
        <v>1</v>
      </c>
      <c r="F748">
        <v>0</v>
      </c>
      <c r="G748">
        <v>0</v>
      </c>
      <c r="H748">
        <v>1</v>
      </c>
      <c r="I748">
        <v>0</v>
      </c>
      <c r="J748" s="10">
        <v>0.2037430880476393</v>
      </c>
      <c r="K748">
        <v>0</v>
      </c>
      <c r="L748">
        <v>0</v>
      </c>
      <c r="M748">
        <v>1</v>
      </c>
      <c r="N748" s="10">
        <v>0.2835343458995806</v>
      </c>
      <c r="O748" s="11">
        <v>0.48646854061449923</v>
      </c>
      <c r="P748" s="10">
        <v>0.375</v>
      </c>
      <c r="Q748">
        <v>2</v>
      </c>
      <c r="R748">
        <v>1</v>
      </c>
      <c r="S748">
        <v>1</v>
      </c>
      <c r="T748">
        <v>0</v>
      </c>
      <c r="U748">
        <v>1</v>
      </c>
      <c r="V748" s="10">
        <v>1.6901408450704224E-2</v>
      </c>
      <c r="W748" s="5">
        <v>3</v>
      </c>
      <c r="X748" s="5">
        <v>2</v>
      </c>
      <c r="Y748" s="5">
        <v>2</v>
      </c>
      <c r="Z748" s="5">
        <v>7</v>
      </c>
    </row>
    <row r="749" spans="1:26" x14ac:dyDescent="0.35">
      <c r="A749">
        <v>748</v>
      </c>
      <c r="B749" s="10">
        <v>0.33333333333333331</v>
      </c>
      <c r="C749">
        <v>0</v>
      </c>
      <c r="D749">
        <v>1</v>
      </c>
      <c r="E749">
        <v>0</v>
      </c>
      <c r="F749">
        <v>0</v>
      </c>
      <c r="G749">
        <v>0</v>
      </c>
      <c r="H749">
        <v>3</v>
      </c>
      <c r="I749">
        <v>1</v>
      </c>
      <c r="J749" s="10">
        <v>0.40791152700978311</v>
      </c>
      <c r="K749">
        <v>1</v>
      </c>
      <c r="L749">
        <v>0</v>
      </c>
      <c r="M749">
        <v>0</v>
      </c>
      <c r="N749" s="10">
        <v>8.1383432457408228E-2</v>
      </c>
      <c r="O749" s="11">
        <v>0.28629348679047867</v>
      </c>
      <c r="P749" s="10">
        <v>0.125</v>
      </c>
      <c r="Q749">
        <v>0</v>
      </c>
      <c r="R749">
        <v>0</v>
      </c>
      <c r="S749">
        <v>0</v>
      </c>
      <c r="T749">
        <v>0</v>
      </c>
      <c r="U749">
        <v>0</v>
      </c>
      <c r="V749" s="10">
        <v>0.12112676056338029</v>
      </c>
      <c r="W749" s="5">
        <v>2</v>
      </c>
      <c r="X749" s="5">
        <v>1</v>
      </c>
      <c r="Y749" s="5">
        <v>1</v>
      </c>
      <c r="Z749" s="5">
        <v>4</v>
      </c>
    </row>
    <row r="750" spans="1:26" x14ac:dyDescent="0.35">
      <c r="A750">
        <v>749</v>
      </c>
      <c r="B750" s="10">
        <v>0.56862745098039214</v>
      </c>
      <c r="C750">
        <v>1</v>
      </c>
      <c r="D750">
        <v>0</v>
      </c>
      <c r="E750">
        <v>0</v>
      </c>
      <c r="F750">
        <v>1</v>
      </c>
      <c r="G750">
        <v>0</v>
      </c>
      <c r="H750">
        <v>3</v>
      </c>
      <c r="I750">
        <v>0</v>
      </c>
      <c r="J750" s="10">
        <v>0.89791578051892806</v>
      </c>
      <c r="K750">
        <v>0</v>
      </c>
      <c r="L750">
        <v>0</v>
      </c>
      <c r="M750">
        <v>1</v>
      </c>
      <c r="N750" s="10">
        <v>0.18022119280619861</v>
      </c>
      <c r="O750" s="11">
        <v>0.41467635163685385</v>
      </c>
      <c r="P750" s="10">
        <v>0.25</v>
      </c>
      <c r="Q750">
        <v>2</v>
      </c>
      <c r="R750">
        <v>1</v>
      </c>
      <c r="S750">
        <v>1</v>
      </c>
      <c r="T750">
        <v>1</v>
      </c>
      <c r="U750">
        <v>0</v>
      </c>
      <c r="V750" s="10">
        <v>2.5352112676056339E-2</v>
      </c>
      <c r="W750" s="5">
        <v>3</v>
      </c>
      <c r="X750" s="5">
        <v>2</v>
      </c>
      <c r="Y750" s="5">
        <v>1</v>
      </c>
      <c r="Z750" s="5">
        <v>6</v>
      </c>
    </row>
    <row r="751" spans="1:26" x14ac:dyDescent="0.35">
      <c r="A751">
        <v>750</v>
      </c>
      <c r="B751" s="10">
        <v>0.23529411764705882</v>
      </c>
      <c r="C751">
        <v>0</v>
      </c>
      <c r="D751">
        <v>1</v>
      </c>
      <c r="E751">
        <v>0</v>
      </c>
      <c r="F751">
        <v>0</v>
      </c>
      <c r="G751">
        <v>0</v>
      </c>
      <c r="H751">
        <v>3</v>
      </c>
      <c r="I751">
        <v>0</v>
      </c>
      <c r="J751" s="10">
        <v>0.14249255635899619</v>
      </c>
      <c r="K751">
        <v>0</v>
      </c>
      <c r="L751">
        <v>1</v>
      </c>
      <c r="M751">
        <v>0</v>
      </c>
      <c r="N751" s="10">
        <v>0.76730623415396992</v>
      </c>
      <c r="O751" s="11">
        <v>0.65403981971468239</v>
      </c>
      <c r="P751" s="10">
        <v>0.875</v>
      </c>
      <c r="Q751">
        <v>2</v>
      </c>
      <c r="R751">
        <v>1</v>
      </c>
      <c r="S751">
        <v>0</v>
      </c>
      <c r="T751">
        <v>0</v>
      </c>
      <c r="U751">
        <v>1</v>
      </c>
      <c r="V751" s="10">
        <v>7.3239436619718309E-2</v>
      </c>
      <c r="W751" s="5">
        <v>3</v>
      </c>
      <c r="X751" s="5">
        <v>3</v>
      </c>
      <c r="Y751" s="5">
        <v>3</v>
      </c>
      <c r="Z751" s="5">
        <v>9</v>
      </c>
    </row>
    <row r="752" spans="1:26" x14ac:dyDescent="0.35">
      <c r="A752">
        <v>751</v>
      </c>
      <c r="B752" s="10">
        <v>0.90196078431372551</v>
      </c>
      <c r="C752">
        <v>0</v>
      </c>
      <c r="D752">
        <v>0</v>
      </c>
      <c r="E752">
        <v>0</v>
      </c>
      <c r="F752">
        <v>1</v>
      </c>
      <c r="G752">
        <v>0</v>
      </c>
      <c r="H752">
        <v>3</v>
      </c>
      <c r="I752">
        <v>0</v>
      </c>
      <c r="J752" s="10">
        <v>0.6937473415567843</v>
      </c>
      <c r="K752">
        <v>0</v>
      </c>
      <c r="L752">
        <v>1</v>
      </c>
      <c r="M752">
        <v>0</v>
      </c>
      <c r="N752" s="10">
        <v>0.34433274885671633</v>
      </c>
      <c r="O752" s="11">
        <v>0.39315009691677227</v>
      </c>
      <c r="P752" s="10">
        <v>0.625</v>
      </c>
      <c r="Q752">
        <v>1</v>
      </c>
      <c r="R752">
        <v>0</v>
      </c>
      <c r="S752">
        <v>1</v>
      </c>
      <c r="T752">
        <v>0</v>
      </c>
      <c r="U752">
        <v>0</v>
      </c>
      <c r="V752" s="10">
        <v>0.27042253521126758</v>
      </c>
      <c r="W752" s="5">
        <v>1</v>
      </c>
      <c r="X752" s="5">
        <v>2</v>
      </c>
      <c r="Y752" s="5">
        <v>2</v>
      </c>
      <c r="Z752" s="5">
        <v>5</v>
      </c>
    </row>
    <row r="753" spans="1:26" x14ac:dyDescent="0.35">
      <c r="A753">
        <v>752</v>
      </c>
      <c r="B753" s="10">
        <v>0.62745098039215685</v>
      </c>
      <c r="C753">
        <v>0</v>
      </c>
      <c r="D753">
        <v>0</v>
      </c>
      <c r="E753">
        <v>0</v>
      </c>
      <c r="F753">
        <v>1</v>
      </c>
      <c r="G753">
        <v>0</v>
      </c>
      <c r="H753">
        <v>1</v>
      </c>
      <c r="I753">
        <v>0</v>
      </c>
      <c r="J753" s="10">
        <v>0.55082943428328379</v>
      </c>
      <c r="K753">
        <v>0</v>
      </c>
      <c r="L753">
        <v>1</v>
      </c>
      <c r="M753">
        <v>0</v>
      </c>
      <c r="N753" s="10">
        <v>0.60628391346586741</v>
      </c>
      <c r="O753" s="11">
        <v>0.45982592987562909</v>
      </c>
      <c r="P753" s="10">
        <v>1</v>
      </c>
      <c r="Q753">
        <v>2</v>
      </c>
      <c r="R753">
        <v>0</v>
      </c>
      <c r="S753">
        <v>0</v>
      </c>
      <c r="T753">
        <v>0</v>
      </c>
      <c r="U753">
        <v>1</v>
      </c>
      <c r="V753" s="10">
        <v>7.0422535211267609E-2</v>
      </c>
      <c r="W753" s="5">
        <v>3</v>
      </c>
      <c r="X753" s="5">
        <v>3</v>
      </c>
      <c r="Y753" s="5">
        <v>3</v>
      </c>
      <c r="Z753" s="5">
        <v>9</v>
      </c>
    </row>
    <row r="754" spans="1:26" x14ac:dyDescent="0.35">
      <c r="A754">
        <v>753</v>
      </c>
      <c r="B754" s="10">
        <v>0.66666666666666663</v>
      </c>
      <c r="C754">
        <v>0</v>
      </c>
      <c r="D754">
        <v>0</v>
      </c>
      <c r="E754">
        <v>0</v>
      </c>
      <c r="F754">
        <v>1</v>
      </c>
      <c r="G754">
        <v>0</v>
      </c>
      <c r="H754">
        <v>2</v>
      </c>
      <c r="I754">
        <v>1</v>
      </c>
      <c r="J754" s="10">
        <v>0.46916205869842625</v>
      </c>
      <c r="K754">
        <v>0</v>
      </c>
      <c r="L754">
        <v>0</v>
      </c>
      <c r="M754">
        <v>1</v>
      </c>
      <c r="N754" s="10">
        <v>0.45943120157334788</v>
      </c>
      <c r="O754" s="11">
        <v>0.52346794368766647</v>
      </c>
      <c r="P754" s="10">
        <v>0.625</v>
      </c>
      <c r="Q754">
        <v>2</v>
      </c>
      <c r="R754">
        <v>1</v>
      </c>
      <c r="S754">
        <v>1</v>
      </c>
      <c r="T754">
        <v>1</v>
      </c>
      <c r="U754">
        <v>0</v>
      </c>
      <c r="V754" s="10">
        <v>0.12676056338028169</v>
      </c>
      <c r="W754" s="5">
        <v>2</v>
      </c>
      <c r="X754" s="5">
        <v>2</v>
      </c>
      <c r="Y754" s="5">
        <v>2</v>
      </c>
      <c r="Z754" s="5">
        <v>6</v>
      </c>
    </row>
    <row r="755" spans="1:26" x14ac:dyDescent="0.35">
      <c r="A755">
        <v>754</v>
      </c>
      <c r="B755" s="10">
        <v>1</v>
      </c>
      <c r="C755">
        <v>1</v>
      </c>
      <c r="D755">
        <v>0</v>
      </c>
      <c r="E755">
        <v>0</v>
      </c>
      <c r="F755">
        <v>0</v>
      </c>
      <c r="G755">
        <v>1</v>
      </c>
      <c r="H755">
        <v>2</v>
      </c>
      <c r="I755">
        <v>0</v>
      </c>
      <c r="J755" s="10">
        <v>0.93874946831135686</v>
      </c>
      <c r="K755">
        <v>0</v>
      </c>
      <c r="L755">
        <v>1</v>
      </c>
      <c r="M755">
        <v>0</v>
      </c>
      <c r="N755" s="10">
        <v>0.32944044262256234</v>
      </c>
      <c r="O755" s="11">
        <v>0.56443288597356078</v>
      </c>
      <c r="P755" s="10">
        <v>0.375</v>
      </c>
      <c r="Q755">
        <v>0</v>
      </c>
      <c r="R755">
        <v>0</v>
      </c>
      <c r="S755">
        <v>0</v>
      </c>
      <c r="T755">
        <v>0</v>
      </c>
      <c r="U755">
        <v>0</v>
      </c>
      <c r="V755" s="10">
        <v>0.18591549295774648</v>
      </c>
      <c r="W755" s="5">
        <v>2</v>
      </c>
      <c r="X755" s="5">
        <v>2</v>
      </c>
      <c r="Y755" s="5">
        <v>2</v>
      </c>
      <c r="Z755" s="5">
        <v>6</v>
      </c>
    </row>
    <row r="756" spans="1:26" x14ac:dyDescent="0.35">
      <c r="A756">
        <v>755</v>
      </c>
      <c r="B756" s="10">
        <v>0.45098039215686275</v>
      </c>
      <c r="C756">
        <v>0</v>
      </c>
      <c r="D756">
        <v>0</v>
      </c>
      <c r="E756">
        <v>0</v>
      </c>
      <c r="F756">
        <v>0</v>
      </c>
      <c r="G756">
        <v>1</v>
      </c>
      <c r="H756">
        <v>3</v>
      </c>
      <c r="I756">
        <v>0</v>
      </c>
      <c r="J756" s="10">
        <v>0.91833262441514252</v>
      </c>
      <c r="K756">
        <v>0</v>
      </c>
      <c r="L756">
        <v>1</v>
      </c>
      <c r="M756">
        <v>0</v>
      </c>
      <c r="N756" s="10">
        <v>0.15694381915977537</v>
      </c>
      <c r="O756" s="11">
        <v>0.36196570018176083</v>
      </c>
      <c r="P756" s="10">
        <v>0.25</v>
      </c>
      <c r="Q756">
        <v>0</v>
      </c>
      <c r="R756">
        <v>0</v>
      </c>
      <c r="S756">
        <v>0</v>
      </c>
      <c r="T756">
        <v>0</v>
      </c>
      <c r="U756">
        <v>0</v>
      </c>
      <c r="V756" s="10">
        <v>0.54084507042253516</v>
      </c>
      <c r="W756" s="5">
        <v>1</v>
      </c>
      <c r="X756" s="5">
        <v>2</v>
      </c>
      <c r="Y756" s="5">
        <v>1</v>
      </c>
      <c r="Z756" s="5">
        <v>4</v>
      </c>
    </row>
    <row r="757" spans="1:26" x14ac:dyDescent="0.35">
      <c r="A757">
        <v>756</v>
      </c>
      <c r="B757" s="10">
        <v>0.49019607843137253</v>
      </c>
      <c r="C757">
        <v>0</v>
      </c>
      <c r="D757">
        <v>0</v>
      </c>
      <c r="E757">
        <v>0</v>
      </c>
      <c r="F757">
        <v>0</v>
      </c>
      <c r="G757">
        <v>1</v>
      </c>
      <c r="H757">
        <v>2</v>
      </c>
      <c r="I757">
        <v>0</v>
      </c>
      <c r="J757" s="10">
        <v>0.509995746490855</v>
      </c>
      <c r="K757">
        <v>1</v>
      </c>
      <c r="L757">
        <v>0</v>
      </c>
      <c r="M757">
        <v>0</v>
      </c>
      <c r="N757" s="10">
        <v>0.61367082908797943</v>
      </c>
      <c r="O757" s="11">
        <v>0.69810257751665017</v>
      </c>
      <c r="P757" s="10">
        <v>0.625</v>
      </c>
      <c r="Q757">
        <v>0</v>
      </c>
      <c r="R757">
        <v>0</v>
      </c>
      <c r="S757">
        <v>0</v>
      </c>
      <c r="T757">
        <v>0</v>
      </c>
      <c r="U757">
        <v>0</v>
      </c>
      <c r="V757" s="10">
        <v>0.62253521126760558</v>
      </c>
      <c r="W757" s="5">
        <v>1</v>
      </c>
      <c r="X757" s="5">
        <v>2</v>
      </c>
      <c r="Y757" s="5">
        <v>3</v>
      </c>
      <c r="Z757" s="5">
        <v>6</v>
      </c>
    </row>
    <row r="758" spans="1:26" x14ac:dyDescent="0.35">
      <c r="A758">
        <v>757</v>
      </c>
      <c r="B758" s="10">
        <v>0.90196078431372551</v>
      </c>
      <c r="C758">
        <v>0</v>
      </c>
      <c r="D758">
        <v>1</v>
      </c>
      <c r="E758">
        <v>0</v>
      </c>
      <c r="F758">
        <v>0</v>
      </c>
      <c r="G758">
        <v>0</v>
      </c>
      <c r="H758">
        <v>2</v>
      </c>
      <c r="I758">
        <v>1</v>
      </c>
      <c r="J758" s="10">
        <v>0.57124627817949813</v>
      </c>
      <c r="K758">
        <v>1</v>
      </c>
      <c r="L758">
        <v>0</v>
      </c>
      <c r="M758">
        <v>0</v>
      </c>
      <c r="N758" s="10">
        <v>0.43667511788261498</v>
      </c>
      <c r="O758" s="11">
        <v>0.59724340529990549</v>
      </c>
      <c r="P758" s="10">
        <v>0.5</v>
      </c>
      <c r="Q758">
        <v>1</v>
      </c>
      <c r="R758">
        <v>0</v>
      </c>
      <c r="S758">
        <v>0</v>
      </c>
      <c r="T758">
        <v>0</v>
      </c>
      <c r="U758">
        <v>1</v>
      </c>
      <c r="V758" s="10">
        <v>0.14929577464788732</v>
      </c>
      <c r="W758" s="5">
        <v>2</v>
      </c>
      <c r="X758" s="5">
        <v>2</v>
      </c>
      <c r="Y758" s="5">
        <v>2</v>
      </c>
      <c r="Z758" s="5">
        <v>6</v>
      </c>
    </row>
    <row r="759" spans="1:26" x14ac:dyDescent="0.35">
      <c r="A759">
        <v>758</v>
      </c>
      <c r="B759" s="10">
        <v>0.98039215686274506</v>
      </c>
      <c r="C759">
        <v>1</v>
      </c>
      <c r="D759">
        <v>1</v>
      </c>
      <c r="E759">
        <v>0</v>
      </c>
      <c r="F759">
        <v>0</v>
      </c>
      <c r="G759">
        <v>0</v>
      </c>
      <c r="H759">
        <v>2</v>
      </c>
      <c r="I759">
        <v>0</v>
      </c>
      <c r="J759" s="10">
        <v>0.36707783921735437</v>
      </c>
      <c r="K759">
        <v>0</v>
      </c>
      <c r="L759">
        <v>0</v>
      </c>
      <c r="M759">
        <v>1</v>
      </c>
      <c r="N759" s="10">
        <v>0.50816885055564764</v>
      </c>
      <c r="O759" s="11">
        <v>0.38576676034170143</v>
      </c>
      <c r="P759" s="10">
        <v>1</v>
      </c>
      <c r="Q759">
        <v>2</v>
      </c>
      <c r="R759">
        <v>1</v>
      </c>
      <c r="S759">
        <v>0</v>
      </c>
      <c r="T759">
        <v>1</v>
      </c>
      <c r="U759">
        <v>1</v>
      </c>
      <c r="V759" s="10">
        <v>5.3521126760563378E-2</v>
      </c>
      <c r="W759" s="5">
        <v>3</v>
      </c>
      <c r="X759" s="5">
        <v>3</v>
      </c>
      <c r="Y759" s="5">
        <v>3</v>
      </c>
      <c r="Z759" s="5">
        <v>9</v>
      </c>
    </row>
    <row r="760" spans="1:26" x14ac:dyDescent="0.35">
      <c r="A760">
        <v>759</v>
      </c>
      <c r="B760" s="10">
        <v>0.84313725490196079</v>
      </c>
      <c r="C760">
        <v>0</v>
      </c>
      <c r="D760">
        <v>0</v>
      </c>
      <c r="E760">
        <v>0</v>
      </c>
      <c r="F760">
        <v>0</v>
      </c>
      <c r="G760">
        <v>1</v>
      </c>
      <c r="H760">
        <v>2</v>
      </c>
      <c r="I760">
        <v>0</v>
      </c>
      <c r="J760" s="10">
        <v>0.26499361973628244</v>
      </c>
      <c r="K760">
        <v>0</v>
      </c>
      <c r="L760">
        <v>1</v>
      </c>
      <c r="M760">
        <v>0</v>
      </c>
      <c r="N760" s="10">
        <v>0.16769246262114068</v>
      </c>
      <c r="O760" s="11">
        <v>0.57945833920199608</v>
      </c>
      <c r="P760" s="10">
        <v>0.125</v>
      </c>
      <c r="Q760">
        <v>1</v>
      </c>
      <c r="R760">
        <v>0</v>
      </c>
      <c r="S760">
        <v>1</v>
      </c>
      <c r="T760">
        <v>0</v>
      </c>
      <c r="U760">
        <v>0</v>
      </c>
      <c r="V760" s="10">
        <v>0.81971830985915495</v>
      </c>
      <c r="W760" s="5">
        <v>1</v>
      </c>
      <c r="X760" s="5">
        <v>1</v>
      </c>
      <c r="Y760" s="5">
        <v>1</v>
      </c>
      <c r="Z760" s="5">
        <v>3</v>
      </c>
    </row>
    <row r="761" spans="1:26" x14ac:dyDescent="0.35">
      <c r="A761">
        <v>760</v>
      </c>
      <c r="B761" s="10">
        <v>0.80392156862745101</v>
      </c>
      <c r="C761">
        <v>1</v>
      </c>
      <c r="D761">
        <v>1</v>
      </c>
      <c r="E761">
        <v>0</v>
      </c>
      <c r="F761">
        <v>0</v>
      </c>
      <c r="G761">
        <v>0</v>
      </c>
      <c r="H761">
        <v>2</v>
      </c>
      <c r="I761">
        <v>0</v>
      </c>
      <c r="J761" s="10">
        <v>0.26499361973628244</v>
      </c>
      <c r="K761">
        <v>0</v>
      </c>
      <c r="L761">
        <v>0</v>
      </c>
      <c r="M761">
        <v>1</v>
      </c>
      <c r="N761" s="10">
        <v>0.13860092884392103</v>
      </c>
      <c r="O761" s="11">
        <v>0.96128694742348941</v>
      </c>
      <c r="P761" s="10">
        <v>0</v>
      </c>
      <c r="Q761">
        <v>2</v>
      </c>
      <c r="R761">
        <v>1</v>
      </c>
      <c r="S761">
        <v>0</v>
      </c>
      <c r="T761">
        <v>1</v>
      </c>
      <c r="U761">
        <v>1</v>
      </c>
      <c r="V761" s="10">
        <v>0.6619718309859155</v>
      </c>
      <c r="W761" s="5">
        <v>1</v>
      </c>
      <c r="X761" s="5">
        <v>1</v>
      </c>
      <c r="Y761" s="5">
        <v>1</v>
      </c>
      <c r="Z761" s="5">
        <v>3</v>
      </c>
    </row>
    <row r="762" spans="1:26" x14ac:dyDescent="0.35">
      <c r="A762">
        <v>761</v>
      </c>
      <c r="B762" s="10">
        <v>0.90196078431372551</v>
      </c>
      <c r="C762">
        <v>1</v>
      </c>
      <c r="D762">
        <v>0</v>
      </c>
      <c r="E762">
        <v>1</v>
      </c>
      <c r="F762">
        <v>0</v>
      </c>
      <c r="G762">
        <v>0</v>
      </c>
      <c r="H762">
        <v>1</v>
      </c>
      <c r="I762">
        <v>0</v>
      </c>
      <c r="J762" s="10">
        <v>0.91833262441514252</v>
      </c>
      <c r="K762">
        <v>0</v>
      </c>
      <c r="L762">
        <v>0</v>
      </c>
      <c r="M762">
        <v>1</v>
      </c>
      <c r="N762" s="10">
        <v>0.38487192853588609</v>
      </c>
      <c r="O762" s="11">
        <v>0.29269983075894668</v>
      </c>
      <c r="P762" s="10">
        <v>1</v>
      </c>
      <c r="Q762">
        <v>1</v>
      </c>
      <c r="R762">
        <v>0</v>
      </c>
      <c r="S762">
        <v>0</v>
      </c>
      <c r="T762">
        <v>0</v>
      </c>
      <c r="U762">
        <v>1</v>
      </c>
      <c r="V762" s="10">
        <v>3.6619718309859155E-2</v>
      </c>
      <c r="W762" s="5">
        <v>3</v>
      </c>
      <c r="X762" s="5">
        <v>3</v>
      </c>
      <c r="Y762" s="5">
        <v>2</v>
      </c>
      <c r="Z762" s="5">
        <v>8</v>
      </c>
    </row>
    <row r="763" spans="1:26" x14ac:dyDescent="0.35">
      <c r="A763">
        <v>762</v>
      </c>
      <c r="B763" s="10">
        <v>0</v>
      </c>
      <c r="C763">
        <v>0</v>
      </c>
      <c r="D763">
        <v>1</v>
      </c>
      <c r="E763">
        <v>0</v>
      </c>
      <c r="F763">
        <v>0</v>
      </c>
      <c r="G763">
        <v>0</v>
      </c>
      <c r="H763">
        <v>1</v>
      </c>
      <c r="I763">
        <v>1</v>
      </c>
      <c r="J763" s="10">
        <v>0.6937473415567843</v>
      </c>
      <c r="K763">
        <v>1</v>
      </c>
      <c r="L763">
        <v>0</v>
      </c>
      <c r="M763">
        <v>0</v>
      </c>
      <c r="N763" s="10">
        <v>0.76065386346942143</v>
      </c>
      <c r="O763" s="11">
        <v>0.57634738905991845</v>
      </c>
      <c r="P763" s="10">
        <v>1</v>
      </c>
      <c r="Q763">
        <v>1</v>
      </c>
      <c r="R763">
        <v>1</v>
      </c>
      <c r="S763">
        <v>1</v>
      </c>
      <c r="T763">
        <v>0</v>
      </c>
      <c r="U763">
        <v>0</v>
      </c>
      <c r="V763" s="10">
        <v>0.30140845070422534</v>
      </c>
      <c r="W763" s="5">
        <v>1</v>
      </c>
      <c r="X763" s="5">
        <v>3</v>
      </c>
      <c r="Y763" s="5">
        <v>3</v>
      </c>
      <c r="Z763" s="5">
        <v>7</v>
      </c>
    </row>
    <row r="764" spans="1:26" x14ac:dyDescent="0.35">
      <c r="A764">
        <v>763</v>
      </c>
      <c r="B764" s="10">
        <v>0.23529411764705882</v>
      </c>
      <c r="C764">
        <v>1</v>
      </c>
      <c r="D764">
        <v>0</v>
      </c>
      <c r="E764">
        <v>1</v>
      </c>
      <c r="F764">
        <v>0</v>
      </c>
      <c r="G764">
        <v>0</v>
      </c>
      <c r="H764">
        <v>1</v>
      </c>
      <c r="I764">
        <v>1</v>
      </c>
      <c r="J764" s="10">
        <v>0.28541046363249684</v>
      </c>
      <c r="K764">
        <v>1</v>
      </c>
      <c r="L764">
        <v>0</v>
      </c>
      <c r="M764">
        <v>0</v>
      </c>
      <c r="N764" s="10">
        <v>0.20239378717152809</v>
      </c>
      <c r="O764" s="11">
        <v>0.27893116561701442</v>
      </c>
      <c r="P764" s="10">
        <v>0.5</v>
      </c>
      <c r="Q764">
        <v>2</v>
      </c>
      <c r="R764">
        <v>0</v>
      </c>
      <c r="S764">
        <v>1</v>
      </c>
      <c r="T764">
        <v>0</v>
      </c>
      <c r="U764">
        <v>1</v>
      </c>
      <c r="V764" s="10">
        <v>0.14084507042253522</v>
      </c>
      <c r="W764" s="5">
        <v>2</v>
      </c>
      <c r="X764" s="5">
        <v>2</v>
      </c>
      <c r="Y764" s="5">
        <v>1</v>
      </c>
      <c r="Z764" s="5">
        <v>5</v>
      </c>
    </row>
    <row r="765" spans="1:26" x14ac:dyDescent="0.35">
      <c r="A765">
        <v>764</v>
      </c>
      <c r="B765" s="10">
        <v>0.17647058823529413</v>
      </c>
      <c r="C765">
        <v>1</v>
      </c>
      <c r="D765">
        <v>0</v>
      </c>
      <c r="E765">
        <v>0</v>
      </c>
      <c r="F765">
        <v>0</v>
      </c>
      <c r="G765">
        <v>1</v>
      </c>
      <c r="H765">
        <v>2</v>
      </c>
      <c r="I765">
        <v>0</v>
      </c>
      <c r="J765" s="10">
        <v>0.57124627817949813</v>
      </c>
      <c r="K765">
        <v>1</v>
      </c>
      <c r="L765">
        <v>0</v>
      </c>
      <c r="M765">
        <v>0</v>
      </c>
      <c r="N765" s="10">
        <v>0.14429957585953604</v>
      </c>
      <c r="O765" s="11">
        <v>1</v>
      </c>
      <c r="P765" s="10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 s="10">
        <v>0.95774647887323938</v>
      </c>
      <c r="W765" s="5">
        <v>1</v>
      </c>
      <c r="X765" s="5">
        <v>1</v>
      </c>
      <c r="Y765" s="5">
        <v>1</v>
      </c>
      <c r="Z765" s="5">
        <v>3</v>
      </c>
    </row>
    <row r="766" spans="1:26" x14ac:dyDescent="0.35">
      <c r="A766">
        <v>765</v>
      </c>
      <c r="B766" s="10">
        <v>0.35294117647058826</v>
      </c>
      <c r="C766">
        <v>0</v>
      </c>
      <c r="D766">
        <v>0</v>
      </c>
      <c r="E766">
        <v>1</v>
      </c>
      <c r="F766">
        <v>0</v>
      </c>
      <c r="G766">
        <v>0</v>
      </c>
      <c r="H766">
        <v>1</v>
      </c>
      <c r="I766">
        <v>0</v>
      </c>
      <c r="J766" s="10">
        <v>0.26499361973628244</v>
      </c>
      <c r="K766">
        <v>0</v>
      </c>
      <c r="L766">
        <v>0</v>
      </c>
      <c r="M766">
        <v>1</v>
      </c>
      <c r="N766" s="10">
        <v>0.3167428855768547</v>
      </c>
      <c r="O766" s="11">
        <v>0.43429445260468019</v>
      </c>
      <c r="P766" s="10">
        <v>0.5</v>
      </c>
      <c r="Q766">
        <v>1</v>
      </c>
      <c r="R766">
        <v>0</v>
      </c>
      <c r="S766">
        <v>0</v>
      </c>
      <c r="T766">
        <v>1</v>
      </c>
      <c r="U766">
        <v>0</v>
      </c>
      <c r="V766" s="10">
        <v>0.30985915492957744</v>
      </c>
      <c r="W766" s="5">
        <v>1</v>
      </c>
      <c r="X766" s="5">
        <v>2</v>
      </c>
      <c r="Y766" s="5">
        <v>2</v>
      </c>
      <c r="Z766" s="5">
        <v>5</v>
      </c>
    </row>
    <row r="767" spans="1:26" x14ac:dyDescent="0.35">
      <c r="A767">
        <v>766</v>
      </c>
      <c r="B767" s="10">
        <v>7.8431372549019607E-2</v>
      </c>
      <c r="C767">
        <v>0</v>
      </c>
      <c r="D767">
        <v>0</v>
      </c>
      <c r="E767">
        <v>0</v>
      </c>
      <c r="F767">
        <v>0</v>
      </c>
      <c r="G767">
        <v>1</v>
      </c>
      <c r="H767">
        <v>2</v>
      </c>
      <c r="I767">
        <v>0</v>
      </c>
      <c r="J767" s="10">
        <v>0.6937473415567843</v>
      </c>
      <c r="K767">
        <v>0</v>
      </c>
      <c r="L767">
        <v>1</v>
      </c>
      <c r="M767">
        <v>0</v>
      </c>
      <c r="N767" s="10">
        <v>0.26669608795583255</v>
      </c>
      <c r="O767" s="11">
        <v>0.61049518098955713</v>
      </c>
      <c r="P767" s="10">
        <v>0.25</v>
      </c>
      <c r="Q767">
        <v>2</v>
      </c>
      <c r="R767">
        <v>0</v>
      </c>
      <c r="S767">
        <v>1</v>
      </c>
      <c r="T767">
        <v>0</v>
      </c>
      <c r="U767">
        <v>1</v>
      </c>
      <c r="V767" s="10">
        <v>0.58028169014084507</v>
      </c>
      <c r="W767" s="5">
        <v>1</v>
      </c>
      <c r="X767" s="5">
        <v>2</v>
      </c>
      <c r="Y767" s="5">
        <v>2</v>
      </c>
      <c r="Z767" s="5">
        <v>5</v>
      </c>
    </row>
    <row r="768" spans="1:26" x14ac:dyDescent="0.35">
      <c r="A768">
        <v>767</v>
      </c>
      <c r="B768" s="10">
        <v>0.13725490196078433</v>
      </c>
      <c r="C768">
        <v>1</v>
      </c>
      <c r="D768">
        <v>0</v>
      </c>
      <c r="E768">
        <v>0</v>
      </c>
      <c r="F768">
        <v>0</v>
      </c>
      <c r="G768">
        <v>1</v>
      </c>
      <c r="H768">
        <v>2</v>
      </c>
      <c r="I768">
        <v>0</v>
      </c>
      <c r="J768" s="10">
        <v>0.10165886856656743</v>
      </c>
      <c r="K768">
        <v>1</v>
      </c>
      <c r="L768">
        <v>0</v>
      </c>
      <c r="M768">
        <v>0</v>
      </c>
      <c r="N768" s="10">
        <v>0.64565611449423022</v>
      </c>
      <c r="O768" s="11">
        <v>0.55073794241332819</v>
      </c>
      <c r="P768" s="10">
        <v>0.875</v>
      </c>
      <c r="Q768">
        <v>0</v>
      </c>
      <c r="R768">
        <v>0</v>
      </c>
      <c r="S768">
        <v>0</v>
      </c>
      <c r="T768">
        <v>0</v>
      </c>
      <c r="U768">
        <v>0</v>
      </c>
      <c r="V768" s="10">
        <v>2.5352112676056339E-2</v>
      </c>
      <c r="W768" s="5">
        <v>3</v>
      </c>
      <c r="X768" s="5">
        <v>3</v>
      </c>
      <c r="Y768" s="5">
        <v>3</v>
      </c>
      <c r="Z768" s="5">
        <v>9</v>
      </c>
    </row>
    <row r="769" spans="1:26" x14ac:dyDescent="0.35">
      <c r="A769">
        <v>768</v>
      </c>
      <c r="B769" s="10">
        <v>5.8823529411764705E-2</v>
      </c>
      <c r="C769">
        <v>0</v>
      </c>
      <c r="D769">
        <v>0</v>
      </c>
      <c r="E769">
        <v>0</v>
      </c>
      <c r="F769">
        <v>0</v>
      </c>
      <c r="G769">
        <v>1</v>
      </c>
      <c r="H769">
        <v>1</v>
      </c>
      <c r="I769">
        <v>0</v>
      </c>
      <c r="J769" s="10">
        <v>0.81624840493407058</v>
      </c>
      <c r="K769">
        <v>1</v>
      </c>
      <c r="L769">
        <v>0</v>
      </c>
      <c r="M769">
        <v>0</v>
      </c>
      <c r="N769" s="10">
        <v>0.31356183209724425</v>
      </c>
      <c r="O769" s="11">
        <v>0.42997243405299906</v>
      </c>
      <c r="P769" s="10">
        <v>0.5</v>
      </c>
      <c r="Q769">
        <v>0</v>
      </c>
      <c r="R769">
        <v>0</v>
      </c>
      <c r="S769">
        <v>0</v>
      </c>
      <c r="T769">
        <v>0</v>
      </c>
      <c r="U769">
        <v>0</v>
      </c>
      <c r="V769" s="10">
        <v>0.38309859154929576</v>
      </c>
      <c r="W769" s="5">
        <v>1</v>
      </c>
      <c r="X769" s="5">
        <v>2</v>
      </c>
      <c r="Y769" s="5">
        <v>2</v>
      </c>
      <c r="Z769" s="5">
        <v>5</v>
      </c>
    </row>
    <row r="770" spans="1:26" x14ac:dyDescent="0.35">
      <c r="A770">
        <v>769</v>
      </c>
      <c r="B770" s="10">
        <v>0.94117647058823528</v>
      </c>
      <c r="C770">
        <v>1</v>
      </c>
      <c r="D770">
        <v>1</v>
      </c>
      <c r="E770">
        <v>0</v>
      </c>
      <c r="F770">
        <v>0</v>
      </c>
      <c r="G770">
        <v>0</v>
      </c>
      <c r="H770">
        <v>3</v>
      </c>
      <c r="I770">
        <v>0</v>
      </c>
      <c r="J770" s="10">
        <v>0.2037430880476393</v>
      </c>
      <c r="K770">
        <v>1</v>
      </c>
      <c r="L770">
        <v>0</v>
      </c>
      <c r="M770">
        <v>0</v>
      </c>
      <c r="N770" s="10">
        <v>0.36953830296424417</v>
      </c>
      <c r="O770" s="11">
        <v>0.50602627819473223</v>
      </c>
      <c r="P770" s="10">
        <v>0.5</v>
      </c>
      <c r="Q770">
        <v>2</v>
      </c>
      <c r="R770">
        <v>1</v>
      </c>
      <c r="S770">
        <v>1</v>
      </c>
      <c r="T770">
        <v>1</v>
      </c>
      <c r="U770">
        <v>0</v>
      </c>
      <c r="V770" s="10">
        <v>0.50704225352112675</v>
      </c>
      <c r="W770" s="5">
        <v>1</v>
      </c>
      <c r="X770" s="5">
        <v>2</v>
      </c>
      <c r="Y770" s="5">
        <v>2</v>
      </c>
      <c r="Z770" s="5">
        <v>5</v>
      </c>
    </row>
    <row r="771" spans="1:26" x14ac:dyDescent="0.35">
      <c r="A771">
        <v>770</v>
      </c>
      <c r="B771" s="10">
        <v>0.23529411764705882</v>
      </c>
      <c r="C771">
        <v>0</v>
      </c>
      <c r="D771">
        <v>0</v>
      </c>
      <c r="E771">
        <v>0</v>
      </c>
      <c r="F771">
        <v>1</v>
      </c>
      <c r="G771">
        <v>0</v>
      </c>
      <c r="H771">
        <v>2</v>
      </c>
      <c r="I771">
        <v>0</v>
      </c>
      <c r="J771" s="10">
        <v>0.7345810293492131</v>
      </c>
      <c r="K771">
        <v>0</v>
      </c>
      <c r="L771">
        <v>1</v>
      </c>
      <c r="M771">
        <v>0</v>
      </c>
      <c r="N771" s="10">
        <v>0.28459765893419892</v>
      </c>
      <c r="O771" s="11">
        <v>0.32551627463999938</v>
      </c>
      <c r="P771" s="10">
        <v>0.625</v>
      </c>
      <c r="Q771">
        <v>2</v>
      </c>
      <c r="R771">
        <v>1</v>
      </c>
      <c r="S771">
        <v>0</v>
      </c>
      <c r="T771">
        <v>1</v>
      </c>
      <c r="U771">
        <v>1</v>
      </c>
      <c r="V771" s="10">
        <v>0.14929577464788732</v>
      </c>
      <c r="W771" s="5">
        <v>2</v>
      </c>
      <c r="X771" s="5">
        <v>2</v>
      </c>
      <c r="Y771" s="5">
        <v>2</v>
      </c>
      <c r="Z771" s="5">
        <v>6</v>
      </c>
    </row>
    <row r="772" spans="1:26" x14ac:dyDescent="0.35">
      <c r="A772">
        <v>771</v>
      </c>
      <c r="B772" s="10">
        <v>0.72549019607843135</v>
      </c>
      <c r="C772">
        <v>0</v>
      </c>
      <c r="D772">
        <v>0</v>
      </c>
      <c r="E772">
        <v>0</v>
      </c>
      <c r="F772">
        <v>1</v>
      </c>
      <c r="G772">
        <v>0</v>
      </c>
      <c r="H772">
        <v>2</v>
      </c>
      <c r="I772">
        <v>0</v>
      </c>
      <c r="J772" s="10">
        <v>0.1220757124627818</v>
      </c>
      <c r="K772">
        <v>0</v>
      </c>
      <c r="L772">
        <v>0</v>
      </c>
      <c r="M772">
        <v>1</v>
      </c>
      <c r="N772" s="10">
        <v>0.44156517309196025</v>
      </c>
      <c r="O772" s="11">
        <v>0.43134814440072089</v>
      </c>
      <c r="P772" s="10">
        <v>0.75</v>
      </c>
      <c r="Q772">
        <v>2</v>
      </c>
      <c r="R772">
        <v>1</v>
      </c>
      <c r="S772">
        <v>1</v>
      </c>
      <c r="T772">
        <v>1</v>
      </c>
      <c r="U772">
        <v>0</v>
      </c>
      <c r="V772" s="10">
        <v>5.0704225352112678E-2</v>
      </c>
      <c r="W772" s="5">
        <v>3</v>
      </c>
      <c r="X772" s="5">
        <v>2</v>
      </c>
      <c r="Y772" s="5">
        <v>2</v>
      </c>
      <c r="Z772" s="5">
        <v>7</v>
      </c>
    </row>
    <row r="773" spans="1:26" x14ac:dyDescent="0.35">
      <c r="A773">
        <v>772</v>
      </c>
      <c r="B773" s="10">
        <v>0.88235294117647056</v>
      </c>
      <c r="C773">
        <v>0</v>
      </c>
      <c r="D773">
        <v>0</v>
      </c>
      <c r="E773">
        <v>1</v>
      </c>
      <c r="F773">
        <v>0</v>
      </c>
      <c r="G773">
        <v>0</v>
      </c>
      <c r="H773">
        <v>1</v>
      </c>
      <c r="I773">
        <v>0</v>
      </c>
      <c r="J773" s="10">
        <v>0.42832837090599751</v>
      </c>
      <c r="K773">
        <v>0</v>
      </c>
      <c r="L773">
        <v>0</v>
      </c>
      <c r="M773">
        <v>1</v>
      </c>
      <c r="N773" s="10">
        <v>0.33018387318437076</v>
      </c>
      <c r="O773" s="11">
        <v>0.56569548683072091</v>
      </c>
      <c r="P773" s="10">
        <v>0.375</v>
      </c>
      <c r="Q773">
        <v>2</v>
      </c>
      <c r="R773">
        <v>1</v>
      </c>
      <c r="S773">
        <v>0</v>
      </c>
      <c r="T773">
        <v>1</v>
      </c>
      <c r="U773">
        <v>1</v>
      </c>
      <c r="V773" s="10">
        <v>0.17746478873239438</v>
      </c>
      <c r="W773" s="5">
        <v>2</v>
      </c>
      <c r="X773" s="5">
        <v>2</v>
      </c>
      <c r="Y773" s="5">
        <v>2</v>
      </c>
      <c r="Z773" s="5">
        <v>6</v>
      </c>
    </row>
    <row r="774" spans="1:26" x14ac:dyDescent="0.35">
      <c r="A774">
        <v>773</v>
      </c>
      <c r="B774" s="10">
        <v>0.94117647058823528</v>
      </c>
      <c r="C774">
        <v>1</v>
      </c>
      <c r="D774">
        <v>0</v>
      </c>
      <c r="E774">
        <v>0</v>
      </c>
      <c r="F774">
        <v>1</v>
      </c>
      <c r="G774">
        <v>0</v>
      </c>
      <c r="H774">
        <v>2</v>
      </c>
      <c r="I774">
        <v>0</v>
      </c>
      <c r="J774" s="10">
        <v>0.71416418545299876</v>
      </c>
      <c r="K774">
        <v>0</v>
      </c>
      <c r="L774">
        <v>1</v>
      </c>
      <c r="M774">
        <v>0</v>
      </c>
      <c r="N774" s="10">
        <v>0.56545447006136995</v>
      </c>
      <c r="O774" s="11">
        <v>0.48263295036117421</v>
      </c>
      <c r="P774" s="10">
        <v>0.875</v>
      </c>
      <c r="Q774">
        <v>0</v>
      </c>
      <c r="R774">
        <v>0</v>
      </c>
      <c r="S774">
        <v>0</v>
      </c>
      <c r="T774">
        <v>0</v>
      </c>
      <c r="U774">
        <v>0</v>
      </c>
      <c r="V774" s="10">
        <v>3.6619718309859155E-2</v>
      </c>
      <c r="W774" s="5">
        <v>3</v>
      </c>
      <c r="X774" s="5">
        <v>3</v>
      </c>
      <c r="Y774" s="5">
        <v>3</v>
      </c>
      <c r="Z774" s="5">
        <v>9</v>
      </c>
    </row>
    <row r="775" spans="1:26" x14ac:dyDescent="0.35">
      <c r="A775">
        <v>774</v>
      </c>
      <c r="B775" s="10">
        <v>0.88235294117647056</v>
      </c>
      <c r="C775">
        <v>1</v>
      </c>
      <c r="D775">
        <v>0</v>
      </c>
      <c r="E775">
        <v>0</v>
      </c>
      <c r="F775">
        <v>0</v>
      </c>
      <c r="G775">
        <v>1</v>
      </c>
      <c r="H775">
        <v>2</v>
      </c>
      <c r="I775">
        <v>0</v>
      </c>
      <c r="J775" s="10">
        <v>0.32624415142492558</v>
      </c>
      <c r="K775">
        <v>0</v>
      </c>
      <c r="L775">
        <v>0</v>
      </c>
      <c r="M775">
        <v>1</v>
      </c>
      <c r="N775" s="10">
        <v>9.3861810771746074E-3</v>
      </c>
      <c r="O775" s="11">
        <v>8.3482565041550133E-2</v>
      </c>
      <c r="P775" s="10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 s="10">
        <v>0.93239436619718308</v>
      </c>
      <c r="W775" s="5">
        <v>1</v>
      </c>
      <c r="X775" s="5">
        <v>1</v>
      </c>
      <c r="Y775" s="5">
        <v>1</v>
      </c>
      <c r="Z775" s="5">
        <v>3</v>
      </c>
    </row>
    <row r="776" spans="1:26" x14ac:dyDescent="0.35">
      <c r="A776">
        <v>775</v>
      </c>
      <c r="B776" s="10">
        <v>0.35294117647058826</v>
      </c>
      <c r="C776">
        <v>1</v>
      </c>
      <c r="D776">
        <v>0</v>
      </c>
      <c r="E776">
        <v>0</v>
      </c>
      <c r="F776">
        <v>1</v>
      </c>
      <c r="G776">
        <v>0</v>
      </c>
      <c r="H776">
        <v>2</v>
      </c>
      <c r="I776">
        <v>1</v>
      </c>
      <c r="J776" s="10">
        <v>0.40791152700978311</v>
      </c>
      <c r="K776">
        <v>0</v>
      </c>
      <c r="L776">
        <v>1</v>
      </c>
      <c r="M776">
        <v>0</v>
      </c>
      <c r="N776" s="10">
        <v>0.46711726654503227</v>
      </c>
      <c r="O776" s="11">
        <v>0.63860439847884265</v>
      </c>
      <c r="P776" s="10">
        <v>0.5</v>
      </c>
      <c r="Q776">
        <v>1</v>
      </c>
      <c r="R776">
        <v>0</v>
      </c>
      <c r="S776">
        <v>0</v>
      </c>
      <c r="T776">
        <v>0</v>
      </c>
      <c r="U776">
        <v>1</v>
      </c>
      <c r="V776" s="10">
        <v>8.1690140845070425E-2</v>
      </c>
      <c r="W776" s="5">
        <v>2</v>
      </c>
      <c r="X776" s="5">
        <v>2</v>
      </c>
      <c r="Y776" s="5">
        <v>3</v>
      </c>
      <c r="Z776" s="5">
        <v>7</v>
      </c>
    </row>
    <row r="777" spans="1:26" x14ac:dyDescent="0.35">
      <c r="A777">
        <v>776</v>
      </c>
      <c r="B777" s="10">
        <v>1</v>
      </c>
      <c r="C777">
        <v>0</v>
      </c>
      <c r="D777">
        <v>0</v>
      </c>
      <c r="E777">
        <v>1</v>
      </c>
      <c r="F777">
        <v>0</v>
      </c>
      <c r="G777">
        <v>0</v>
      </c>
      <c r="H777">
        <v>1</v>
      </c>
      <c r="I777">
        <v>0</v>
      </c>
      <c r="J777" s="10">
        <v>0.63249680986814127</v>
      </c>
      <c r="K777">
        <v>1</v>
      </c>
      <c r="L777">
        <v>0</v>
      </c>
      <c r="M777">
        <v>0</v>
      </c>
      <c r="N777" s="10">
        <v>0.48513435063858018</v>
      </c>
      <c r="O777" s="11">
        <v>0.66308376426085025</v>
      </c>
      <c r="P777" s="10">
        <v>0.5</v>
      </c>
      <c r="Q777">
        <v>2</v>
      </c>
      <c r="R777">
        <v>1</v>
      </c>
      <c r="S777">
        <v>1</v>
      </c>
      <c r="T777">
        <v>0</v>
      </c>
      <c r="U777">
        <v>1</v>
      </c>
      <c r="V777" s="10">
        <v>2.2535211267605635E-2</v>
      </c>
      <c r="W777" s="5">
        <v>3</v>
      </c>
      <c r="X777" s="5">
        <v>2</v>
      </c>
      <c r="Y777" s="5">
        <v>3</v>
      </c>
      <c r="Z777" s="5">
        <v>8</v>
      </c>
    </row>
    <row r="778" spans="1:26" x14ac:dyDescent="0.35">
      <c r="A778">
        <v>777</v>
      </c>
      <c r="B778" s="10">
        <v>0.96078431372549022</v>
      </c>
      <c r="C778">
        <v>1</v>
      </c>
      <c r="D778">
        <v>0</v>
      </c>
      <c r="E778">
        <v>0</v>
      </c>
      <c r="F778">
        <v>0</v>
      </c>
      <c r="G778">
        <v>1</v>
      </c>
      <c r="H778">
        <v>3</v>
      </c>
      <c r="I778">
        <v>1</v>
      </c>
      <c r="J778" s="10">
        <v>0.10165886856656743</v>
      </c>
      <c r="K778">
        <v>0</v>
      </c>
      <c r="L778">
        <v>1</v>
      </c>
      <c r="M778">
        <v>0</v>
      </c>
      <c r="N778" s="10">
        <v>0.43782432528493231</v>
      </c>
      <c r="O778" s="11">
        <v>0.49900400410471035</v>
      </c>
      <c r="P778" s="10">
        <v>0.625</v>
      </c>
      <c r="Q778">
        <v>0</v>
      </c>
      <c r="R778">
        <v>0</v>
      </c>
      <c r="S778">
        <v>0</v>
      </c>
      <c r="T778">
        <v>0</v>
      </c>
      <c r="U778">
        <v>0</v>
      </c>
      <c r="V778" s="10">
        <v>0.24507042253521127</v>
      </c>
      <c r="W778" s="5">
        <v>1</v>
      </c>
      <c r="X778" s="5">
        <v>2</v>
      </c>
      <c r="Y778" s="5">
        <v>2</v>
      </c>
      <c r="Z778" s="5">
        <v>5</v>
      </c>
    </row>
    <row r="779" spans="1:26" x14ac:dyDescent="0.35">
      <c r="A779">
        <v>778</v>
      </c>
      <c r="B779" s="10">
        <v>0.13725490196078433</v>
      </c>
      <c r="C779">
        <v>0</v>
      </c>
      <c r="D779">
        <v>1</v>
      </c>
      <c r="E779">
        <v>0</v>
      </c>
      <c r="F779">
        <v>0</v>
      </c>
      <c r="G779">
        <v>0</v>
      </c>
      <c r="H779">
        <v>3</v>
      </c>
      <c r="I779">
        <v>0</v>
      </c>
      <c r="J779" s="10">
        <v>0.1220757124627818</v>
      </c>
      <c r="K779">
        <v>0</v>
      </c>
      <c r="L779">
        <v>0</v>
      </c>
      <c r="M779">
        <v>1</v>
      </c>
      <c r="N779" s="10">
        <v>0.60857936639575383</v>
      </c>
      <c r="O779" s="11">
        <v>0.46155858266765931</v>
      </c>
      <c r="P779" s="10">
        <v>1</v>
      </c>
      <c r="Q779">
        <v>2</v>
      </c>
      <c r="R779">
        <v>1</v>
      </c>
      <c r="S779">
        <v>1</v>
      </c>
      <c r="T779">
        <v>1</v>
      </c>
      <c r="U779">
        <v>0</v>
      </c>
      <c r="V779" s="10">
        <v>0.14084507042253522</v>
      </c>
      <c r="W779" s="5">
        <v>2</v>
      </c>
      <c r="X779" s="5">
        <v>3</v>
      </c>
      <c r="Y779" s="5">
        <v>3</v>
      </c>
      <c r="Z779" s="5">
        <v>8</v>
      </c>
    </row>
    <row r="780" spans="1:26" x14ac:dyDescent="0.35">
      <c r="A780">
        <v>779</v>
      </c>
      <c r="B780" s="10">
        <v>0.50980392156862742</v>
      </c>
      <c r="C780">
        <v>0</v>
      </c>
      <c r="D780">
        <v>0</v>
      </c>
      <c r="E780">
        <v>0</v>
      </c>
      <c r="F780">
        <v>0</v>
      </c>
      <c r="G780">
        <v>1</v>
      </c>
      <c r="H780">
        <v>1</v>
      </c>
      <c r="I780">
        <v>0</v>
      </c>
      <c r="J780" s="10">
        <v>4.0408336877924292E-2</v>
      </c>
      <c r="K780">
        <v>1</v>
      </c>
      <c r="L780">
        <v>0</v>
      </c>
      <c r="M780">
        <v>0</v>
      </c>
      <c r="N780" s="10">
        <v>0.46005615714522669</v>
      </c>
      <c r="O780" s="11">
        <v>0.52417553673112138</v>
      </c>
      <c r="P780" s="10">
        <v>0.625</v>
      </c>
      <c r="Q780">
        <v>1</v>
      </c>
      <c r="R780">
        <v>0</v>
      </c>
      <c r="S780">
        <v>0</v>
      </c>
      <c r="T780">
        <v>1</v>
      </c>
      <c r="U780">
        <v>0</v>
      </c>
      <c r="V780" s="10">
        <v>8.1690140845070425E-2</v>
      </c>
      <c r="W780" s="5">
        <v>2</v>
      </c>
      <c r="X780" s="5">
        <v>2</v>
      </c>
      <c r="Y780" s="5">
        <v>2</v>
      </c>
      <c r="Z780" s="5">
        <v>6</v>
      </c>
    </row>
    <row r="781" spans="1:26" x14ac:dyDescent="0.35">
      <c r="A781">
        <v>780</v>
      </c>
      <c r="B781" s="10">
        <v>0.96078431372549022</v>
      </c>
      <c r="C781">
        <v>1</v>
      </c>
      <c r="D781">
        <v>0</v>
      </c>
      <c r="E781">
        <v>0</v>
      </c>
      <c r="F781">
        <v>0</v>
      </c>
      <c r="G781">
        <v>1</v>
      </c>
      <c r="H781">
        <v>2</v>
      </c>
      <c r="I781">
        <v>0</v>
      </c>
      <c r="J781" s="10">
        <v>0.79583156103785624</v>
      </c>
      <c r="K781">
        <v>1</v>
      </c>
      <c r="L781">
        <v>0</v>
      </c>
      <c r="M781">
        <v>0</v>
      </c>
      <c r="N781" s="10">
        <v>0.62133912281117454</v>
      </c>
      <c r="O781" s="11">
        <v>0.60581558122756141</v>
      </c>
      <c r="P781" s="10">
        <v>0.75</v>
      </c>
      <c r="Q781">
        <v>1</v>
      </c>
      <c r="R781">
        <v>1</v>
      </c>
      <c r="S781">
        <v>1</v>
      </c>
      <c r="T781">
        <v>0</v>
      </c>
      <c r="U781">
        <v>0</v>
      </c>
      <c r="V781" s="10">
        <v>8.1690140845070425E-2</v>
      </c>
      <c r="W781" s="5">
        <v>2</v>
      </c>
      <c r="X781" s="5">
        <v>2</v>
      </c>
      <c r="Y781" s="5">
        <v>3</v>
      </c>
      <c r="Z781" s="5">
        <v>7</v>
      </c>
    </row>
    <row r="782" spans="1:26" x14ac:dyDescent="0.35">
      <c r="A782">
        <v>781</v>
      </c>
      <c r="B782" s="10">
        <v>0.90196078431372551</v>
      </c>
      <c r="C782">
        <v>0</v>
      </c>
      <c r="D782">
        <v>0</v>
      </c>
      <c r="E782">
        <v>1</v>
      </c>
      <c r="F782">
        <v>0</v>
      </c>
      <c r="G782">
        <v>0</v>
      </c>
      <c r="H782">
        <v>3</v>
      </c>
      <c r="I782">
        <v>0</v>
      </c>
      <c r="J782" s="10">
        <v>0.44874521480221186</v>
      </c>
      <c r="K782">
        <v>1</v>
      </c>
      <c r="L782">
        <v>0</v>
      </c>
      <c r="M782">
        <v>0</v>
      </c>
      <c r="N782" s="10">
        <v>0.15958877330995427</v>
      </c>
      <c r="O782" s="11">
        <v>0.55193263445944585</v>
      </c>
      <c r="P782" s="10">
        <v>0.125</v>
      </c>
      <c r="Q782">
        <v>1</v>
      </c>
      <c r="R782">
        <v>0</v>
      </c>
      <c r="S782">
        <v>0</v>
      </c>
      <c r="T782">
        <v>1</v>
      </c>
      <c r="U782">
        <v>0</v>
      </c>
      <c r="V782" s="10">
        <v>0.46197183098591549</v>
      </c>
      <c r="W782" s="5">
        <v>1</v>
      </c>
      <c r="X782" s="5">
        <v>1</v>
      </c>
      <c r="Y782" s="5">
        <v>1</v>
      </c>
      <c r="Z782" s="5">
        <v>3</v>
      </c>
    </row>
    <row r="783" spans="1:26" x14ac:dyDescent="0.35">
      <c r="A783">
        <v>782</v>
      </c>
      <c r="B783" s="10">
        <v>0.56862745098039214</v>
      </c>
      <c r="C783">
        <v>1</v>
      </c>
      <c r="D783">
        <v>1</v>
      </c>
      <c r="E783">
        <v>0</v>
      </c>
      <c r="F783">
        <v>0</v>
      </c>
      <c r="G783">
        <v>0</v>
      </c>
      <c r="H783">
        <v>1</v>
      </c>
      <c r="I783">
        <v>1</v>
      </c>
      <c r="J783" s="10">
        <v>0.22415993194385367</v>
      </c>
      <c r="K783">
        <v>1</v>
      </c>
      <c r="L783">
        <v>0</v>
      </c>
      <c r="M783">
        <v>0</v>
      </c>
      <c r="N783" s="10">
        <v>0.30595869961851052</v>
      </c>
      <c r="O783" s="11">
        <v>0.41964224632286362</v>
      </c>
      <c r="P783" s="10">
        <v>0.5</v>
      </c>
      <c r="Q783">
        <v>1</v>
      </c>
      <c r="R783">
        <v>1</v>
      </c>
      <c r="S783">
        <v>0</v>
      </c>
      <c r="T783">
        <v>0</v>
      </c>
      <c r="U783">
        <v>1</v>
      </c>
      <c r="V783" s="10">
        <v>0.21690140845070421</v>
      </c>
      <c r="W783" s="5">
        <v>2</v>
      </c>
      <c r="X783" s="5">
        <v>2</v>
      </c>
      <c r="Y783" s="5">
        <v>2</v>
      </c>
      <c r="Z783" s="5">
        <v>6</v>
      </c>
    </row>
    <row r="784" spans="1:26" x14ac:dyDescent="0.35">
      <c r="A784">
        <v>783</v>
      </c>
      <c r="B784" s="10">
        <v>5.8823529411764705E-2</v>
      </c>
      <c r="C784">
        <v>0</v>
      </c>
      <c r="D784">
        <v>0</v>
      </c>
      <c r="E784">
        <v>0</v>
      </c>
      <c r="F784">
        <v>0</v>
      </c>
      <c r="G784">
        <v>1</v>
      </c>
      <c r="H784">
        <v>1</v>
      </c>
      <c r="I784">
        <v>0</v>
      </c>
      <c r="J784" s="10">
        <v>0.30582730752871118</v>
      </c>
      <c r="K784">
        <v>0</v>
      </c>
      <c r="L784">
        <v>1</v>
      </c>
      <c r="M784">
        <v>0</v>
      </c>
      <c r="N784" s="10">
        <v>0.33287917920526977</v>
      </c>
      <c r="O784" s="11">
        <v>0.38018202914880922</v>
      </c>
      <c r="P784" s="10">
        <v>0.625</v>
      </c>
      <c r="Q784">
        <v>0</v>
      </c>
      <c r="R784">
        <v>0</v>
      </c>
      <c r="S784">
        <v>0</v>
      </c>
      <c r="T784">
        <v>0</v>
      </c>
      <c r="U784">
        <v>0</v>
      </c>
      <c r="V784" s="10">
        <v>0.19436619718309858</v>
      </c>
      <c r="W784" s="5">
        <v>2</v>
      </c>
      <c r="X784" s="5">
        <v>2</v>
      </c>
      <c r="Y784" s="5">
        <v>2</v>
      </c>
      <c r="Z784" s="5">
        <v>6</v>
      </c>
    </row>
    <row r="785" spans="1:26" x14ac:dyDescent="0.35">
      <c r="A785">
        <v>784</v>
      </c>
      <c r="B785" s="10">
        <v>0.19607843137254902</v>
      </c>
      <c r="C785">
        <v>1</v>
      </c>
      <c r="D785">
        <v>1</v>
      </c>
      <c r="E785">
        <v>0</v>
      </c>
      <c r="F785">
        <v>0</v>
      </c>
      <c r="G785">
        <v>0</v>
      </c>
      <c r="H785">
        <v>2</v>
      </c>
      <c r="I785">
        <v>0</v>
      </c>
      <c r="J785" s="10">
        <v>0.26499361973628244</v>
      </c>
      <c r="K785">
        <v>0</v>
      </c>
      <c r="L785">
        <v>0</v>
      </c>
      <c r="M785">
        <v>1</v>
      </c>
      <c r="N785" s="10">
        <v>0.46143342890315853</v>
      </c>
      <c r="O785" s="11">
        <v>0.78860238636592284</v>
      </c>
      <c r="P785" s="10">
        <v>0.375</v>
      </c>
      <c r="Q785">
        <v>2</v>
      </c>
      <c r="R785">
        <v>1</v>
      </c>
      <c r="S785">
        <v>0</v>
      </c>
      <c r="T785">
        <v>0</v>
      </c>
      <c r="U785">
        <v>1</v>
      </c>
      <c r="V785" s="10">
        <v>0.23943661971830985</v>
      </c>
      <c r="W785" s="5">
        <v>1</v>
      </c>
      <c r="X785" s="5">
        <v>2</v>
      </c>
      <c r="Y785" s="5">
        <v>2</v>
      </c>
      <c r="Z785" s="5">
        <v>5</v>
      </c>
    </row>
    <row r="786" spans="1:26" x14ac:dyDescent="0.35">
      <c r="A786">
        <v>785</v>
      </c>
      <c r="B786" s="10">
        <v>0.39215686274509803</v>
      </c>
      <c r="C786">
        <v>0</v>
      </c>
      <c r="D786">
        <v>0</v>
      </c>
      <c r="E786">
        <v>0</v>
      </c>
      <c r="F786">
        <v>0</v>
      </c>
      <c r="G786">
        <v>1</v>
      </c>
      <c r="H786">
        <v>2</v>
      </c>
      <c r="I786">
        <v>0</v>
      </c>
      <c r="J786" s="10">
        <v>0.67333049766056996</v>
      </c>
      <c r="K786">
        <v>0</v>
      </c>
      <c r="L786">
        <v>0</v>
      </c>
      <c r="M786">
        <v>1</v>
      </c>
      <c r="N786" s="10">
        <v>0.57785287775750538</v>
      </c>
      <c r="O786" s="11">
        <v>0.56361294995875166</v>
      </c>
      <c r="P786" s="10">
        <v>0.75</v>
      </c>
      <c r="Q786">
        <v>1</v>
      </c>
      <c r="R786">
        <v>0</v>
      </c>
      <c r="S786">
        <v>0</v>
      </c>
      <c r="T786">
        <v>0</v>
      </c>
      <c r="U786">
        <v>1</v>
      </c>
      <c r="V786" s="10">
        <v>3.3802816901408447E-2</v>
      </c>
      <c r="W786" s="5">
        <v>3</v>
      </c>
      <c r="X786" s="5">
        <v>2</v>
      </c>
      <c r="Y786" s="5">
        <v>3</v>
      </c>
      <c r="Z786" s="5">
        <v>8</v>
      </c>
    </row>
    <row r="787" spans="1:26" x14ac:dyDescent="0.35">
      <c r="A787">
        <v>786</v>
      </c>
      <c r="B787" s="10">
        <v>0.82352941176470584</v>
      </c>
      <c r="C787">
        <v>0</v>
      </c>
      <c r="D787">
        <v>0</v>
      </c>
      <c r="E787">
        <v>0</v>
      </c>
      <c r="F787">
        <v>0</v>
      </c>
      <c r="G787">
        <v>1</v>
      </c>
      <c r="H787">
        <v>1</v>
      </c>
      <c r="I787">
        <v>0</v>
      </c>
      <c r="J787" s="10">
        <v>0.93874946831135686</v>
      </c>
      <c r="K787">
        <v>1</v>
      </c>
      <c r="L787">
        <v>0</v>
      </c>
      <c r="M787">
        <v>0</v>
      </c>
      <c r="N787" s="10">
        <v>0.63135322133497607</v>
      </c>
      <c r="O787" s="11">
        <v>0.47874873404562129</v>
      </c>
      <c r="P787" s="10">
        <v>1</v>
      </c>
      <c r="Q787">
        <v>2</v>
      </c>
      <c r="R787">
        <v>1</v>
      </c>
      <c r="S787">
        <v>0</v>
      </c>
      <c r="T787">
        <v>0</v>
      </c>
      <c r="U787">
        <v>1</v>
      </c>
      <c r="V787" s="10">
        <v>0.16338028169014085</v>
      </c>
      <c r="W787" s="5">
        <v>2</v>
      </c>
      <c r="X787" s="5">
        <v>3</v>
      </c>
      <c r="Y787" s="5">
        <v>3</v>
      </c>
      <c r="Z787" s="5">
        <v>8</v>
      </c>
    </row>
    <row r="788" spans="1:26" x14ac:dyDescent="0.35">
      <c r="A788">
        <v>787</v>
      </c>
      <c r="B788" s="10">
        <v>1.9607843137254902E-2</v>
      </c>
      <c r="C788">
        <v>1</v>
      </c>
      <c r="D788">
        <v>0</v>
      </c>
      <c r="E788">
        <v>1</v>
      </c>
      <c r="F788">
        <v>0</v>
      </c>
      <c r="G788">
        <v>0</v>
      </c>
      <c r="H788">
        <v>1</v>
      </c>
      <c r="I788">
        <v>0</v>
      </c>
      <c r="J788" s="10">
        <v>0.28541046363249684</v>
      </c>
      <c r="K788">
        <v>0</v>
      </c>
      <c r="L788">
        <v>1</v>
      </c>
      <c r="M788">
        <v>0</v>
      </c>
      <c r="N788" s="10">
        <v>0.36892519489135844</v>
      </c>
      <c r="O788" s="11">
        <v>0.31574578965371541</v>
      </c>
      <c r="P788" s="10">
        <v>0.875</v>
      </c>
      <c r="Q788">
        <v>2</v>
      </c>
      <c r="R788">
        <v>1</v>
      </c>
      <c r="S788">
        <v>1</v>
      </c>
      <c r="T788">
        <v>0</v>
      </c>
      <c r="U788">
        <v>0</v>
      </c>
      <c r="V788" s="10">
        <v>0.10422535211267606</v>
      </c>
      <c r="W788" s="5">
        <v>2</v>
      </c>
      <c r="X788" s="5">
        <v>3</v>
      </c>
      <c r="Y788" s="5">
        <v>2</v>
      </c>
      <c r="Z788" s="5">
        <v>7</v>
      </c>
    </row>
    <row r="789" spans="1:26" x14ac:dyDescent="0.35">
      <c r="A789">
        <v>788</v>
      </c>
      <c r="B789" s="10">
        <v>0.39215686274509803</v>
      </c>
      <c r="C789">
        <v>1</v>
      </c>
      <c r="D789">
        <v>0</v>
      </c>
      <c r="E789">
        <v>0</v>
      </c>
      <c r="F789">
        <v>0</v>
      </c>
      <c r="G789">
        <v>1</v>
      </c>
      <c r="H789">
        <v>1</v>
      </c>
      <c r="I789">
        <v>1</v>
      </c>
      <c r="J789" s="10">
        <v>0.79583156103785624</v>
      </c>
      <c r="K789">
        <v>0</v>
      </c>
      <c r="L789">
        <v>0</v>
      </c>
      <c r="M789">
        <v>1</v>
      </c>
      <c r="N789" s="10">
        <v>0.30547295215979903</v>
      </c>
      <c r="O789" s="11">
        <v>0.41898227328517668</v>
      </c>
      <c r="P789" s="10">
        <v>0.5</v>
      </c>
      <c r="Q789">
        <v>0</v>
      </c>
      <c r="R789">
        <v>0</v>
      </c>
      <c r="S789">
        <v>0</v>
      </c>
      <c r="T789">
        <v>0</v>
      </c>
      <c r="U789">
        <v>0</v>
      </c>
      <c r="V789" s="10">
        <v>2.8169014084507043E-2</v>
      </c>
      <c r="W789" s="5">
        <v>3</v>
      </c>
      <c r="X789" s="5">
        <v>2</v>
      </c>
      <c r="Y789" s="5">
        <v>2</v>
      </c>
      <c r="Z789" s="5">
        <v>7</v>
      </c>
    </row>
    <row r="790" spans="1:26" x14ac:dyDescent="0.35">
      <c r="A790">
        <v>789</v>
      </c>
      <c r="B790" s="10">
        <v>0.31372549019607843</v>
      </c>
      <c r="C790">
        <v>0</v>
      </c>
      <c r="D790">
        <v>0</v>
      </c>
      <c r="E790">
        <v>0</v>
      </c>
      <c r="F790">
        <v>0</v>
      </c>
      <c r="G790">
        <v>1</v>
      </c>
      <c r="H790">
        <v>3</v>
      </c>
      <c r="I790">
        <v>1</v>
      </c>
      <c r="J790" s="10">
        <v>4.0408336877924292E-2</v>
      </c>
      <c r="K790">
        <v>0</v>
      </c>
      <c r="L790">
        <v>1</v>
      </c>
      <c r="M790">
        <v>0</v>
      </c>
      <c r="N790" s="10">
        <v>0.51711371229533443</v>
      </c>
      <c r="O790" s="11">
        <v>0.4415833316565726</v>
      </c>
      <c r="P790" s="10">
        <v>0.875</v>
      </c>
      <c r="Q790">
        <v>2</v>
      </c>
      <c r="R790">
        <v>0</v>
      </c>
      <c r="S790">
        <v>1</v>
      </c>
      <c r="T790">
        <v>0</v>
      </c>
      <c r="U790">
        <v>1</v>
      </c>
      <c r="V790" s="10">
        <v>0</v>
      </c>
      <c r="W790" s="5">
        <v>3</v>
      </c>
      <c r="X790" s="5">
        <v>3</v>
      </c>
      <c r="Y790" s="5">
        <v>3</v>
      </c>
      <c r="Z790" s="5">
        <v>9</v>
      </c>
    </row>
    <row r="791" spans="1:26" x14ac:dyDescent="0.35">
      <c r="A791">
        <v>790</v>
      </c>
      <c r="B791" s="10">
        <v>0.82352941176470584</v>
      </c>
      <c r="C791">
        <v>1</v>
      </c>
      <c r="D791">
        <v>0</v>
      </c>
      <c r="E791">
        <v>0</v>
      </c>
      <c r="F791">
        <v>0</v>
      </c>
      <c r="G791">
        <v>1</v>
      </c>
      <c r="H791">
        <v>2</v>
      </c>
      <c r="I791">
        <v>0</v>
      </c>
      <c r="J791" s="10">
        <v>0.2037430880476393</v>
      </c>
      <c r="K791">
        <v>0</v>
      </c>
      <c r="L791">
        <v>1</v>
      </c>
      <c r="M791">
        <v>0</v>
      </c>
      <c r="N791" s="10">
        <v>0.8211383077032437</v>
      </c>
      <c r="O791" s="11">
        <v>0.62200223120965992</v>
      </c>
      <c r="P791" s="10">
        <v>1</v>
      </c>
      <c r="Q791">
        <v>1</v>
      </c>
      <c r="R791">
        <v>0</v>
      </c>
      <c r="S791">
        <v>0</v>
      </c>
      <c r="T791">
        <v>0</v>
      </c>
      <c r="U791">
        <v>1</v>
      </c>
      <c r="V791" s="10">
        <v>8.7323943661971826E-2</v>
      </c>
      <c r="W791" s="5">
        <v>2</v>
      </c>
      <c r="X791" s="5">
        <v>3</v>
      </c>
      <c r="Y791" s="5">
        <v>3</v>
      </c>
      <c r="Z791" s="5">
        <v>8</v>
      </c>
    </row>
    <row r="792" spans="1:26" x14ac:dyDescent="0.35">
      <c r="A792">
        <v>791</v>
      </c>
      <c r="B792" s="10">
        <v>0.98039215686274506</v>
      </c>
      <c r="C792">
        <v>0</v>
      </c>
      <c r="D792">
        <v>0</v>
      </c>
      <c r="E792">
        <v>0</v>
      </c>
      <c r="F792">
        <v>1</v>
      </c>
      <c r="G792">
        <v>0</v>
      </c>
      <c r="H792">
        <v>1</v>
      </c>
      <c r="I792">
        <v>1</v>
      </c>
      <c r="J792" s="10">
        <v>0.85708209272649938</v>
      </c>
      <c r="K792">
        <v>0</v>
      </c>
      <c r="L792">
        <v>1</v>
      </c>
      <c r="M792">
        <v>0</v>
      </c>
      <c r="N792" s="10">
        <v>0.12781081913608036</v>
      </c>
      <c r="O792" s="11">
        <v>0.44399283687800556</v>
      </c>
      <c r="P792" s="10">
        <v>0.125</v>
      </c>
      <c r="Q792">
        <v>2</v>
      </c>
      <c r="R792">
        <v>0</v>
      </c>
      <c r="S792">
        <v>0</v>
      </c>
      <c r="T792">
        <v>1</v>
      </c>
      <c r="U792">
        <v>1</v>
      </c>
      <c r="V792" s="10">
        <v>0.19154929577464788</v>
      </c>
      <c r="W792" s="5">
        <v>2</v>
      </c>
      <c r="X792" s="5">
        <v>1</v>
      </c>
      <c r="Y792" s="5">
        <v>1</v>
      </c>
      <c r="Z792" s="5">
        <v>4</v>
      </c>
    </row>
    <row r="793" spans="1:26" x14ac:dyDescent="0.35">
      <c r="A793">
        <v>792</v>
      </c>
      <c r="B793" s="10">
        <v>0.5490196078431373</v>
      </c>
      <c r="C793">
        <v>0</v>
      </c>
      <c r="D793">
        <v>1</v>
      </c>
      <c r="E793">
        <v>0</v>
      </c>
      <c r="F793">
        <v>0</v>
      </c>
      <c r="G793">
        <v>0</v>
      </c>
      <c r="H793">
        <v>2</v>
      </c>
      <c r="I793">
        <v>0</v>
      </c>
      <c r="J793" s="10">
        <v>0.61207996597192693</v>
      </c>
      <c r="K793">
        <v>0</v>
      </c>
      <c r="L793">
        <v>0</v>
      </c>
      <c r="M793">
        <v>1</v>
      </c>
      <c r="N793" s="10">
        <v>0.40618261734947753</v>
      </c>
      <c r="O793" s="11">
        <v>0.55581400028169592</v>
      </c>
      <c r="P793" s="10">
        <v>0.5</v>
      </c>
      <c r="Q793">
        <v>2</v>
      </c>
      <c r="R793">
        <v>1</v>
      </c>
      <c r="S793">
        <v>0</v>
      </c>
      <c r="T793">
        <v>1</v>
      </c>
      <c r="U793">
        <v>1</v>
      </c>
      <c r="V793" s="10">
        <v>3.3802816901408447E-2</v>
      </c>
      <c r="W793" s="5">
        <v>3</v>
      </c>
      <c r="X793" s="5">
        <v>2</v>
      </c>
      <c r="Y793" s="5">
        <v>2</v>
      </c>
      <c r="Z793" s="5">
        <v>7</v>
      </c>
    </row>
    <row r="794" spans="1:26" x14ac:dyDescent="0.35">
      <c r="A794">
        <v>793</v>
      </c>
      <c r="B794" s="10">
        <v>0.50980392156862742</v>
      </c>
      <c r="C794">
        <v>0</v>
      </c>
      <c r="D794">
        <v>0</v>
      </c>
      <c r="E794">
        <v>1</v>
      </c>
      <c r="F794">
        <v>0</v>
      </c>
      <c r="G794">
        <v>0</v>
      </c>
      <c r="H794">
        <v>3</v>
      </c>
      <c r="I794">
        <v>0</v>
      </c>
      <c r="J794" s="10">
        <v>0.65291365376435562</v>
      </c>
      <c r="K794">
        <v>0</v>
      </c>
      <c r="L794">
        <v>1</v>
      </c>
      <c r="M794">
        <v>0</v>
      </c>
      <c r="N794" s="10">
        <v>0.34930869843376056</v>
      </c>
      <c r="O794" s="11">
        <v>0.398784013092148</v>
      </c>
      <c r="P794" s="10">
        <v>0.625</v>
      </c>
      <c r="Q794">
        <v>1</v>
      </c>
      <c r="R794">
        <v>0</v>
      </c>
      <c r="S794">
        <v>0</v>
      </c>
      <c r="T794">
        <v>1</v>
      </c>
      <c r="U794">
        <v>0</v>
      </c>
      <c r="V794" s="10">
        <v>0.47042253521126759</v>
      </c>
      <c r="W794" s="5">
        <v>1</v>
      </c>
      <c r="X794" s="5">
        <v>2</v>
      </c>
      <c r="Y794" s="5">
        <v>2</v>
      </c>
      <c r="Z794" s="5">
        <v>5</v>
      </c>
    </row>
    <row r="795" spans="1:26" x14ac:dyDescent="0.35">
      <c r="A795">
        <v>794</v>
      </c>
      <c r="B795" s="10">
        <v>0.45098039215686275</v>
      </c>
      <c r="C795">
        <v>0</v>
      </c>
      <c r="D795">
        <v>0</v>
      </c>
      <c r="E795">
        <v>1</v>
      </c>
      <c r="F795">
        <v>0</v>
      </c>
      <c r="G795">
        <v>0</v>
      </c>
      <c r="H795">
        <v>1</v>
      </c>
      <c r="I795">
        <v>0</v>
      </c>
      <c r="J795" s="10">
        <v>0.18332624415142493</v>
      </c>
      <c r="K795">
        <v>0</v>
      </c>
      <c r="L795">
        <v>1</v>
      </c>
      <c r="M795">
        <v>0</v>
      </c>
      <c r="N795" s="10">
        <v>0.71705506717531919</v>
      </c>
      <c r="O795" s="11">
        <v>0.81515724662468059</v>
      </c>
      <c r="P795" s="10">
        <v>0.625</v>
      </c>
      <c r="Q795">
        <v>2</v>
      </c>
      <c r="R795">
        <v>0</v>
      </c>
      <c r="S795">
        <v>1</v>
      </c>
      <c r="T795">
        <v>0</v>
      </c>
      <c r="U795">
        <v>0</v>
      </c>
      <c r="V795" s="10">
        <v>8.4507042253521125E-2</v>
      </c>
      <c r="W795" s="5">
        <v>2</v>
      </c>
      <c r="X795" s="5">
        <v>2</v>
      </c>
      <c r="Y795" s="5">
        <v>3</v>
      </c>
      <c r="Z795" s="5">
        <v>7</v>
      </c>
    </row>
    <row r="796" spans="1:26" x14ac:dyDescent="0.35">
      <c r="A796">
        <v>795</v>
      </c>
      <c r="B796" s="10">
        <v>0.94117647058823528</v>
      </c>
      <c r="C796">
        <v>0</v>
      </c>
      <c r="D796">
        <v>0</v>
      </c>
      <c r="E796">
        <v>1</v>
      </c>
      <c r="F796">
        <v>0</v>
      </c>
      <c r="G796">
        <v>0</v>
      </c>
      <c r="H796">
        <v>2</v>
      </c>
      <c r="I796">
        <v>0</v>
      </c>
      <c r="J796" s="10">
        <v>0.97958315610378566</v>
      </c>
      <c r="K796">
        <v>0</v>
      </c>
      <c r="L796">
        <v>0</v>
      </c>
      <c r="M796">
        <v>1</v>
      </c>
      <c r="N796" s="10">
        <v>0.29122337274601329</v>
      </c>
      <c r="O796" s="11">
        <v>0.49952715346385235</v>
      </c>
      <c r="P796" s="10">
        <v>0.375</v>
      </c>
      <c r="Q796">
        <v>1</v>
      </c>
      <c r="R796">
        <v>0</v>
      </c>
      <c r="S796">
        <v>0</v>
      </c>
      <c r="T796">
        <v>0</v>
      </c>
      <c r="U796">
        <v>1</v>
      </c>
      <c r="V796" s="10">
        <v>0.28732394366197184</v>
      </c>
      <c r="W796" s="5">
        <v>1</v>
      </c>
      <c r="X796" s="5">
        <v>2</v>
      </c>
      <c r="Y796" s="5">
        <v>2</v>
      </c>
      <c r="Z796" s="5">
        <v>5</v>
      </c>
    </row>
    <row r="797" spans="1:26" x14ac:dyDescent="0.35">
      <c r="A797">
        <v>796</v>
      </c>
      <c r="B797" s="10">
        <v>3.9215686274509803E-2</v>
      </c>
      <c r="C797">
        <v>1</v>
      </c>
      <c r="D797">
        <v>0</v>
      </c>
      <c r="E797">
        <v>0</v>
      </c>
      <c r="F797">
        <v>0</v>
      </c>
      <c r="G797">
        <v>1</v>
      </c>
      <c r="H797">
        <v>3</v>
      </c>
      <c r="I797">
        <v>0</v>
      </c>
      <c r="J797" s="10">
        <v>0.32624415142492558</v>
      </c>
      <c r="K797">
        <v>0</v>
      </c>
      <c r="L797">
        <v>1</v>
      </c>
      <c r="M797">
        <v>0</v>
      </c>
      <c r="N797" s="10">
        <v>0.68127562021657229</v>
      </c>
      <c r="O797" s="11">
        <v>0.51643113767100168</v>
      </c>
      <c r="P797" s="10">
        <v>1</v>
      </c>
      <c r="Q797">
        <v>0</v>
      </c>
      <c r="R797">
        <v>0</v>
      </c>
      <c r="S797">
        <v>0</v>
      </c>
      <c r="T797">
        <v>0</v>
      </c>
      <c r="U797">
        <v>0</v>
      </c>
      <c r="V797" s="10">
        <v>9.8591549295774641E-2</v>
      </c>
      <c r="W797" s="5">
        <v>2</v>
      </c>
      <c r="X797" s="5">
        <v>3</v>
      </c>
      <c r="Y797" s="5">
        <v>3</v>
      </c>
      <c r="Z797" s="5">
        <v>8</v>
      </c>
    </row>
    <row r="798" spans="1:26" x14ac:dyDescent="0.35">
      <c r="A798">
        <v>797</v>
      </c>
      <c r="B798" s="10">
        <v>0.74509803921568629</v>
      </c>
      <c r="C798">
        <v>1</v>
      </c>
      <c r="D798">
        <v>1</v>
      </c>
      <c r="E798">
        <v>0</v>
      </c>
      <c r="F798">
        <v>0</v>
      </c>
      <c r="G798">
        <v>0</v>
      </c>
      <c r="H798">
        <v>1</v>
      </c>
      <c r="I798">
        <v>0</v>
      </c>
      <c r="J798" s="10">
        <v>0.79583156103785624</v>
      </c>
      <c r="K798">
        <v>0</v>
      </c>
      <c r="L798">
        <v>1</v>
      </c>
      <c r="M798">
        <v>0</v>
      </c>
      <c r="N798" s="10">
        <v>0.27024737577897306</v>
      </c>
      <c r="O798" s="11">
        <v>0.46390269421919961</v>
      </c>
      <c r="P798" s="10">
        <v>0.375</v>
      </c>
      <c r="Q798">
        <v>1</v>
      </c>
      <c r="R798">
        <v>0</v>
      </c>
      <c r="S798">
        <v>0</v>
      </c>
      <c r="T798">
        <v>1</v>
      </c>
      <c r="U798">
        <v>0</v>
      </c>
      <c r="V798" s="10">
        <v>7.3239436619718309E-2</v>
      </c>
      <c r="W798" s="5">
        <v>3</v>
      </c>
      <c r="X798" s="5">
        <v>2</v>
      </c>
      <c r="Y798" s="5">
        <v>2</v>
      </c>
      <c r="Z798" s="5">
        <v>7</v>
      </c>
    </row>
    <row r="799" spans="1:26" x14ac:dyDescent="0.35">
      <c r="A799">
        <v>798</v>
      </c>
      <c r="B799" s="10">
        <v>0.17647058823529413</v>
      </c>
      <c r="C799">
        <v>1</v>
      </c>
      <c r="D799">
        <v>0</v>
      </c>
      <c r="E799">
        <v>0</v>
      </c>
      <c r="F799">
        <v>1</v>
      </c>
      <c r="G799">
        <v>0</v>
      </c>
      <c r="H799">
        <v>2</v>
      </c>
      <c r="I799">
        <v>0</v>
      </c>
      <c r="J799" s="10">
        <v>0.10165886856656743</v>
      </c>
      <c r="K799">
        <v>1</v>
      </c>
      <c r="L799">
        <v>0</v>
      </c>
      <c r="M799">
        <v>0</v>
      </c>
      <c r="N799" s="10">
        <v>0.27964540435514063</v>
      </c>
      <c r="O799" s="11">
        <v>0.31990918663688739</v>
      </c>
      <c r="P799" s="10">
        <v>0.625</v>
      </c>
      <c r="Q799">
        <v>2</v>
      </c>
      <c r="R799">
        <v>0</v>
      </c>
      <c r="S799">
        <v>0</v>
      </c>
      <c r="T799">
        <v>0</v>
      </c>
      <c r="U799">
        <v>1</v>
      </c>
      <c r="V799" s="10">
        <v>0.17183098591549295</v>
      </c>
      <c r="W799" s="5">
        <v>2</v>
      </c>
      <c r="X799" s="5">
        <v>2</v>
      </c>
      <c r="Y799" s="5">
        <v>2</v>
      </c>
      <c r="Z799" s="5">
        <v>6</v>
      </c>
    </row>
    <row r="800" spans="1:26" x14ac:dyDescent="0.35">
      <c r="A800">
        <v>799</v>
      </c>
      <c r="B800" s="10">
        <v>3.9215686274509803E-2</v>
      </c>
      <c r="C800">
        <v>0</v>
      </c>
      <c r="D800">
        <v>0</v>
      </c>
      <c r="E800">
        <v>0</v>
      </c>
      <c r="F800">
        <v>1</v>
      </c>
      <c r="G800">
        <v>0</v>
      </c>
      <c r="H800">
        <v>1</v>
      </c>
      <c r="I800">
        <v>1</v>
      </c>
      <c r="J800" s="10">
        <v>0.93874946831135686</v>
      </c>
      <c r="K800">
        <v>1</v>
      </c>
      <c r="L800">
        <v>0</v>
      </c>
      <c r="M800">
        <v>0</v>
      </c>
      <c r="N800" s="10">
        <v>0.26725884415799822</v>
      </c>
      <c r="O800" s="11">
        <v>0.45882713937906194</v>
      </c>
      <c r="P800" s="10">
        <v>0.375</v>
      </c>
      <c r="Q800">
        <v>1</v>
      </c>
      <c r="R800">
        <v>1</v>
      </c>
      <c r="S800">
        <v>0</v>
      </c>
      <c r="T800">
        <v>0</v>
      </c>
      <c r="U800">
        <v>1</v>
      </c>
      <c r="V800" s="10">
        <v>0.29014084507042254</v>
      </c>
      <c r="W800" s="5">
        <v>1</v>
      </c>
      <c r="X800" s="5">
        <v>2</v>
      </c>
      <c r="Y800" s="5">
        <v>2</v>
      </c>
      <c r="Z800" s="5">
        <v>5</v>
      </c>
    </row>
    <row r="801" spans="1:26" x14ac:dyDescent="0.35">
      <c r="A801">
        <v>800</v>
      </c>
      <c r="B801" s="10">
        <v>0.86274509803921573</v>
      </c>
      <c r="C801">
        <v>1</v>
      </c>
      <c r="D801">
        <v>0</v>
      </c>
      <c r="E801">
        <v>1</v>
      </c>
      <c r="F801">
        <v>0</v>
      </c>
      <c r="G801">
        <v>0</v>
      </c>
      <c r="H801">
        <v>2</v>
      </c>
      <c r="I801">
        <v>0</v>
      </c>
      <c r="J801" s="10">
        <v>0.30582730752871118</v>
      </c>
      <c r="K801">
        <v>0</v>
      </c>
      <c r="L801">
        <v>0</v>
      </c>
      <c r="M801">
        <v>1</v>
      </c>
      <c r="N801" s="10">
        <v>0.35639942658104878</v>
      </c>
      <c r="O801" s="11">
        <v>0.48817481237047028</v>
      </c>
      <c r="P801" s="10">
        <v>0.5</v>
      </c>
      <c r="Q801">
        <v>2</v>
      </c>
      <c r="R801">
        <v>1</v>
      </c>
      <c r="S801">
        <v>1</v>
      </c>
      <c r="T801">
        <v>1</v>
      </c>
      <c r="U801">
        <v>0</v>
      </c>
      <c r="V801" s="10">
        <v>2.5352112676056339E-2</v>
      </c>
      <c r="W801" s="5">
        <v>3</v>
      </c>
      <c r="X801" s="5">
        <v>2</v>
      </c>
      <c r="Y801" s="5">
        <v>2</v>
      </c>
      <c r="Z801" s="5">
        <v>7</v>
      </c>
    </row>
    <row r="802" spans="1:26" x14ac:dyDescent="0.35">
      <c r="A802">
        <v>801</v>
      </c>
      <c r="B802" s="10">
        <v>0.80392156862745101</v>
      </c>
      <c r="C802">
        <v>1</v>
      </c>
      <c r="D802">
        <v>1</v>
      </c>
      <c r="E802">
        <v>0</v>
      </c>
      <c r="F802">
        <v>0</v>
      </c>
      <c r="G802">
        <v>0</v>
      </c>
      <c r="H802">
        <v>2</v>
      </c>
      <c r="I802">
        <v>0</v>
      </c>
      <c r="J802" s="10">
        <v>8.1242024670353047E-2</v>
      </c>
      <c r="K802">
        <v>0</v>
      </c>
      <c r="L802">
        <v>1</v>
      </c>
      <c r="M802">
        <v>0</v>
      </c>
      <c r="N802" s="10">
        <v>0.4775104850366087</v>
      </c>
      <c r="O802" s="11">
        <v>0.46623243353559851</v>
      </c>
      <c r="P802" s="10">
        <v>0.75</v>
      </c>
      <c r="Q802">
        <v>0</v>
      </c>
      <c r="R802">
        <v>0</v>
      </c>
      <c r="S802">
        <v>0</v>
      </c>
      <c r="T802">
        <v>0</v>
      </c>
      <c r="U802">
        <v>0</v>
      </c>
      <c r="V802" s="10">
        <v>2.8169014084507044E-3</v>
      </c>
      <c r="W802" s="5">
        <v>3</v>
      </c>
      <c r="X802" s="5">
        <v>2</v>
      </c>
      <c r="Y802" s="5">
        <v>3</v>
      </c>
      <c r="Z802" s="5">
        <v>8</v>
      </c>
    </row>
    <row r="803" spans="1:26" x14ac:dyDescent="0.35">
      <c r="A803">
        <v>802</v>
      </c>
      <c r="B803" s="10">
        <v>0.49019607843137253</v>
      </c>
      <c r="C803">
        <v>1</v>
      </c>
      <c r="D803">
        <v>0</v>
      </c>
      <c r="E803">
        <v>0</v>
      </c>
      <c r="F803">
        <v>1</v>
      </c>
      <c r="G803">
        <v>0</v>
      </c>
      <c r="H803">
        <v>3</v>
      </c>
      <c r="I803">
        <v>0</v>
      </c>
      <c r="J803" s="10">
        <v>0.48957890259464065</v>
      </c>
      <c r="K803">
        <v>1</v>
      </c>
      <c r="L803">
        <v>0</v>
      </c>
      <c r="M803">
        <v>0</v>
      </c>
      <c r="N803" s="10">
        <v>0.14646174442575172</v>
      </c>
      <c r="O803" s="11">
        <v>0.50734421215718628</v>
      </c>
      <c r="P803" s="10">
        <v>0.125</v>
      </c>
      <c r="Q803">
        <v>2</v>
      </c>
      <c r="R803">
        <v>1</v>
      </c>
      <c r="S803">
        <v>0</v>
      </c>
      <c r="T803">
        <v>1</v>
      </c>
      <c r="U803">
        <v>0</v>
      </c>
      <c r="V803" s="10">
        <v>7.3239436619718309E-2</v>
      </c>
      <c r="W803" s="5">
        <v>3</v>
      </c>
      <c r="X803" s="5">
        <v>1</v>
      </c>
      <c r="Y803" s="5">
        <v>1</v>
      </c>
      <c r="Z803" s="5">
        <v>5</v>
      </c>
    </row>
    <row r="804" spans="1:26" x14ac:dyDescent="0.35">
      <c r="A804">
        <v>803</v>
      </c>
      <c r="B804" s="10">
        <v>0.70588235294117652</v>
      </c>
      <c r="C804">
        <v>0</v>
      </c>
      <c r="D804">
        <v>0</v>
      </c>
      <c r="E804">
        <v>1</v>
      </c>
      <c r="F804">
        <v>0</v>
      </c>
      <c r="G804">
        <v>0</v>
      </c>
      <c r="H804">
        <v>3</v>
      </c>
      <c r="I804">
        <v>0</v>
      </c>
      <c r="J804" s="10">
        <v>0.509995746490855</v>
      </c>
      <c r="K804">
        <v>0</v>
      </c>
      <c r="L804">
        <v>1</v>
      </c>
      <c r="M804">
        <v>0</v>
      </c>
      <c r="N804" s="10">
        <v>0.62986932208610757</v>
      </c>
      <c r="O804" s="11">
        <v>0.53733224008531366</v>
      </c>
      <c r="P804" s="10">
        <v>0.875</v>
      </c>
      <c r="Q804">
        <v>1</v>
      </c>
      <c r="R804">
        <v>1</v>
      </c>
      <c r="S804">
        <v>0</v>
      </c>
      <c r="T804">
        <v>0</v>
      </c>
      <c r="U804">
        <v>1</v>
      </c>
      <c r="V804" s="10">
        <v>1.4084507042253521E-2</v>
      </c>
      <c r="W804" s="5">
        <v>3</v>
      </c>
      <c r="X804" s="5">
        <v>3</v>
      </c>
      <c r="Y804" s="5">
        <v>3</v>
      </c>
      <c r="Z804" s="5">
        <v>9</v>
      </c>
    </row>
    <row r="805" spans="1:26" x14ac:dyDescent="0.35">
      <c r="A805">
        <v>804</v>
      </c>
      <c r="B805" s="10">
        <v>0.50980392156862742</v>
      </c>
      <c r="C805">
        <v>1</v>
      </c>
      <c r="D805">
        <v>0</v>
      </c>
      <c r="E805">
        <v>0</v>
      </c>
      <c r="F805">
        <v>1</v>
      </c>
      <c r="G805">
        <v>0</v>
      </c>
      <c r="H805">
        <v>3</v>
      </c>
      <c r="I805">
        <v>0</v>
      </c>
      <c r="J805" s="10">
        <v>0.75499787324542744</v>
      </c>
      <c r="K805">
        <v>0</v>
      </c>
      <c r="L805">
        <v>1</v>
      </c>
      <c r="M805">
        <v>0</v>
      </c>
      <c r="N805" s="10">
        <v>0.65419816126815622</v>
      </c>
      <c r="O805" s="11">
        <v>0.63770469655899953</v>
      </c>
      <c r="P805" s="10">
        <v>0.75</v>
      </c>
      <c r="Q805">
        <v>1</v>
      </c>
      <c r="R805">
        <v>0</v>
      </c>
      <c r="S805">
        <v>0</v>
      </c>
      <c r="T805">
        <v>1</v>
      </c>
      <c r="U805">
        <v>0</v>
      </c>
      <c r="V805" s="10">
        <v>5.6338028169014086E-2</v>
      </c>
      <c r="W805" s="5">
        <v>3</v>
      </c>
      <c r="X805" s="5">
        <v>2</v>
      </c>
      <c r="Y805" s="5">
        <v>3</v>
      </c>
      <c r="Z805" s="5">
        <v>8</v>
      </c>
    </row>
    <row r="806" spans="1:26" x14ac:dyDescent="0.35">
      <c r="A806">
        <v>805</v>
      </c>
      <c r="B806" s="10">
        <v>7.8431372549019607E-2</v>
      </c>
      <c r="C806">
        <v>1</v>
      </c>
      <c r="D806">
        <v>0</v>
      </c>
      <c r="E806">
        <v>0</v>
      </c>
      <c r="F806">
        <v>1</v>
      </c>
      <c r="G806">
        <v>0</v>
      </c>
      <c r="H806">
        <v>3</v>
      </c>
      <c r="I806">
        <v>0</v>
      </c>
      <c r="J806" s="10">
        <v>0.48957890259464065</v>
      </c>
      <c r="K806">
        <v>0</v>
      </c>
      <c r="L806">
        <v>1</v>
      </c>
      <c r="M806">
        <v>0</v>
      </c>
      <c r="N806" s="10">
        <v>0.32308722128758621</v>
      </c>
      <c r="O806" s="11">
        <v>0.36909528696083765</v>
      </c>
      <c r="P806" s="10">
        <v>0.625</v>
      </c>
      <c r="Q806">
        <v>1</v>
      </c>
      <c r="R806">
        <v>0</v>
      </c>
      <c r="S806">
        <v>1</v>
      </c>
      <c r="T806">
        <v>0</v>
      </c>
      <c r="U806">
        <v>0</v>
      </c>
      <c r="V806" s="10">
        <v>5.6338028169014088E-3</v>
      </c>
      <c r="W806" s="5">
        <v>3</v>
      </c>
      <c r="X806" s="5">
        <v>2</v>
      </c>
      <c r="Y806" s="5">
        <v>2</v>
      </c>
      <c r="Z806" s="5">
        <v>7</v>
      </c>
    </row>
    <row r="807" spans="1:26" x14ac:dyDescent="0.35">
      <c r="A807">
        <v>806</v>
      </c>
      <c r="B807" s="10">
        <v>0.80392156862745101</v>
      </c>
      <c r="C807">
        <v>1</v>
      </c>
      <c r="D807">
        <v>1</v>
      </c>
      <c r="E807">
        <v>0</v>
      </c>
      <c r="F807">
        <v>0</v>
      </c>
      <c r="G807">
        <v>0</v>
      </c>
      <c r="H807">
        <v>3</v>
      </c>
      <c r="I807">
        <v>1</v>
      </c>
      <c r="J807" s="10">
        <v>0.85708209272649938</v>
      </c>
      <c r="K807">
        <v>0</v>
      </c>
      <c r="L807">
        <v>0</v>
      </c>
      <c r="M807">
        <v>1</v>
      </c>
      <c r="N807" s="10">
        <v>0.12188114589010259</v>
      </c>
      <c r="O807" s="11">
        <v>0.28256772436735816</v>
      </c>
      <c r="P807" s="10">
        <v>0.25</v>
      </c>
      <c r="Q807">
        <v>1</v>
      </c>
      <c r="R807">
        <v>0</v>
      </c>
      <c r="S807">
        <v>1</v>
      </c>
      <c r="T807">
        <v>0</v>
      </c>
      <c r="U807">
        <v>0</v>
      </c>
      <c r="V807" s="10">
        <v>0.15492957746478872</v>
      </c>
      <c r="W807" s="5">
        <v>2</v>
      </c>
      <c r="X807" s="5">
        <v>2</v>
      </c>
      <c r="Y807" s="5">
        <v>1</v>
      </c>
      <c r="Z807" s="5">
        <v>5</v>
      </c>
    </row>
    <row r="808" spans="1:26" x14ac:dyDescent="0.35">
      <c r="A808">
        <v>807</v>
      </c>
      <c r="B808" s="10">
        <v>0.19607843137254902</v>
      </c>
      <c r="C808">
        <v>0</v>
      </c>
      <c r="D808">
        <v>0</v>
      </c>
      <c r="E808">
        <v>1</v>
      </c>
      <c r="F808">
        <v>0</v>
      </c>
      <c r="G808">
        <v>0</v>
      </c>
      <c r="H808">
        <v>2</v>
      </c>
      <c r="I808">
        <v>1</v>
      </c>
      <c r="J808" s="10">
        <v>0.26499361973628244</v>
      </c>
      <c r="K808">
        <v>1</v>
      </c>
      <c r="L808">
        <v>0</v>
      </c>
      <c r="M808">
        <v>0</v>
      </c>
      <c r="N808" s="10">
        <v>0.3576789564722887</v>
      </c>
      <c r="O808" s="11">
        <v>0.612391597416447</v>
      </c>
      <c r="P808" s="10">
        <v>0.375</v>
      </c>
      <c r="Q808">
        <v>0</v>
      </c>
      <c r="R808">
        <v>0</v>
      </c>
      <c r="S808">
        <v>0</v>
      </c>
      <c r="T808">
        <v>0</v>
      </c>
      <c r="U808">
        <v>0</v>
      </c>
      <c r="V808" s="10">
        <v>0.11830985915492957</v>
      </c>
      <c r="W808" s="5">
        <v>2</v>
      </c>
      <c r="X808" s="5">
        <v>2</v>
      </c>
      <c r="Y808" s="5">
        <v>2</v>
      </c>
      <c r="Z808" s="5">
        <v>6</v>
      </c>
    </row>
    <row r="809" spans="1:26" x14ac:dyDescent="0.35">
      <c r="A809">
        <v>808</v>
      </c>
      <c r="B809" s="10">
        <v>0.23529411764705882</v>
      </c>
      <c r="C809">
        <v>1</v>
      </c>
      <c r="D809">
        <v>0</v>
      </c>
      <c r="E809">
        <v>0</v>
      </c>
      <c r="F809">
        <v>1</v>
      </c>
      <c r="G809">
        <v>0</v>
      </c>
      <c r="H809">
        <v>3</v>
      </c>
      <c r="I809">
        <v>0</v>
      </c>
      <c r="J809" s="10">
        <v>0.40791152700978311</v>
      </c>
      <c r="K809">
        <v>0</v>
      </c>
      <c r="L809">
        <v>0</v>
      </c>
      <c r="M809">
        <v>1</v>
      </c>
      <c r="N809" s="10">
        <v>0.51827772907139302</v>
      </c>
      <c r="O809" s="11">
        <v>0.5900957095045507</v>
      </c>
      <c r="P809" s="10">
        <v>0.625</v>
      </c>
      <c r="Q809">
        <v>2</v>
      </c>
      <c r="R809">
        <v>1</v>
      </c>
      <c r="S809">
        <v>0</v>
      </c>
      <c r="T809">
        <v>0</v>
      </c>
      <c r="U809">
        <v>1</v>
      </c>
      <c r="V809" s="10">
        <v>0.23943661971830985</v>
      </c>
      <c r="W809" s="5">
        <v>1</v>
      </c>
      <c r="X809" s="5">
        <v>2</v>
      </c>
      <c r="Y809" s="5">
        <v>3</v>
      </c>
      <c r="Z809" s="5">
        <v>6</v>
      </c>
    </row>
    <row r="810" spans="1:26" x14ac:dyDescent="0.35">
      <c r="A810">
        <v>809</v>
      </c>
      <c r="B810" s="10">
        <v>0.78431372549019607</v>
      </c>
      <c r="C810">
        <v>0</v>
      </c>
      <c r="D810">
        <v>0</v>
      </c>
      <c r="E810">
        <v>0</v>
      </c>
      <c r="F810">
        <v>0</v>
      </c>
      <c r="G810">
        <v>1</v>
      </c>
      <c r="H810">
        <v>2</v>
      </c>
      <c r="I810">
        <v>0</v>
      </c>
      <c r="J810" s="10">
        <v>0.10165886856656743</v>
      </c>
      <c r="K810">
        <v>1</v>
      </c>
      <c r="L810">
        <v>0</v>
      </c>
      <c r="M810">
        <v>0</v>
      </c>
      <c r="N810" s="10">
        <v>0.43615382792692464</v>
      </c>
      <c r="O810" s="11">
        <v>0.33140841197341331</v>
      </c>
      <c r="P810" s="10">
        <v>1</v>
      </c>
      <c r="Q810">
        <v>0</v>
      </c>
      <c r="R810">
        <v>0</v>
      </c>
      <c r="S810">
        <v>0</v>
      </c>
      <c r="T810">
        <v>0</v>
      </c>
      <c r="U810">
        <v>0</v>
      </c>
      <c r="V810" s="10">
        <v>6.7605633802816895E-2</v>
      </c>
      <c r="W810" s="5">
        <v>3</v>
      </c>
      <c r="X810" s="5">
        <v>3</v>
      </c>
      <c r="Y810" s="5">
        <v>2</v>
      </c>
      <c r="Z810" s="5">
        <v>8</v>
      </c>
    </row>
    <row r="811" spans="1:26" x14ac:dyDescent="0.35">
      <c r="A811">
        <v>810</v>
      </c>
      <c r="B811" s="10">
        <v>0.6470588235294118</v>
      </c>
      <c r="C811">
        <v>0</v>
      </c>
      <c r="D811">
        <v>0</v>
      </c>
      <c r="E811">
        <v>0</v>
      </c>
      <c r="F811">
        <v>0</v>
      </c>
      <c r="G811">
        <v>1</v>
      </c>
      <c r="H811">
        <v>2</v>
      </c>
      <c r="I811">
        <v>0</v>
      </c>
      <c r="J811" s="10">
        <v>0.40791152700978311</v>
      </c>
      <c r="K811">
        <v>0</v>
      </c>
      <c r="L811">
        <v>0</v>
      </c>
      <c r="M811">
        <v>1</v>
      </c>
      <c r="N811" s="10">
        <v>0.37920290026775344</v>
      </c>
      <c r="O811" s="11">
        <v>0.64894665888649661</v>
      </c>
      <c r="P811" s="10">
        <v>0.375</v>
      </c>
      <c r="Q811">
        <v>1</v>
      </c>
      <c r="R811">
        <v>0</v>
      </c>
      <c r="S811">
        <v>1</v>
      </c>
      <c r="T811">
        <v>0</v>
      </c>
      <c r="U811">
        <v>0</v>
      </c>
      <c r="V811" s="10">
        <v>0.3154929577464789</v>
      </c>
      <c r="W811" s="5">
        <v>1</v>
      </c>
      <c r="X811" s="5">
        <v>2</v>
      </c>
      <c r="Y811" s="5">
        <v>2</v>
      </c>
      <c r="Z811" s="5">
        <v>5</v>
      </c>
    </row>
    <row r="812" spans="1:26" x14ac:dyDescent="0.35">
      <c r="A812">
        <v>811</v>
      </c>
      <c r="B812" s="10">
        <v>0.72549019607843135</v>
      </c>
      <c r="C812">
        <v>1</v>
      </c>
      <c r="D812">
        <v>0</v>
      </c>
      <c r="E812">
        <v>0</v>
      </c>
      <c r="F812">
        <v>1</v>
      </c>
      <c r="G812">
        <v>0</v>
      </c>
      <c r="H812">
        <v>1</v>
      </c>
      <c r="I812">
        <v>0</v>
      </c>
      <c r="J812" s="10">
        <v>0.36707783921735437</v>
      </c>
      <c r="K812">
        <v>0</v>
      </c>
      <c r="L812">
        <v>0</v>
      </c>
      <c r="M812">
        <v>1</v>
      </c>
      <c r="N812" s="10">
        <v>0.25510923394071511</v>
      </c>
      <c r="O812" s="11">
        <v>0.8763858427734964</v>
      </c>
      <c r="P812" s="10">
        <v>0.125</v>
      </c>
      <c r="Q812">
        <v>1</v>
      </c>
      <c r="R812">
        <v>0</v>
      </c>
      <c r="S812">
        <v>1</v>
      </c>
      <c r="T812">
        <v>0</v>
      </c>
      <c r="U812">
        <v>0</v>
      </c>
      <c r="V812" s="10">
        <v>0.74647887323943662</v>
      </c>
      <c r="W812" s="5">
        <v>1</v>
      </c>
      <c r="X812" s="5">
        <v>1</v>
      </c>
      <c r="Y812" s="5">
        <v>2</v>
      </c>
      <c r="Z812" s="5">
        <v>4</v>
      </c>
    </row>
    <row r="813" spans="1:26" x14ac:dyDescent="0.35">
      <c r="A813">
        <v>812</v>
      </c>
      <c r="B813" s="10">
        <v>0.76470588235294112</v>
      </c>
      <c r="C813">
        <v>0</v>
      </c>
      <c r="D813">
        <v>1</v>
      </c>
      <c r="E813">
        <v>0</v>
      </c>
      <c r="F813">
        <v>0</v>
      </c>
      <c r="G813">
        <v>0</v>
      </c>
      <c r="H813">
        <v>2</v>
      </c>
      <c r="I813">
        <v>1</v>
      </c>
      <c r="J813" s="10">
        <v>0.79583156103785624</v>
      </c>
      <c r="K813">
        <v>1</v>
      </c>
      <c r="L813">
        <v>0</v>
      </c>
      <c r="M813">
        <v>0</v>
      </c>
      <c r="N813" s="10">
        <v>0.60199808070516303</v>
      </c>
      <c r="O813" s="11">
        <v>0.58704544213306953</v>
      </c>
      <c r="P813" s="10">
        <v>0.75</v>
      </c>
      <c r="Q813">
        <v>2</v>
      </c>
      <c r="R813">
        <v>0</v>
      </c>
      <c r="S813">
        <v>1</v>
      </c>
      <c r="T813">
        <v>0</v>
      </c>
      <c r="U813">
        <v>1</v>
      </c>
      <c r="V813" s="10">
        <v>3.3802816901408447E-2</v>
      </c>
      <c r="W813" s="5">
        <v>3</v>
      </c>
      <c r="X813" s="5">
        <v>2</v>
      </c>
      <c r="Y813" s="5">
        <v>3</v>
      </c>
      <c r="Z813" s="5">
        <v>8</v>
      </c>
    </row>
    <row r="814" spans="1:26" x14ac:dyDescent="0.35">
      <c r="A814">
        <v>813</v>
      </c>
      <c r="B814" s="10">
        <v>0.62745098039215685</v>
      </c>
      <c r="C814">
        <v>1</v>
      </c>
      <c r="D814">
        <v>1</v>
      </c>
      <c r="E814">
        <v>0</v>
      </c>
      <c r="F814">
        <v>0</v>
      </c>
      <c r="G814">
        <v>0</v>
      </c>
      <c r="H814">
        <v>2</v>
      </c>
      <c r="I814">
        <v>0</v>
      </c>
      <c r="J814" s="10">
        <v>1</v>
      </c>
      <c r="K814">
        <v>0</v>
      </c>
      <c r="L814">
        <v>1</v>
      </c>
      <c r="M814">
        <v>0</v>
      </c>
      <c r="N814" s="10">
        <v>0.65057282657630966</v>
      </c>
      <c r="O814" s="11">
        <v>0.55491307672186563</v>
      </c>
      <c r="P814" s="10">
        <v>0.875</v>
      </c>
      <c r="Q814">
        <v>0</v>
      </c>
      <c r="R814">
        <v>0</v>
      </c>
      <c r="S814">
        <v>0</v>
      </c>
      <c r="T814">
        <v>0</v>
      </c>
      <c r="U814">
        <v>0</v>
      </c>
      <c r="V814" s="10">
        <v>1.9718309859154931E-2</v>
      </c>
      <c r="W814" s="5">
        <v>3</v>
      </c>
      <c r="X814" s="5">
        <v>3</v>
      </c>
      <c r="Y814" s="5">
        <v>3</v>
      </c>
      <c r="Z814" s="5">
        <v>9</v>
      </c>
    </row>
    <row r="815" spans="1:26" x14ac:dyDescent="0.35">
      <c r="A815">
        <v>814</v>
      </c>
      <c r="B815" s="10">
        <v>0.6470588235294118</v>
      </c>
      <c r="C815">
        <v>0</v>
      </c>
      <c r="D815">
        <v>0</v>
      </c>
      <c r="E815">
        <v>0</v>
      </c>
      <c r="F815">
        <v>1</v>
      </c>
      <c r="G815">
        <v>0</v>
      </c>
      <c r="H815">
        <v>3</v>
      </c>
      <c r="I815">
        <v>0</v>
      </c>
      <c r="J815" s="10">
        <v>6.0825180774138662E-2</v>
      </c>
      <c r="K815">
        <v>0</v>
      </c>
      <c r="L815">
        <v>0</v>
      </c>
      <c r="M815">
        <v>1</v>
      </c>
      <c r="N815" s="10">
        <v>0.48588666682463327</v>
      </c>
      <c r="O815" s="11">
        <v>0.36894773201338726</v>
      </c>
      <c r="P815" s="10">
        <v>1</v>
      </c>
      <c r="Q815">
        <v>2</v>
      </c>
      <c r="R815">
        <v>0</v>
      </c>
      <c r="S815">
        <v>0</v>
      </c>
      <c r="T815">
        <v>1</v>
      </c>
      <c r="U815">
        <v>1</v>
      </c>
      <c r="V815" s="10">
        <v>0.11549295774647887</v>
      </c>
      <c r="W815" s="5">
        <v>2</v>
      </c>
      <c r="X815" s="5">
        <v>3</v>
      </c>
      <c r="Y815" s="5">
        <v>3</v>
      </c>
      <c r="Z815" s="5">
        <v>8</v>
      </c>
    </row>
    <row r="816" spans="1:26" x14ac:dyDescent="0.35">
      <c r="A816">
        <v>815</v>
      </c>
      <c r="B816" s="10">
        <v>0.50980392156862742</v>
      </c>
      <c r="C816">
        <v>1</v>
      </c>
      <c r="D816">
        <v>1</v>
      </c>
      <c r="E816">
        <v>0</v>
      </c>
      <c r="F816">
        <v>0</v>
      </c>
      <c r="G816">
        <v>0</v>
      </c>
      <c r="H816">
        <v>2</v>
      </c>
      <c r="I816">
        <v>0</v>
      </c>
      <c r="J816" s="10">
        <v>0.89791578051892806</v>
      </c>
      <c r="K816">
        <v>0</v>
      </c>
      <c r="L816">
        <v>0</v>
      </c>
      <c r="M816">
        <v>1</v>
      </c>
      <c r="N816" s="10">
        <v>0.14323033907542115</v>
      </c>
      <c r="O816" s="11">
        <v>0.49636813617980241</v>
      </c>
      <c r="P816" s="10">
        <v>0.125</v>
      </c>
      <c r="Q816">
        <v>0</v>
      </c>
      <c r="R816">
        <v>0</v>
      </c>
      <c r="S816">
        <v>0</v>
      </c>
      <c r="T816">
        <v>0</v>
      </c>
      <c r="U816">
        <v>0</v>
      </c>
      <c r="V816" s="10">
        <v>3.9436619718309862E-2</v>
      </c>
      <c r="W816" s="5">
        <v>3</v>
      </c>
      <c r="X816" s="5">
        <v>1</v>
      </c>
      <c r="Y816" s="5">
        <v>1</v>
      </c>
      <c r="Z816" s="5">
        <v>5</v>
      </c>
    </row>
    <row r="817" spans="1:26" x14ac:dyDescent="0.35">
      <c r="A817">
        <v>816</v>
      </c>
      <c r="B817" s="10">
        <v>0.68627450980392157</v>
      </c>
      <c r="C817">
        <v>1</v>
      </c>
      <c r="D817">
        <v>1</v>
      </c>
      <c r="E817">
        <v>0</v>
      </c>
      <c r="F817">
        <v>0</v>
      </c>
      <c r="G817">
        <v>0</v>
      </c>
      <c r="H817">
        <v>3</v>
      </c>
      <c r="I817">
        <v>0</v>
      </c>
      <c r="J817" s="10">
        <v>0.63249680986814127</v>
      </c>
      <c r="K817">
        <v>0</v>
      </c>
      <c r="L817">
        <v>0</v>
      </c>
      <c r="M817">
        <v>1</v>
      </c>
      <c r="N817" s="10">
        <v>0.38195448190886899</v>
      </c>
      <c r="O817" s="11">
        <v>0.32680989557133944</v>
      </c>
      <c r="P817" s="10">
        <v>0.875</v>
      </c>
      <c r="Q817">
        <v>0</v>
      </c>
      <c r="R817">
        <v>0</v>
      </c>
      <c r="S817">
        <v>0</v>
      </c>
      <c r="T817">
        <v>0</v>
      </c>
      <c r="U817">
        <v>0</v>
      </c>
      <c r="V817" s="10">
        <v>0.18591549295774648</v>
      </c>
      <c r="W817" s="5">
        <v>2</v>
      </c>
      <c r="X817" s="5">
        <v>3</v>
      </c>
      <c r="Y817" s="5">
        <v>2</v>
      </c>
      <c r="Z817" s="5">
        <v>7</v>
      </c>
    </row>
    <row r="818" spans="1:26" x14ac:dyDescent="0.35">
      <c r="A818">
        <v>817</v>
      </c>
      <c r="B818" s="10">
        <v>0.49019607843137253</v>
      </c>
      <c r="C818">
        <v>0</v>
      </c>
      <c r="D818">
        <v>0</v>
      </c>
      <c r="E818">
        <v>0</v>
      </c>
      <c r="F818">
        <v>0</v>
      </c>
      <c r="G818">
        <v>1</v>
      </c>
      <c r="H818">
        <v>2</v>
      </c>
      <c r="I818">
        <v>0</v>
      </c>
      <c r="J818" s="10">
        <v>0.61207996597192693</v>
      </c>
      <c r="K818">
        <v>0</v>
      </c>
      <c r="L818">
        <v>1</v>
      </c>
      <c r="M818">
        <v>0</v>
      </c>
      <c r="N818" s="10">
        <v>9.7179110489775594E-2</v>
      </c>
      <c r="O818" s="11">
        <v>0.16997323889816696</v>
      </c>
      <c r="P818" s="10">
        <v>0.375</v>
      </c>
      <c r="Q818">
        <v>0</v>
      </c>
      <c r="R818">
        <v>0</v>
      </c>
      <c r="S818">
        <v>0</v>
      </c>
      <c r="T818">
        <v>0</v>
      </c>
      <c r="U818">
        <v>0</v>
      </c>
      <c r="V818" s="10">
        <v>0.37746478873239436</v>
      </c>
      <c r="W818" s="5">
        <v>1</v>
      </c>
      <c r="X818" s="5">
        <v>2</v>
      </c>
      <c r="Y818" s="5">
        <v>1</v>
      </c>
      <c r="Z818" s="5">
        <v>4</v>
      </c>
    </row>
    <row r="819" spans="1:26" x14ac:dyDescent="0.35">
      <c r="A819">
        <v>818</v>
      </c>
      <c r="B819" s="10">
        <v>0.98039215686274506</v>
      </c>
      <c r="C819">
        <v>1</v>
      </c>
      <c r="D819">
        <v>0</v>
      </c>
      <c r="E819">
        <v>1</v>
      </c>
      <c r="F819">
        <v>0</v>
      </c>
      <c r="G819">
        <v>0</v>
      </c>
      <c r="H819">
        <v>2</v>
      </c>
      <c r="I819">
        <v>0</v>
      </c>
      <c r="J819" s="10">
        <v>0.83666524883028492</v>
      </c>
      <c r="K819">
        <v>0</v>
      </c>
      <c r="L819">
        <v>0</v>
      </c>
      <c r="M819">
        <v>1</v>
      </c>
      <c r="N819" s="10">
        <v>0.3808793213752576</v>
      </c>
      <c r="O819" s="11">
        <v>0.32589689933399058</v>
      </c>
      <c r="P819" s="10">
        <v>0.875</v>
      </c>
      <c r="Q819">
        <v>1</v>
      </c>
      <c r="R819">
        <v>0</v>
      </c>
      <c r="S819">
        <v>1</v>
      </c>
      <c r="T819">
        <v>0</v>
      </c>
      <c r="U819">
        <v>0</v>
      </c>
      <c r="V819" s="10">
        <v>4.2253521126760563E-2</v>
      </c>
      <c r="W819" s="5">
        <v>3</v>
      </c>
      <c r="X819" s="5">
        <v>3</v>
      </c>
      <c r="Y819" s="5">
        <v>2</v>
      </c>
      <c r="Z819" s="5">
        <v>8</v>
      </c>
    </row>
    <row r="820" spans="1:26" x14ac:dyDescent="0.35">
      <c r="A820">
        <v>819</v>
      </c>
      <c r="B820" s="10">
        <v>0.47058823529411764</v>
      </c>
      <c r="C820">
        <v>0</v>
      </c>
      <c r="D820">
        <v>0</v>
      </c>
      <c r="E820">
        <v>1</v>
      </c>
      <c r="F820">
        <v>0</v>
      </c>
      <c r="G820">
        <v>0</v>
      </c>
      <c r="H820">
        <v>3</v>
      </c>
      <c r="I820">
        <v>0</v>
      </c>
      <c r="J820" s="10">
        <v>0.48957890259464065</v>
      </c>
      <c r="K820">
        <v>0</v>
      </c>
      <c r="L820">
        <v>1</v>
      </c>
      <c r="M820">
        <v>0</v>
      </c>
      <c r="N820" s="10">
        <v>0.28891903419188214</v>
      </c>
      <c r="O820" s="11">
        <v>0.39649087506790887</v>
      </c>
      <c r="P820" s="10">
        <v>0.5</v>
      </c>
      <c r="Q820">
        <v>1</v>
      </c>
      <c r="R820">
        <v>1</v>
      </c>
      <c r="S820">
        <v>0</v>
      </c>
      <c r="T820">
        <v>0</v>
      </c>
      <c r="U820">
        <v>1</v>
      </c>
      <c r="V820" s="10">
        <v>0.16056338028169015</v>
      </c>
      <c r="W820" s="5">
        <v>2</v>
      </c>
      <c r="X820" s="5">
        <v>2</v>
      </c>
      <c r="Y820" s="5">
        <v>2</v>
      </c>
      <c r="Z820" s="5">
        <v>6</v>
      </c>
    </row>
    <row r="821" spans="1:26" x14ac:dyDescent="0.35">
      <c r="A821">
        <v>820</v>
      </c>
      <c r="B821" s="10">
        <v>0.35294117647058826</v>
      </c>
      <c r="C821">
        <v>1</v>
      </c>
      <c r="D821">
        <v>0</v>
      </c>
      <c r="E821">
        <v>0</v>
      </c>
      <c r="F821">
        <v>1</v>
      </c>
      <c r="G821">
        <v>0</v>
      </c>
      <c r="H821">
        <v>1</v>
      </c>
      <c r="I821">
        <v>0</v>
      </c>
      <c r="J821" s="10">
        <v>0.10165886856656743</v>
      </c>
      <c r="K821">
        <v>0</v>
      </c>
      <c r="L821">
        <v>0</v>
      </c>
      <c r="M821">
        <v>1</v>
      </c>
      <c r="N821" s="10">
        <v>0.16487571973556384</v>
      </c>
      <c r="O821" s="11">
        <v>0.56989074226845615</v>
      </c>
      <c r="P821" s="10">
        <v>0.125</v>
      </c>
      <c r="Q821">
        <v>0</v>
      </c>
      <c r="R821">
        <v>0</v>
      </c>
      <c r="S821">
        <v>0</v>
      </c>
      <c r="T821">
        <v>0</v>
      </c>
      <c r="U821">
        <v>0</v>
      </c>
      <c r="V821" s="10">
        <v>0.15211267605633802</v>
      </c>
      <c r="W821" s="5">
        <v>2</v>
      </c>
      <c r="X821" s="5">
        <v>1</v>
      </c>
      <c r="Y821" s="5">
        <v>1</v>
      </c>
      <c r="Z821" s="5">
        <v>4</v>
      </c>
    </row>
    <row r="822" spans="1:26" x14ac:dyDescent="0.35">
      <c r="A822">
        <v>821</v>
      </c>
      <c r="B822" s="10">
        <v>0.39215686274509803</v>
      </c>
      <c r="C822">
        <v>0</v>
      </c>
      <c r="D822">
        <v>0</v>
      </c>
      <c r="E822">
        <v>0</v>
      </c>
      <c r="F822">
        <v>1</v>
      </c>
      <c r="G822">
        <v>0</v>
      </c>
      <c r="H822">
        <v>2</v>
      </c>
      <c r="I822">
        <v>0</v>
      </c>
      <c r="J822" s="10">
        <v>0.40791152700978311</v>
      </c>
      <c r="K822">
        <v>1</v>
      </c>
      <c r="L822">
        <v>0</v>
      </c>
      <c r="M822">
        <v>0</v>
      </c>
      <c r="N822" s="10">
        <v>8.7419733194322669E-2</v>
      </c>
      <c r="O822" s="11">
        <v>0.30679691744300691</v>
      </c>
      <c r="P822" s="10">
        <v>0.125</v>
      </c>
      <c r="Q822">
        <v>1</v>
      </c>
      <c r="R822">
        <v>0</v>
      </c>
      <c r="S822">
        <v>1</v>
      </c>
      <c r="T822">
        <v>0</v>
      </c>
      <c r="U822">
        <v>0</v>
      </c>
      <c r="V822" s="10">
        <v>0.3154929577464789</v>
      </c>
      <c r="W822" s="5">
        <v>1</v>
      </c>
      <c r="X822" s="5">
        <v>1</v>
      </c>
      <c r="Y822" s="5">
        <v>1</v>
      </c>
      <c r="Z822" s="5">
        <v>3</v>
      </c>
    </row>
    <row r="823" spans="1:26" x14ac:dyDescent="0.35">
      <c r="A823">
        <v>822</v>
      </c>
      <c r="B823" s="10">
        <v>0.58823529411764708</v>
      </c>
      <c r="C823">
        <v>0</v>
      </c>
      <c r="D823">
        <v>0</v>
      </c>
      <c r="E823">
        <v>0</v>
      </c>
      <c r="F823">
        <v>1</v>
      </c>
      <c r="G823">
        <v>0</v>
      </c>
      <c r="H823">
        <v>2</v>
      </c>
      <c r="I823">
        <v>0</v>
      </c>
      <c r="J823" s="10">
        <v>0.48957890259464065</v>
      </c>
      <c r="K823">
        <v>1</v>
      </c>
      <c r="L823">
        <v>0</v>
      </c>
      <c r="M823">
        <v>0</v>
      </c>
      <c r="N823" s="10">
        <v>0.67099495296542888</v>
      </c>
      <c r="O823" s="11">
        <v>0.50867108884372803</v>
      </c>
      <c r="P823" s="10">
        <v>1</v>
      </c>
      <c r="Q823">
        <v>2</v>
      </c>
      <c r="R823">
        <v>1</v>
      </c>
      <c r="S823">
        <v>1</v>
      </c>
      <c r="T823">
        <v>1</v>
      </c>
      <c r="U823">
        <v>0</v>
      </c>
      <c r="V823" s="10">
        <v>0.37464788732394366</v>
      </c>
      <c r="W823" s="5">
        <v>1</v>
      </c>
      <c r="X823" s="5">
        <v>3</v>
      </c>
      <c r="Y823" s="5">
        <v>3</v>
      </c>
      <c r="Z823" s="5">
        <v>7</v>
      </c>
    </row>
    <row r="824" spans="1:26" x14ac:dyDescent="0.35">
      <c r="A824">
        <v>823</v>
      </c>
      <c r="B824" s="10">
        <v>0.5490196078431373</v>
      </c>
      <c r="C824">
        <v>0</v>
      </c>
      <c r="D824">
        <v>0</v>
      </c>
      <c r="E824">
        <v>0</v>
      </c>
      <c r="F824">
        <v>0</v>
      </c>
      <c r="G824">
        <v>1</v>
      </c>
      <c r="H824">
        <v>3</v>
      </c>
      <c r="I824">
        <v>1</v>
      </c>
      <c r="J824" s="10">
        <v>0.34666099532113998</v>
      </c>
      <c r="K824">
        <v>0</v>
      </c>
      <c r="L824">
        <v>0</v>
      </c>
      <c r="M824">
        <v>1</v>
      </c>
      <c r="N824" s="10">
        <v>0.19002796009762338</v>
      </c>
      <c r="O824" s="11">
        <v>0.43688337122812665</v>
      </c>
      <c r="P824" s="10">
        <v>0.25</v>
      </c>
      <c r="Q824">
        <v>1</v>
      </c>
      <c r="R824">
        <v>0</v>
      </c>
      <c r="S824">
        <v>0</v>
      </c>
      <c r="T824">
        <v>1</v>
      </c>
      <c r="U824">
        <v>0</v>
      </c>
      <c r="V824" s="10">
        <v>0.352112676056338</v>
      </c>
      <c r="W824" s="5">
        <v>1</v>
      </c>
      <c r="X824" s="5">
        <v>2</v>
      </c>
      <c r="Y824" s="5">
        <v>1</v>
      </c>
      <c r="Z824" s="5">
        <v>4</v>
      </c>
    </row>
    <row r="825" spans="1:26" x14ac:dyDescent="0.35">
      <c r="A825">
        <v>824</v>
      </c>
      <c r="B825" s="10">
        <v>0.15686274509803921</v>
      </c>
      <c r="C825">
        <v>0</v>
      </c>
      <c r="D825">
        <v>0</v>
      </c>
      <c r="E825">
        <v>0</v>
      </c>
      <c r="F825">
        <v>0</v>
      </c>
      <c r="G825">
        <v>1</v>
      </c>
      <c r="H825">
        <v>3</v>
      </c>
      <c r="I825">
        <v>0</v>
      </c>
      <c r="J825" s="10">
        <v>0.16290940025521056</v>
      </c>
      <c r="K825">
        <v>0</v>
      </c>
      <c r="L825">
        <v>0</v>
      </c>
      <c r="M825">
        <v>1</v>
      </c>
      <c r="N825" s="10">
        <v>9.1287941615524948E-2</v>
      </c>
      <c r="O825" s="11">
        <v>0.63987202961830214</v>
      </c>
      <c r="P825" s="10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 s="10">
        <v>0.47605633802816899</v>
      </c>
      <c r="W825" s="5">
        <v>1</v>
      </c>
      <c r="X825" s="5">
        <v>1</v>
      </c>
      <c r="Y825" s="5">
        <v>1</v>
      </c>
      <c r="Z825" s="5">
        <v>3</v>
      </c>
    </row>
    <row r="826" spans="1:26" x14ac:dyDescent="0.35">
      <c r="A826">
        <v>825</v>
      </c>
      <c r="B826" s="10">
        <v>0.35294117647058826</v>
      </c>
      <c r="C826">
        <v>0</v>
      </c>
      <c r="D826">
        <v>1</v>
      </c>
      <c r="E826">
        <v>0</v>
      </c>
      <c r="F826">
        <v>0</v>
      </c>
      <c r="G826">
        <v>0</v>
      </c>
      <c r="H826">
        <v>1</v>
      </c>
      <c r="I826">
        <v>0</v>
      </c>
      <c r="J826" s="10">
        <v>0.42832837090599751</v>
      </c>
      <c r="K826">
        <v>0</v>
      </c>
      <c r="L826">
        <v>1</v>
      </c>
      <c r="M826">
        <v>0</v>
      </c>
      <c r="N826" s="10">
        <v>0.31906795725422366</v>
      </c>
      <c r="O826" s="11">
        <v>0.24302970549373903</v>
      </c>
      <c r="P826" s="10">
        <v>1</v>
      </c>
      <c r="Q826">
        <v>0</v>
      </c>
      <c r="R826">
        <v>0</v>
      </c>
      <c r="S826">
        <v>0</v>
      </c>
      <c r="T826">
        <v>0</v>
      </c>
      <c r="U826">
        <v>0</v>
      </c>
      <c r="V826" s="10">
        <v>7.605633802816901E-2</v>
      </c>
      <c r="W826" s="5">
        <v>3</v>
      </c>
      <c r="X826" s="5">
        <v>3</v>
      </c>
      <c r="Y826" s="5">
        <v>2</v>
      </c>
      <c r="Z826" s="5">
        <v>8</v>
      </c>
    </row>
    <row r="827" spans="1:26" x14ac:dyDescent="0.35">
      <c r="A827">
        <v>826</v>
      </c>
      <c r="B827" s="10">
        <v>0.49019607843137253</v>
      </c>
      <c r="C827">
        <v>1</v>
      </c>
      <c r="D827">
        <v>0</v>
      </c>
      <c r="E827">
        <v>0</v>
      </c>
      <c r="F827">
        <v>0</v>
      </c>
      <c r="G827">
        <v>1</v>
      </c>
      <c r="H827">
        <v>1</v>
      </c>
      <c r="I827">
        <v>1</v>
      </c>
      <c r="J827" s="10">
        <v>0.28541046363249684</v>
      </c>
      <c r="K827">
        <v>1</v>
      </c>
      <c r="L827">
        <v>0</v>
      </c>
      <c r="M827">
        <v>0</v>
      </c>
      <c r="N827" s="10">
        <v>0.32274068194204203</v>
      </c>
      <c r="O827" s="11">
        <v>0.36870292494148105</v>
      </c>
      <c r="P827" s="10">
        <v>0.625</v>
      </c>
      <c r="Q827">
        <v>1</v>
      </c>
      <c r="R827">
        <v>1</v>
      </c>
      <c r="S827">
        <v>1</v>
      </c>
      <c r="T827">
        <v>0</v>
      </c>
      <c r="U827">
        <v>0</v>
      </c>
      <c r="V827" s="10">
        <v>0.3183098591549296</v>
      </c>
      <c r="W827" s="5">
        <v>1</v>
      </c>
      <c r="X827" s="5">
        <v>2</v>
      </c>
      <c r="Y827" s="5">
        <v>2</v>
      </c>
      <c r="Z827" s="5">
        <v>5</v>
      </c>
    </row>
    <row r="828" spans="1:26" x14ac:dyDescent="0.35">
      <c r="A828">
        <v>827</v>
      </c>
      <c r="B828" s="10">
        <v>0.47058823529411764</v>
      </c>
      <c r="C828">
        <v>1</v>
      </c>
      <c r="D828">
        <v>0</v>
      </c>
      <c r="E828">
        <v>1</v>
      </c>
      <c r="F828">
        <v>0</v>
      </c>
      <c r="G828">
        <v>0</v>
      </c>
      <c r="H828">
        <v>1</v>
      </c>
      <c r="I828">
        <v>1</v>
      </c>
      <c r="J828" s="10">
        <v>0.7754147171416419</v>
      </c>
      <c r="K828">
        <v>0</v>
      </c>
      <c r="L828">
        <v>0</v>
      </c>
      <c r="M828">
        <v>1</v>
      </c>
      <c r="N828" s="10">
        <v>0.68363919626566816</v>
      </c>
      <c r="O828" s="11">
        <v>0.77732281668980596</v>
      </c>
      <c r="P828" s="10">
        <v>0.625</v>
      </c>
      <c r="Q828">
        <v>0</v>
      </c>
      <c r="R828">
        <v>0</v>
      </c>
      <c r="S828">
        <v>0</v>
      </c>
      <c r="T828">
        <v>0</v>
      </c>
      <c r="U828">
        <v>0</v>
      </c>
      <c r="V828" s="10">
        <v>4.507042253521127E-2</v>
      </c>
      <c r="W828" s="5">
        <v>3</v>
      </c>
      <c r="X828" s="5">
        <v>2</v>
      </c>
      <c r="Y828" s="5">
        <v>3</v>
      </c>
      <c r="Z828" s="5">
        <v>8</v>
      </c>
    </row>
    <row r="829" spans="1:26" x14ac:dyDescent="0.35">
      <c r="A829">
        <v>828</v>
      </c>
      <c r="B829" s="10">
        <v>0.76470588235294112</v>
      </c>
      <c r="C829">
        <v>0</v>
      </c>
      <c r="D829">
        <v>0</v>
      </c>
      <c r="E829">
        <v>0</v>
      </c>
      <c r="F829">
        <v>0</v>
      </c>
      <c r="G829">
        <v>1</v>
      </c>
      <c r="H829">
        <v>2</v>
      </c>
      <c r="I829">
        <v>0</v>
      </c>
      <c r="J829" s="10">
        <v>0.65291365376435562</v>
      </c>
      <c r="K829">
        <v>0</v>
      </c>
      <c r="L829">
        <v>0</v>
      </c>
      <c r="M829">
        <v>1</v>
      </c>
      <c r="N829" s="10">
        <v>0.40038326659242229</v>
      </c>
      <c r="O829" s="11">
        <v>0.68491820760981104</v>
      </c>
      <c r="P829" s="10">
        <v>0.375</v>
      </c>
      <c r="Q829">
        <v>1</v>
      </c>
      <c r="R829">
        <v>1</v>
      </c>
      <c r="S829">
        <v>0</v>
      </c>
      <c r="T829">
        <v>0</v>
      </c>
      <c r="U829">
        <v>1</v>
      </c>
      <c r="V829" s="10">
        <v>0.15492957746478872</v>
      </c>
      <c r="W829" s="5">
        <v>2</v>
      </c>
      <c r="X829" s="5">
        <v>2</v>
      </c>
      <c r="Y829" s="5">
        <v>2</v>
      </c>
      <c r="Z829" s="5">
        <v>6</v>
      </c>
    </row>
    <row r="830" spans="1:26" x14ac:dyDescent="0.35">
      <c r="A830">
        <v>829</v>
      </c>
      <c r="B830" s="10">
        <v>0.82352941176470584</v>
      </c>
      <c r="C830">
        <v>1</v>
      </c>
      <c r="D830">
        <v>0</v>
      </c>
      <c r="E830">
        <v>0</v>
      </c>
      <c r="F830">
        <v>1</v>
      </c>
      <c r="G830">
        <v>0</v>
      </c>
      <c r="H830">
        <v>2</v>
      </c>
      <c r="I830">
        <v>0</v>
      </c>
      <c r="J830" s="10">
        <v>0.7345810293492131</v>
      </c>
      <c r="K830">
        <v>0</v>
      </c>
      <c r="L830">
        <v>0</v>
      </c>
      <c r="M830">
        <v>1</v>
      </c>
      <c r="N830" s="10">
        <v>3.9857948487074371E-2</v>
      </c>
      <c r="O830" s="11">
        <v>0.29048874222821386</v>
      </c>
      <c r="P830" s="1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 s="10">
        <v>0.40563380281690142</v>
      </c>
      <c r="W830" s="5">
        <v>1</v>
      </c>
      <c r="X830" s="5">
        <v>1</v>
      </c>
      <c r="Y830" s="5">
        <v>1</v>
      </c>
      <c r="Z830" s="5">
        <v>3</v>
      </c>
    </row>
    <row r="831" spans="1:26" x14ac:dyDescent="0.35">
      <c r="A831">
        <v>830</v>
      </c>
      <c r="B831" s="10">
        <v>0.5490196078431373</v>
      </c>
      <c r="C831">
        <v>1</v>
      </c>
      <c r="D831">
        <v>0</v>
      </c>
      <c r="E831">
        <v>1</v>
      </c>
      <c r="F831">
        <v>0</v>
      </c>
      <c r="G831">
        <v>0</v>
      </c>
      <c r="H831">
        <v>3</v>
      </c>
      <c r="I831">
        <v>0</v>
      </c>
      <c r="J831" s="10">
        <v>0.81624840493407058</v>
      </c>
      <c r="K831">
        <v>0</v>
      </c>
      <c r="L831">
        <v>1</v>
      </c>
      <c r="M831">
        <v>0</v>
      </c>
      <c r="N831" s="10">
        <v>0.11438464090230552</v>
      </c>
      <c r="O831" s="11">
        <v>0.3983882975512586</v>
      </c>
      <c r="P831" s="10">
        <v>0.125</v>
      </c>
      <c r="Q831">
        <v>0</v>
      </c>
      <c r="R831">
        <v>0</v>
      </c>
      <c r="S831">
        <v>0</v>
      </c>
      <c r="T831">
        <v>0</v>
      </c>
      <c r="U831">
        <v>0</v>
      </c>
      <c r="V831" s="10">
        <v>0.19436619718309858</v>
      </c>
      <c r="W831" s="5">
        <v>2</v>
      </c>
      <c r="X831" s="5">
        <v>1</v>
      </c>
      <c r="Y831" s="5">
        <v>1</v>
      </c>
      <c r="Z831" s="5">
        <v>4</v>
      </c>
    </row>
    <row r="832" spans="1:26" x14ac:dyDescent="0.35">
      <c r="A832">
        <v>831</v>
      </c>
      <c r="B832" s="10">
        <v>0.47058823529411764</v>
      </c>
      <c r="C832">
        <v>0</v>
      </c>
      <c r="D832">
        <v>1</v>
      </c>
      <c r="E832">
        <v>0</v>
      </c>
      <c r="F832">
        <v>0</v>
      </c>
      <c r="G832">
        <v>0</v>
      </c>
      <c r="H832">
        <v>3</v>
      </c>
      <c r="I832">
        <v>1</v>
      </c>
      <c r="J832" s="10">
        <v>8.1242024670353047E-2</v>
      </c>
      <c r="K832">
        <v>1</v>
      </c>
      <c r="L832">
        <v>0</v>
      </c>
      <c r="M832">
        <v>0</v>
      </c>
      <c r="N832" s="10">
        <v>0.41707639267350655</v>
      </c>
      <c r="O832" s="11">
        <v>0.35663443932473488</v>
      </c>
      <c r="P832" s="10">
        <v>0.875</v>
      </c>
      <c r="Q832">
        <v>1</v>
      </c>
      <c r="R832">
        <v>1</v>
      </c>
      <c r="S832">
        <v>0</v>
      </c>
      <c r="T832">
        <v>1</v>
      </c>
      <c r="U832">
        <v>0</v>
      </c>
      <c r="V832" s="10">
        <v>5.6338028169014086E-2</v>
      </c>
      <c r="W832" s="5">
        <v>3</v>
      </c>
      <c r="X832" s="5">
        <v>3</v>
      </c>
      <c r="Y832" s="5">
        <v>2</v>
      </c>
      <c r="Z832" s="5">
        <v>8</v>
      </c>
    </row>
    <row r="833" spans="1:26" x14ac:dyDescent="0.35">
      <c r="A833">
        <v>832</v>
      </c>
      <c r="B833" s="10">
        <v>0.35294117647058826</v>
      </c>
      <c r="C833">
        <v>0</v>
      </c>
      <c r="D833">
        <v>0</v>
      </c>
      <c r="E833">
        <v>1</v>
      </c>
      <c r="F833">
        <v>0</v>
      </c>
      <c r="G833">
        <v>0</v>
      </c>
      <c r="H833">
        <v>3</v>
      </c>
      <c r="I833">
        <v>0</v>
      </c>
      <c r="J833" s="10">
        <v>0.42832837090599751</v>
      </c>
      <c r="K833">
        <v>0</v>
      </c>
      <c r="L833">
        <v>1</v>
      </c>
      <c r="M833">
        <v>0</v>
      </c>
      <c r="N833" s="10">
        <v>0.43060327464872161</v>
      </c>
      <c r="O833" s="11">
        <v>0.58899374232881951</v>
      </c>
      <c r="P833" s="10">
        <v>0.5</v>
      </c>
      <c r="Q833">
        <v>0</v>
      </c>
      <c r="R833">
        <v>0</v>
      </c>
      <c r="S833">
        <v>0</v>
      </c>
      <c r="T833">
        <v>0</v>
      </c>
      <c r="U833">
        <v>0</v>
      </c>
      <c r="V833" s="10">
        <v>0.10985915492957747</v>
      </c>
      <c r="W833" s="5">
        <v>2</v>
      </c>
      <c r="X833" s="5">
        <v>2</v>
      </c>
      <c r="Y833" s="5">
        <v>2</v>
      </c>
      <c r="Z833" s="5">
        <v>6</v>
      </c>
    </row>
    <row r="834" spans="1:26" x14ac:dyDescent="0.35">
      <c r="A834">
        <v>833</v>
      </c>
      <c r="B834" s="10">
        <v>5.8823529411764705E-2</v>
      </c>
      <c r="C834">
        <v>0</v>
      </c>
      <c r="D834">
        <v>0</v>
      </c>
      <c r="E834">
        <v>0</v>
      </c>
      <c r="F834">
        <v>0</v>
      </c>
      <c r="G834">
        <v>1</v>
      </c>
      <c r="H834">
        <v>1</v>
      </c>
      <c r="I834">
        <v>0</v>
      </c>
      <c r="J834" s="10">
        <v>0.509995746490855</v>
      </c>
      <c r="K834">
        <v>1</v>
      </c>
      <c r="L834">
        <v>0</v>
      </c>
      <c r="M834">
        <v>0</v>
      </c>
      <c r="N834" s="10">
        <v>0.29351882567589982</v>
      </c>
      <c r="O834" s="11">
        <v>0.40274049779673637</v>
      </c>
      <c r="P834" s="10">
        <v>0.5</v>
      </c>
      <c r="Q834">
        <v>1</v>
      </c>
      <c r="R834">
        <v>1</v>
      </c>
      <c r="S834">
        <v>0</v>
      </c>
      <c r="T834">
        <v>1</v>
      </c>
      <c r="U834">
        <v>0</v>
      </c>
      <c r="V834" s="10">
        <v>0.14647887323943662</v>
      </c>
      <c r="W834" s="5">
        <v>2</v>
      </c>
      <c r="X834" s="5">
        <v>2</v>
      </c>
      <c r="Y834" s="5">
        <v>2</v>
      </c>
      <c r="Z834" s="5">
        <v>6</v>
      </c>
    </row>
    <row r="835" spans="1:26" x14ac:dyDescent="0.35">
      <c r="A835">
        <v>834</v>
      </c>
      <c r="B835" s="10">
        <v>0.86274509803921573</v>
      </c>
      <c r="C835">
        <v>0</v>
      </c>
      <c r="D835">
        <v>0</v>
      </c>
      <c r="E835">
        <v>0</v>
      </c>
      <c r="F835">
        <v>0</v>
      </c>
      <c r="G835">
        <v>1</v>
      </c>
      <c r="H835">
        <v>1</v>
      </c>
      <c r="I835">
        <v>0</v>
      </c>
      <c r="J835" s="10">
        <v>0.91833262441514252</v>
      </c>
      <c r="K835">
        <v>1</v>
      </c>
      <c r="L835">
        <v>0</v>
      </c>
      <c r="M835">
        <v>0</v>
      </c>
      <c r="N835" s="10">
        <v>0.44785323318247511</v>
      </c>
      <c r="O835" s="11">
        <v>0.61243083361838258</v>
      </c>
      <c r="P835" s="10">
        <v>0.5</v>
      </c>
      <c r="Q835">
        <v>1</v>
      </c>
      <c r="R835">
        <v>1</v>
      </c>
      <c r="S835">
        <v>0</v>
      </c>
      <c r="T835">
        <v>1</v>
      </c>
      <c r="U835">
        <v>0</v>
      </c>
      <c r="V835" s="10">
        <v>3.6619718309859155E-2</v>
      </c>
      <c r="W835" s="5">
        <v>3</v>
      </c>
      <c r="X835" s="5">
        <v>2</v>
      </c>
      <c r="Y835" s="5">
        <v>2</v>
      </c>
      <c r="Z835" s="5">
        <v>7</v>
      </c>
    </row>
    <row r="836" spans="1:26" x14ac:dyDescent="0.35">
      <c r="A836">
        <v>835</v>
      </c>
      <c r="B836" s="10">
        <v>0.37254901960784315</v>
      </c>
      <c r="C836">
        <v>1</v>
      </c>
      <c r="D836">
        <v>1</v>
      </c>
      <c r="E836">
        <v>0</v>
      </c>
      <c r="F836">
        <v>0</v>
      </c>
      <c r="G836">
        <v>0</v>
      </c>
      <c r="H836">
        <v>1</v>
      </c>
      <c r="I836">
        <v>0</v>
      </c>
      <c r="J836" s="10">
        <v>1.9991492981709911E-2</v>
      </c>
      <c r="K836">
        <v>1</v>
      </c>
      <c r="L836">
        <v>0</v>
      </c>
      <c r="M836">
        <v>0</v>
      </c>
      <c r="N836" s="10">
        <v>0.24151126697154232</v>
      </c>
      <c r="O836" s="11">
        <v>0.33207911628000569</v>
      </c>
      <c r="P836" s="10">
        <v>0.5</v>
      </c>
      <c r="Q836">
        <v>1</v>
      </c>
      <c r="R836">
        <v>0</v>
      </c>
      <c r="S836">
        <v>1</v>
      </c>
      <c r="T836">
        <v>0</v>
      </c>
      <c r="U836">
        <v>0</v>
      </c>
      <c r="V836" s="10">
        <v>0.27323943661971833</v>
      </c>
      <c r="W836" s="5">
        <v>1</v>
      </c>
      <c r="X836" s="5">
        <v>2</v>
      </c>
      <c r="Y836" s="5">
        <v>1</v>
      </c>
      <c r="Z836" s="5">
        <v>4</v>
      </c>
    </row>
    <row r="837" spans="1:26" x14ac:dyDescent="0.35">
      <c r="A837">
        <v>836</v>
      </c>
      <c r="B837" s="10">
        <v>0.88235294117647056</v>
      </c>
      <c r="C837">
        <v>1</v>
      </c>
      <c r="D837">
        <v>0</v>
      </c>
      <c r="E837">
        <v>0</v>
      </c>
      <c r="F837">
        <v>1</v>
      </c>
      <c r="G837">
        <v>0</v>
      </c>
      <c r="H837">
        <v>2</v>
      </c>
      <c r="I837">
        <v>1</v>
      </c>
      <c r="J837" s="10">
        <v>0.9591663122075712</v>
      </c>
      <c r="K837">
        <v>1</v>
      </c>
      <c r="L837">
        <v>0</v>
      </c>
      <c r="M837">
        <v>0</v>
      </c>
      <c r="N837" s="10">
        <v>0.33191953178683981</v>
      </c>
      <c r="O837" s="11">
        <v>0.37909548817212957</v>
      </c>
      <c r="P837" s="10">
        <v>0.625</v>
      </c>
      <c r="Q837">
        <v>2</v>
      </c>
      <c r="R837">
        <v>0</v>
      </c>
      <c r="S837">
        <v>1</v>
      </c>
      <c r="T837">
        <v>0</v>
      </c>
      <c r="U837">
        <v>1</v>
      </c>
      <c r="V837" s="10">
        <v>0.46760563380281689</v>
      </c>
      <c r="W837" s="5">
        <v>1</v>
      </c>
      <c r="X837" s="5">
        <v>2</v>
      </c>
      <c r="Y837" s="5">
        <v>2</v>
      </c>
      <c r="Z837" s="5">
        <v>5</v>
      </c>
    </row>
    <row r="838" spans="1:26" x14ac:dyDescent="0.35">
      <c r="A838">
        <v>837</v>
      </c>
      <c r="B838" s="10">
        <v>0</v>
      </c>
      <c r="C838">
        <v>0</v>
      </c>
      <c r="D838">
        <v>1</v>
      </c>
      <c r="E838">
        <v>0</v>
      </c>
      <c r="F838">
        <v>0</v>
      </c>
      <c r="G838">
        <v>0</v>
      </c>
      <c r="H838">
        <v>2</v>
      </c>
      <c r="I838">
        <v>0</v>
      </c>
      <c r="J838" s="10">
        <v>0.26499361973628244</v>
      </c>
      <c r="K838">
        <v>0</v>
      </c>
      <c r="L838">
        <v>1</v>
      </c>
      <c r="M838">
        <v>0</v>
      </c>
      <c r="N838" s="10">
        <v>0.47100028433997582</v>
      </c>
      <c r="O838" s="11">
        <v>0.45991439896749864</v>
      </c>
      <c r="P838" s="10">
        <v>0.75</v>
      </c>
      <c r="Q838">
        <v>0</v>
      </c>
      <c r="R838">
        <v>0</v>
      </c>
      <c r="S838">
        <v>0</v>
      </c>
      <c r="T838">
        <v>0</v>
      </c>
      <c r="U838">
        <v>0</v>
      </c>
      <c r="V838" s="10">
        <v>0.16056338028169015</v>
      </c>
      <c r="W838" s="5">
        <v>2</v>
      </c>
      <c r="X838" s="5">
        <v>2</v>
      </c>
      <c r="Y838" s="5">
        <v>3</v>
      </c>
      <c r="Z838" s="5">
        <v>7</v>
      </c>
    </row>
    <row r="839" spans="1:26" x14ac:dyDescent="0.35">
      <c r="A839">
        <v>838</v>
      </c>
      <c r="B839" s="10">
        <v>0.19607843137254902</v>
      </c>
      <c r="C839">
        <v>1</v>
      </c>
      <c r="D839">
        <v>1</v>
      </c>
      <c r="E839">
        <v>0</v>
      </c>
      <c r="F839">
        <v>0</v>
      </c>
      <c r="G839">
        <v>0</v>
      </c>
      <c r="H839">
        <v>3</v>
      </c>
      <c r="I839">
        <v>0</v>
      </c>
      <c r="J839" s="10">
        <v>0.32624415142492558</v>
      </c>
      <c r="K839">
        <v>0</v>
      </c>
      <c r="L839">
        <v>0</v>
      </c>
      <c r="M839">
        <v>1</v>
      </c>
      <c r="N839" s="10">
        <v>0.50948096106911833</v>
      </c>
      <c r="O839" s="11">
        <v>0.38675716703443619</v>
      </c>
      <c r="P839" s="10">
        <v>1</v>
      </c>
      <c r="Q839">
        <v>2</v>
      </c>
      <c r="R839">
        <v>1</v>
      </c>
      <c r="S839">
        <v>1</v>
      </c>
      <c r="T839">
        <v>0</v>
      </c>
      <c r="U839">
        <v>1</v>
      </c>
      <c r="V839" s="10">
        <v>2.8169014084507043E-2</v>
      </c>
      <c r="W839" s="5">
        <v>3</v>
      </c>
      <c r="X839" s="5">
        <v>3</v>
      </c>
      <c r="Y839" s="5">
        <v>3</v>
      </c>
      <c r="Z839" s="5">
        <v>9</v>
      </c>
    </row>
    <row r="840" spans="1:26" x14ac:dyDescent="0.35">
      <c r="A840">
        <v>839</v>
      </c>
      <c r="B840" s="10">
        <v>5.8823529411764705E-2</v>
      </c>
      <c r="C840">
        <v>1</v>
      </c>
      <c r="D840">
        <v>1</v>
      </c>
      <c r="E840">
        <v>0</v>
      </c>
      <c r="F840">
        <v>0</v>
      </c>
      <c r="G840">
        <v>0</v>
      </c>
      <c r="H840">
        <v>1</v>
      </c>
      <c r="I840">
        <v>0</v>
      </c>
      <c r="J840" s="10">
        <v>0.59166312207571248</v>
      </c>
      <c r="K840">
        <v>1</v>
      </c>
      <c r="L840">
        <v>0</v>
      </c>
      <c r="M840">
        <v>0</v>
      </c>
      <c r="N840" s="10">
        <v>0.34736867047366299</v>
      </c>
      <c r="O840" s="11">
        <v>0.47590494778566966</v>
      </c>
      <c r="P840" s="10">
        <v>0.5</v>
      </c>
      <c r="Q840">
        <v>0</v>
      </c>
      <c r="R840">
        <v>0</v>
      </c>
      <c r="S840">
        <v>0</v>
      </c>
      <c r="T840">
        <v>0</v>
      </c>
      <c r="U840">
        <v>0</v>
      </c>
      <c r="V840" s="10">
        <v>4.2253521126760563E-2</v>
      </c>
      <c r="W840" s="5">
        <v>3</v>
      </c>
      <c r="X840" s="5">
        <v>2</v>
      </c>
      <c r="Y840" s="5">
        <v>2</v>
      </c>
      <c r="Z840" s="5">
        <v>7</v>
      </c>
    </row>
    <row r="841" spans="1:26" x14ac:dyDescent="0.35">
      <c r="A841">
        <v>840</v>
      </c>
      <c r="B841" s="10">
        <v>0.11764705882352941</v>
      </c>
      <c r="C841">
        <v>0</v>
      </c>
      <c r="D841">
        <v>1</v>
      </c>
      <c r="E841">
        <v>0</v>
      </c>
      <c r="F841">
        <v>0</v>
      </c>
      <c r="G841">
        <v>0</v>
      </c>
      <c r="H841">
        <v>2</v>
      </c>
      <c r="I841">
        <v>0</v>
      </c>
      <c r="J841" s="10">
        <v>0.79583156103785624</v>
      </c>
      <c r="K841">
        <v>1</v>
      </c>
      <c r="L841">
        <v>0</v>
      </c>
      <c r="M841">
        <v>0</v>
      </c>
      <c r="N841" s="10">
        <v>0.29264211075042057</v>
      </c>
      <c r="O841" s="11">
        <v>0.40154932694822826</v>
      </c>
      <c r="P841" s="10">
        <v>0.5</v>
      </c>
      <c r="Q841">
        <v>1</v>
      </c>
      <c r="R841">
        <v>0</v>
      </c>
      <c r="S841">
        <v>1</v>
      </c>
      <c r="T841">
        <v>0</v>
      </c>
      <c r="U841">
        <v>0</v>
      </c>
      <c r="V841" s="10">
        <v>1.9718309859154931E-2</v>
      </c>
      <c r="W841" s="5">
        <v>3</v>
      </c>
      <c r="X841" s="5">
        <v>2</v>
      </c>
      <c r="Y841" s="5">
        <v>2</v>
      </c>
      <c r="Z841" s="5">
        <v>7</v>
      </c>
    </row>
    <row r="842" spans="1:26" x14ac:dyDescent="0.35">
      <c r="A842">
        <v>841</v>
      </c>
      <c r="B842" s="10">
        <v>0.52941176470588236</v>
      </c>
      <c r="C842">
        <v>1</v>
      </c>
      <c r="D842">
        <v>0</v>
      </c>
      <c r="E842">
        <v>0</v>
      </c>
      <c r="F842">
        <v>0</v>
      </c>
      <c r="G842">
        <v>1</v>
      </c>
      <c r="H842">
        <v>1</v>
      </c>
      <c r="I842">
        <v>1</v>
      </c>
      <c r="J842" s="10">
        <v>0.59166312207571248</v>
      </c>
      <c r="K842">
        <v>0</v>
      </c>
      <c r="L842">
        <v>1</v>
      </c>
      <c r="M842">
        <v>0</v>
      </c>
      <c r="N842" s="10">
        <v>0.53896050043835741</v>
      </c>
      <c r="O842" s="11">
        <v>0.46013501277691699</v>
      </c>
      <c r="P842" s="10">
        <v>0.875</v>
      </c>
      <c r="Q842">
        <v>1</v>
      </c>
      <c r="R842">
        <v>1</v>
      </c>
      <c r="S842">
        <v>0</v>
      </c>
      <c r="T842">
        <v>0</v>
      </c>
      <c r="U842">
        <v>1</v>
      </c>
      <c r="V842" s="10">
        <v>4.788732394366197E-2</v>
      </c>
      <c r="W842" s="5">
        <v>3</v>
      </c>
      <c r="X842" s="5">
        <v>3</v>
      </c>
      <c r="Y842" s="5">
        <v>3</v>
      </c>
      <c r="Z842" s="5">
        <v>9</v>
      </c>
    </row>
    <row r="843" spans="1:26" x14ac:dyDescent="0.35">
      <c r="A843">
        <v>842</v>
      </c>
      <c r="B843" s="10">
        <v>0.68627450980392157</v>
      </c>
      <c r="C843">
        <v>1</v>
      </c>
      <c r="D843">
        <v>0</v>
      </c>
      <c r="E843">
        <v>0</v>
      </c>
      <c r="F843">
        <v>1</v>
      </c>
      <c r="G843">
        <v>0</v>
      </c>
      <c r="H843">
        <v>2</v>
      </c>
      <c r="I843">
        <v>0</v>
      </c>
      <c r="J843" s="10">
        <v>0.24457677584006807</v>
      </c>
      <c r="K843">
        <v>1</v>
      </c>
      <c r="L843">
        <v>0</v>
      </c>
      <c r="M843">
        <v>0</v>
      </c>
      <c r="N843" s="10">
        <v>0.82840378646067803</v>
      </c>
      <c r="O843" s="11">
        <v>0.70592215135113379</v>
      </c>
      <c r="P843" s="10">
        <v>0.875</v>
      </c>
      <c r="Q843">
        <v>1</v>
      </c>
      <c r="R843">
        <v>0</v>
      </c>
      <c r="S843">
        <v>1</v>
      </c>
      <c r="T843">
        <v>0</v>
      </c>
      <c r="U843">
        <v>0</v>
      </c>
      <c r="V843" s="10">
        <v>7.605633802816901E-2</v>
      </c>
      <c r="W843" s="5">
        <v>3</v>
      </c>
      <c r="X843" s="5">
        <v>3</v>
      </c>
      <c r="Y843" s="5">
        <v>3</v>
      </c>
      <c r="Z843" s="5">
        <v>9</v>
      </c>
    </row>
    <row r="844" spans="1:26" x14ac:dyDescent="0.35">
      <c r="A844">
        <v>843</v>
      </c>
      <c r="B844" s="10">
        <v>0.11764705882352941</v>
      </c>
      <c r="C844">
        <v>0</v>
      </c>
      <c r="D844">
        <v>0</v>
      </c>
      <c r="E844">
        <v>1</v>
      </c>
      <c r="F844">
        <v>0</v>
      </c>
      <c r="G844">
        <v>0</v>
      </c>
      <c r="H844">
        <v>1</v>
      </c>
      <c r="I844">
        <v>0</v>
      </c>
      <c r="J844" s="10">
        <v>0.63249680986814127</v>
      </c>
      <c r="K844">
        <v>0</v>
      </c>
      <c r="L844">
        <v>1</v>
      </c>
      <c r="M844">
        <v>0</v>
      </c>
      <c r="N844" s="10">
        <v>0.31387875269530602</v>
      </c>
      <c r="O844" s="11">
        <v>0.43040302621783133</v>
      </c>
      <c r="P844" s="10">
        <v>0.5</v>
      </c>
      <c r="Q844">
        <v>1</v>
      </c>
      <c r="R844">
        <v>0</v>
      </c>
      <c r="S844">
        <v>1</v>
      </c>
      <c r="T844">
        <v>0</v>
      </c>
      <c r="U844">
        <v>0</v>
      </c>
      <c r="V844" s="10">
        <v>7.8873239436619724E-2</v>
      </c>
      <c r="W844" s="5">
        <v>3</v>
      </c>
      <c r="X844" s="5">
        <v>2</v>
      </c>
      <c r="Y844" s="5">
        <v>2</v>
      </c>
      <c r="Z844" s="5">
        <v>7</v>
      </c>
    </row>
    <row r="845" spans="1:26" x14ac:dyDescent="0.35">
      <c r="A845">
        <v>844</v>
      </c>
      <c r="B845" s="10">
        <v>0.37254901960784315</v>
      </c>
      <c r="C845">
        <v>1</v>
      </c>
      <c r="D845">
        <v>0</v>
      </c>
      <c r="E845">
        <v>0</v>
      </c>
      <c r="F845">
        <v>1</v>
      </c>
      <c r="G845">
        <v>0</v>
      </c>
      <c r="H845">
        <v>2</v>
      </c>
      <c r="I845">
        <v>0</v>
      </c>
      <c r="J845" s="10">
        <v>0.40791152700978311</v>
      </c>
      <c r="K845">
        <v>1</v>
      </c>
      <c r="L845">
        <v>0</v>
      </c>
      <c r="M845">
        <v>0</v>
      </c>
      <c r="N845" s="10">
        <v>0.44292763547615099</v>
      </c>
      <c r="O845" s="11">
        <v>0.50478212170600345</v>
      </c>
      <c r="P845" s="10">
        <v>0.625</v>
      </c>
      <c r="Q845">
        <v>0</v>
      </c>
      <c r="R845">
        <v>0</v>
      </c>
      <c r="S845">
        <v>0</v>
      </c>
      <c r="T845">
        <v>0</v>
      </c>
      <c r="U845">
        <v>0</v>
      </c>
      <c r="V845" s="10">
        <v>7.8873239436619724E-2</v>
      </c>
      <c r="W845" s="5">
        <v>3</v>
      </c>
      <c r="X845" s="5">
        <v>2</v>
      </c>
      <c r="Y845" s="5">
        <v>2</v>
      </c>
      <c r="Z845" s="5">
        <v>7</v>
      </c>
    </row>
    <row r="846" spans="1:26" x14ac:dyDescent="0.35">
      <c r="A846">
        <v>845</v>
      </c>
      <c r="B846" s="10">
        <v>0.66666666666666663</v>
      </c>
      <c r="C846">
        <v>1</v>
      </c>
      <c r="D846">
        <v>0</v>
      </c>
      <c r="E846">
        <v>0</v>
      </c>
      <c r="F846">
        <v>1</v>
      </c>
      <c r="G846">
        <v>0</v>
      </c>
      <c r="H846">
        <v>2</v>
      </c>
      <c r="I846">
        <v>0</v>
      </c>
      <c r="J846" s="10">
        <v>0.71416418545299876</v>
      </c>
      <c r="K846">
        <v>0</v>
      </c>
      <c r="L846">
        <v>0</v>
      </c>
      <c r="M846">
        <v>1</v>
      </c>
      <c r="N846" s="10">
        <v>0.66021965263132942</v>
      </c>
      <c r="O846" s="11">
        <v>0.56310489144650799</v>
      </c>
      <c r="P846" s="10">
        <v>0.875</v>
      </c>
      <c r="Q846">
        <v>0</v>
      </c>
      <c r="R846">
        <v>0</v>
      </c>
      <c r="S846">
        <v>0</v>
      </c>
      <c r="T846">
        <v>0</v>
      </c>
      <c r="U846">
        <v>0</v>
      </c>
      <c r="V846" s="10">
        <v>2.2535211267605635E-2</v>
      </c>
      <c r="W846" s="5">
        <v>3</v>
      </c>
      <c r="X846" s="5">
        <v>3</v>
      </c>
      <c r="Y846" s="5">
        <v>3</v>
      </c>
      <c r="Z846" s="5">
        <v>9</v>
      </c>
    </row>
    <row r="847" spans="1:26" x14ac:dyDescent="0.35">
      <c r="A847">
        <v>846</v>
      </c>
      <c r="B847" s="10">
        <v>0.98039215686274506</v>
      </c>
      <c r="C847">
        <v>1</v>
      </c>
      <c r="D847">
        <v>1</v>
      </c>
      <c r="E847">
        <v>0</v>
      </c>
      <c r="F847">
        <v>0</v>
      </c>
      <c r="G847">
        <v>0</v>
      </c>
      <c r="H847">
        <v>2</v>
      </c>
      <c r="I847">
        <v>0</v>
      </c>
      <c r="J847" s="10">
        <v>0.83666524883028492</v>
      </c>
      <c r="K847">
        <v>1</v>
      </c>
      <c r="L847">
        <v>0</v>
      </c>
      <c r="M847">
        <v>0</v>
      </c>
      <c r="N847" s="10">
        <v>0.49098405326635547</v>
      </c>
      <c r="O847" s="11">
        <v>0.67103161029396963</v>
      </c>
      <c r="P847" s="10">
        <v>0.5</v>
      </c>
      <c r="Q847">
        <v>0</v>
      </c>
      <c r="R847">
        <v>0</v>
      </c>
      <c r="S847">
        <v>0</v>
      </c>
      <c r="T847">
        <v>0</v>
      </c>
      <c r="U847">
        <v>0</v>
      </c>
      <c r="V847" s="10">
        <v>0.11830985915492957</v>
      </c>
      <c r="W847" s="5">
        <v>2</v>
      </c>
      <c r="X847" s="5">
        <v>2</v>
      </c>
      <c r="Y847" s="5">
        <v>3</v>
      </c>
      <c r="Z847" s="5">
        <v>7</v>
      </c>
    </row>
    <row r="848" spans="1:26" x14ac:dyDescent="0.35">
      <c r="A848">
        <v>847</v>
      </c>
      <c r="B848" s="10">
        <v>0.98039215686274506</v>
      </c>
      <c r="C848">
        <v>0</v>
      </c>
      <c r="D848">
        <v>0</v>
      </c>
      <c r="E848">
        <v>0</v>
      </c>
      <c r="F848">
        <v>1</v>
      </c>
      <c r="G848">
        <v>0</v>
      </c>
      <c r="H848">
        <v>2</v>
      </c>
      <c r="I848">
        <v>0</v>
      </c>
      <c r="J848" s="10">
        <v>0.57124627817949813</v>
      </c>
      <c r="K848">
        <v>0</v>
      </c>
      <c r="L848">
        <v>0</v>
      </c>
      <c r="M848">
        <v>1</v>
      </c>
      <c r="N848" s="10">
        <v>0.49259827500414655</v>
      </c>
      <c r="O848" s="11">
        <v>0.56102067781377218</v>
      </c>
      <c r="P848" s="10">
        <v>0.625</v>
      </c>
      <c r="Q848">
        <v>2</v>
      </c>
      <c r="R848">
        <v>0</v>
      </c>
      <c r="S848">
        <v>1</v>
      </c>
      <c r="T848">
        <v>1</v>
      </c>
      <c r="U848">
        <v>0</v>
      </c>
      <c r="V848" s="10">
        <v>0.38309859154929576</v>
      </c>
      <c r="W848" s="5">
        <v>1</v>
      </c>
      <c r="X848" s="5">
        <v>2</v>
      </c>
      <c r="Y848" s="5">
        <v>3</v>
      </c>
      <c r="Z848" s="5">
        <v>6</v>
      </c>
    </row>
    <row r="849" spans="1:26" x14ac:dyDescent="0.35">
      <c r="A849">
        <v>848</v>
      </c>
      <c r="B849" s="10">
        <v>0.74509803921568629</v>
      </c>
      <c r="C849">
        <v>0</v>
      </c>
      <c r="D849">
        <v>1</v>
      </c>
      <c r="E849">
        <v>0</v>
      </c>
      <c r="F849">
        <v>0</v>
      </c>
      <c r="G849">
        <v>0</v>
      </c>
      <c r="H849">
        <v>3</v>
      </c>
      <c r="I849">
        <v>1</v>
      </c>
      <c r="J849" s="10">
        <v>0.71416418545299876</v>
      </c>
      <c r="K849">
        <v>1</v>
      </c>
      <c r="L849">
        <v>0</v>
      </c>
      <c r="M849">
        <v>0</v>
      </c>
      <c r="N849" s="10">
        <v>0.20151411037130065</v>
      </c>
      <c r="O849" s="11">
        <v>0.69433992635666719</v>
      </c>
      <c r="P849" s="10">
        <v>0.125</v>
      </c>
      <c r="Q849">
        <v>2</v>
      </c>
      <c r="R849">
        <v>1</v>
      </c>
      <c r="S849">
        <v>0</v>
      </c>
      <c r="T849">
        <v>1</v>
      </c>
      <c r="U849">
        <v>1</v>
      </c>
      <c r="V849" s="10">
        <v>0.15211267605633802</v>
      </c>
      <c r="W849" s="5">
        <v>2</v>
      </c>
      <c r="X849" s="5">
        <v>1</v>
      </c>
      <c r="Y849" s="5">
        <v>1</v>
      </c>
      <c r="Z849" s="5">
        <v>4</v>
      </c>
    </row>
    <row r="850" spans="1:26" x14ac:dyDescent="0.35">
      <c r="A850">
        <v>849</v>
      </c>
      <c r="B850" s="10">
        <v>0.39215686274509803</v>
      </c>
      <c r="C850">
        <v>1</v>
      </c>
      <c r="D850">
        <v>0</v>
      </c>
      <c r="E850">
        <v>1</v>
      </c>
      <c r="F850">
        <v>0</v>
      </c>
      <c r="G850">
        <v>0</v>
      </c>
      <c r="H850">
        <v>1</v>
      </c>
      <c r="I850">
        <v>0</v>
      </c>
      <c r="J850" s="10">
        <v>0.59166312207571248</v>
      </c>
      <c r="K850">
        <v>0</v>
      </c>
      <c r="L850">
        <v>1</v>
      </c>
      <c r="M850">
        <v>0</v>
      </c>
      <c r="N850" s="10">
        <v>0.24309290808710282</v>
      </c>
      <c r="O850" s="11">
        <v>0.33422805287832752</v>
      </c>
      <c r="P850" s="10">
        <v>0.5</v>
      </c>
      <c r="Q850">
        <v>2</v>
      </c>
      <c r="R850">
        <v>1</v>
      </c>
      <c r="S850">
        <v>1</v>
      </c>
      <c r="T850">
        <v>1</v>
      </c>
      <c r="U850">
        <v>0</v>
      </c>
      <c r="V850" s="10">
        <v>5.6338028169014086E-2</v>
      </c>
      <c r="W850" s="5">
        <v>3</v>
      </c>
      <c r="X850" s="5">
        <v>2</v>
      </c>
      <c r="Y850" s="5">
        <v>1</v>
      </c>
      <c r="Z850" s="5">
        <v>6</v>
      </c>
    </row>
    <row r="851" spans="1:26" x14ac:dyDescent="0.35">
      <c r="A851">
        <v>850</v>
      </c>
      <c r="B851" s="10">
        <v>0.84313725490196079</v>
      </c>
      <c r="C851">
        <v>0</v>
      </c>
      <c r="D851">
        <v>1</v>
      </c>
      <c r="E851">
        <v>0</v>
      </c>
      <c r="F851">
        <v>0</v>
      </c>
      <c r="G851">
        <v>0</v>
      </c>
      <c r="H851">
        <v>2</v>
      </c>
      <c r="I851">
        <v>1</v>
      </c>
      <c r="J851" s="10">
        <v>0.89791578051892806</v>
      </c>
      <c r="K851">
        <v>1</v>
      </c>
      <c r="L851">
        <v>0</v>
      </c>
      <c r="M851">
        <v>0</v>
      </c>
      <c r="N851" s="10">
        <v>8.3880292870175087E-3</v>
      </c>
      <c r="O851" s="11">
        <v>7.6701744501901439E-2</v>
      </c>
      <c r="P851" s="10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 s="10">
        <v>0.73802816901408452</v>
      </c>
      <c r="W851" s="5">
        <v>1</v>
      </c>
      <c r="X851" s="5">
        <v>1</v>
      </c>
      <c r="Y851" s="5">
        <v>1</v>
      </c>
      <c r="Z851" s="5">
        <v>3</v>
      </c>
    </row>
    <row r="852" spans="1:26" x14ac:dyDescent="0.35">
      <c r="A852">
        <v>851</v>
      </c>
      <c r="B852" s="10">
        <v>0</v>
      </c>
      <c r="C852">
        <v>1</v>
      </c>
      <c r="D852">
        <v>0</v>
      </c>
      <c r="E852">
        <v>1</v>
      </c>
      <c r="F852">
        <v>0</v>
      </c>
      <c r="G852">
        <v>0</v>
      </c>
      <c r="H852">
        <v>2</v>
      </c>
      <c r="I852">
        <v>0</v>
      </c>
      <c r="J852" s="10">
        <v>0.79583156103785624</v>
      </c>
      <c r="K852">
        <v>0</v>
      </c>
      <c r="L852">
        <v>0</v>
      </c>
      <c r="M852">
        <v>1</v>
      </c>
      <c r="N852" s="10">
        <v>0.16893941189014997</v>
      </c>
      <c r="O852" s="11">
        <v>0.58369383689812671</v>
      </c>
      <c r="P852" s="10">
        <v>0.125</v>
      </c>
      <c r="Q852">
        <v>1</v>
      </c>
      <c r="R852">
        <v>0</v>
      </c>
      <c r="S852">
        <v>0</v>
      </c>
      <c r="T852">
        <v>1</v>
      </c>
      <c r="U852">
        <v>0</v>
      </c>
      <c r="V852" s="10">
        <v>4.507042253521127E-2</v>
      </c>
      <c r="W852" s="5">
        <v>3</v>
      </c>
      <c r="X852" s="5">
        <v>1</v>
      </c>
      <c r="Y852" s="5">
        <v>1</v>
      </c>
      <c r="Z852" s="5">
        <v>5</v>
      </c>
    </row>
    <row r="853" spans="1:26" x14ac:dyDescent="0.35">
      <c r="A853">
        <v>852</v>
      </c>
      <c r="B853" s="10">
        <v>0.70588235294117652</v>
      </c>
      <c r="C853">
        <v>0</v>
      </c>
      <c r="D853">
        <v>0</v>
      </c>
      <c r="E853">
        <v>0</v>
      </c>
      <c r="F853">
        <v>1</v>
      </c>
      <c r="G853">
        <v>0</v>
      </c>
      <c r="H853">
        <v>1</v>
      </c>
      <c r="I853">
        <v>0</v>
      </c>
      <c r="J853" s="10">
        <v>0.59166312207571248</v>
      </c>
      <c r="K853">
        <v>1</v>
      </c>
      <c r="L853">
        <v>0</v>
      </c>
      <c r="M853">
        <v>0</v>
      </c>
      <c r="N853" s="10">
        <v>0.16566654029334407</v>
      </c>
      <c r="O853" s="11">
        <v>0.28628845650817925</v>
      </c>
      <c r="P853" s="10">
        <v>0.375</v>
      </c>
      <c r="Q853">
        <v>1</v>
      </c>
      <c r="R853">
        <v>1</v>
      </c>
      <c r="S853">
        <v>1</v>
      </c>
      <c r="T853">
        <v>0</v>
      </c>
      <c r="U853">
        <v>0</v>
      </c>
      <c r="V853" s="10">
        <v>3.9436619718309862E-2</v>
      </c>
      <c r="W853" s="5">
        <v>3</v>
      </c>
      <c r="X853" s="5">
        <v>2</v>
      </c>
      <c r="Y853" s="5">
        <v>1</v>
      </c>
      <c r="Z853" s="5">
        <v>6</v>
      </c>
    </row>
    <row r="854" spans="1:26" x14ac:dyDescent="0.35">
      <c r="A854">
        <v>853</v>
      </c>
      <c r="B854" s="10">
        <v>0.88235294117647056</v>
      </c>
      <c r="C854">
        <v>1</v>
      </c>
      <c r="D854">
        <v>1</v>
      </c>
      <c r="E854">
        <v>0</v>
      </c>
      <c r="F854">
        <v>0</v>
      </c>
      <c r="G854">
        <v>0</v>
      </c>
      <c r="H854">
        <v>2</v>
      </c>
      <c r="I854">
        <v>0</v>
      </c>
      <c r="J854" s="10">
        <v>0.6937473415567843</v>
      </c>
      <c r="K854">
        <v>0</v>
      </c>
      <c r="L854">
        <v>1</v>
      </c>
      <c r="M854">
        <v>0</v>
      </c>
      <c r="N854" s="10">
        <v>0.34628758619055516</v>
      </c>
      <c r="O854" s="11">
        <v>0.79072684225705414</v>
      </c>
      <c r="P854" s="10">
        <v>0.25</v>
      </c>
      <c r="Q854">
        <v>1</v>
      </c>
      <c r="R854">
        <v>1</v>
      </c>
      <c r="S854">
        <v>1</v>
      </c>
      <c r="T854">
        <v>0</v>
      </c>
      <c r="U854">
        <v>0</v>
      </c>
      <c r="V854" s="10">
        <v>0.43380281690140843</v>
      </c>
      <c r="W854" s="5">
        <v>1</v>
      </c>
      <c r="X854" s="5">
        <v>2</v>
      </c>
      <c r="Y854" s="5">
        <v>2</v>
      </c>
      <c r="Z854" s="5">
        <v>5</v>
      </c>
    </row>
    <row r="855" spans="1:26" x14ac:dyDescent="0.35">
      <c r="A855">
        <v>854</v>
      </c>
      <c r="B855" s="10">
        <v>0.80392156862745101</v>
      </c>
      <c r="C855">
        <v>0</v>
      </c>
      <c r="D855">
        <v>0</v>
      </c>
      <c r="E855">
        <v>0</v>
      </c>
      <c r="F855">
        <v>0</v>
      </c>
      <c r="G855">
        <v>1</v>
      </c>
      <c r="H855">
        <v>2</v>
      </c>
      <c r="I855">
        <v>0</v>
      </c>
      <c r="J855" s="10">
        <v>0.2037430880476393</v>
      </c>
      <c r="K855">
        <v>1</v>
      </c>
      <c r="L855">
        <v>0</v>
      </c>
      <c r="M855">
        <v>0</v>
      </c>
      <c r="N855" s="10">
        <v>1.1269933417055658E-2</v>
      </c>
      <c r="O855" s="11">
        <v>9.6279603211332221E-2</v>
      </c>
      <c r="P855" s="10">
        <v>0</v>
      </c>
      <c r="Q855">
        <v>2</v>
      </c>
      <c r="R855">
        <v>1</v>
      </c>
      <c r="S855">
        <v>0</v>
      </c>
      <c r="T855">
        <v>1</v>
      </c>
      <c r="U855">
        <v>0</v>
      </c>
      <c r="V855" s="10">
        <v>0.16901408450704225</v>
      </c>
      <c r="W855" s="5">
        <v>2</v>
      </c>
      <c r="X855" s="5">
        <v>1</v>
      </c>
      <c r="Y855" s="5">
        <v>1</v>
      </c>
      <c r="Z855" s="5">
        <v>4</v>
      </c>
    </row>
    <row r="856" spans="1:26" x14ac:dyDescent="0.35">
      <c r="A856">
        <v>855</v>
      </c>
      <c r="B856" s="10">
        <v>3.9215686274509803E-2</v>
      </c>
      <c r="C856">
        <v>1</v>
      </c>
      <c r="D856">
        <v>0</v>
      </c>
      <c r="E856">
        <v>1</v>
      </c>
      <c r="F856">
        <v>0</v>
      </c>
      <c r="G856">
        <v>0</v>
      </c>
      <c r="H856">
        <v>1</v>
      </c>
      <c r="I856">
        <v>0</v>
      </c>
      <c r="J856" s="10">
        <v>0.75499787324542744</v>
      </c>
      <c r="K856">
        <v>0</v>
      </c>
      <c r="L856">
        <v>0</v>
      </c>
      <c r="M856">
        <v>1</v>
      </c>
      <c r="N856" s="10">
        <v>0.78381868587541159</v>
      </c>
      <c r="O856" s="11">
        <v>0.66806173162437876</v>
      </c>
      <c r="P856" s="10">
        <v>0.875</v>
      </c>
      <c r="Q856">
        <v>2</v>
      </c>
      <c r="R856">
        <v>1</v>
      </c>
      <c r="S856">
        <v>0</v>
      </c>
      <c r="T856">
        <v>0</v>
      </c>
      <c r="U856">
        <v>1</v>
      </c>
      <c r="V856" s="10">
        <v>0.14366197183098592</v>
      </c>
      <c r="W856" s="5">
        <v>2</v>
      </c>
      <c r="X856" s="5">
        <v>3</v>
      </c>
      <c r="Y856" s="5">
        <v>3</v>
      </c>
      <c r="Z856" s="5">
        <v>8</v>
      </c>
    </row>
    <row r="857" spans="1:26" x14ac:dyDescent="0.35">
      <c r="A857">
        <v>856</v>
      </c>
      <c r="B857" s="10">
        <v>0.6470588235294118</v>
      </c>
      <c r="C857">
        <v>1</v>
      </c>
      <c r="D857">
        <v>0</v>
      </c>
      <c r="E857">
        <v>0</v>
      </c>
      <c r="F857">
        <v>1</v>
      </c>
      <c r="G857">
        <v>0</v>
      </c>
      <c r="H857">
        <v>3</v>
      </c>
      <c r="I857">
        <v>0</v>
      </c>
      <c r="J857" s="10">
        <v>0.97958315610378566</v>
      </c>
      <c r="K857">
        <v>0</v>
      </c>
      <c r="L857">
        <v>1</v>
      </c>
      <c r="M857">
        <v>0</v>
      </c>
      <c r="N857" s="10">
        <v>0.15240622704547072</v>
      </c>
      <c r="O857" s="11">
        <v>0.35169051020476599</v>
      </c>
      <c r="P857" s="10">
        <v>0.25</v>
      </c>
      <c r="Q857">
        <v>0</v>
      </c>
      <c r="R857">
        <v>0</v>
      </c>
      <c r="S857">
        <v>0</v>
      </c>
      <c r="T857">
        <v>0</v>
      </c>
      <c r="U857">
        <v>0</v>
      </c>
      <c r="V857" s="10">
        <v>0.25352112676056338</v>
      </c>
      <c r="W857" s="5">
        <v>1</v>
      </c>
      <c r="X857" s="5">
        <v>2</v>
      </c>
      <c r="Y857" s="5">
        <v>1</v>
      </c>
      <c r="Z857" s="5">
        <v>4</v>
      </c>
    </row>
    <row r="858" spans="1:26" x14ac:dyDescent="0.35">
      <c r="A858">
        <v>857</v>
      </c>
      <c r="B858" s="10">
        <v>0.23529411764705882</v>
      </c>
      <c r="C858">
        <v>0</v>
      </c>
      <c r="D858">
        <v>0</v>
      </c>
      <c r="E858">
        <v>1</v>
      </c>
      <c r="F858">
        <v>0</v>
      </c>
      <c r="G858">
        <v>0</v>
      </c>
      <c r="H858">
        <v>3</v>
      </c>
      <c r="I858">
        <v>1</v>
      </c>
      <c r="J858" s="10">
        <v>0.14249255635899619</v>
      </c>
      <c r="K858">
        <v>1</v>
      </c>
      <c r="L858">
        <v>0</v>
      </c>
      <c r="M858">
        <v>0</v>
      </c>
      <c r="N858" s="10">
        <v>0.10935241570504466</v>
      </c>
      <c r="O858" s="11">
        <v>0.76259079659550488</v>
      </c>
      <c r="P858" s="10">
        <v>0</v>
      </c>
      <c r="Q858">
        <v>1</v>
      </c>
      <c r="R858">
        <v>0</v>
      </c>
      <c r="S858">
        <v>0</v>
      </c>
      <c r="T858">
        <v>0</v>
      </c>
      <c r="U858">
        <v>1</v>
      </c>
      <c r="V858" s="10">
        <v>0.47323943661971829</v>
      </c>
      <c r="W858" s="5">
        <v>1</v>
      </c>
      <c r="X858" s="5">
        <v>1</v>
      </c>
      <c r="Y858" s="5">
        <v>1</v>
      </c>
      <c r="Z858" s="5">
        <v>3</v>
      </c>
    </row>
    <row r="859" spans="1:26" x14ac:dyDescent="0.35">
      <c r="A859">
        <v>858</v>
      </c>
      <c r="B859" s="10">
        <v>0.29411764705882354</v>
      </c>
      <c r="C859">
        <v>1</v>
      </c>
      <c r="D859">
        <v>1</v>
      </c>
      <c r="E859">
        <v>0</v>
      </c>
      <c r="F859">
        <v>0</v>
      </c>
      <c r="G859">
        <v>0</v>
      </c>
      <c r="H859">
        <v>2</v>
      </c>
      <c r="I859">
        <v>0</v>
      </c>
      <c r="J859" s="10">
        <v>0.18332624415142493</v>
      </c>
      <c r="K859">
        <v>0</v>
      </c>
      <c r="L859">
        <v>1</v>
      </c>
      <c r="M859">
        <v>0</v>
      </c>
      <c r="N859" s="10">
        <v>6.3541098974006588E-2</v>
      </c>
      <c r="O859" s="11">
        <v>0.2256886456467937</v>
      </c>
      <c r="P859" s="10">
        <v>0.125</v>
      </c>
      <c r="Q859">
        <v>2</v>
      </c>
      <c r="R859">
        <v>0</v>
      </c>
      <c r="S859">
        <v>1</v>
      </c>
      <c r="T859">
        <v>1</v>
      </c>
      <c r="U859">
        <v>0</v>
      </c>
      <c r="V859" s="10">
        <v>0.24225352112676057</v>
      </c>
      <c r="W859" s="5">
        <v>1</v>
      </c>
      <c r="X859" s="5">
        <v>1</v>
      </c>
      <c r="Y859" s="5">
        <v>1</v>
      </c>
      <c r="Z859" s="5">
        <v>3</v>
      </c>
    </row>
    <row r="860" spans="1:26" x14ac:dyDescent="0.35">
      <c r="A860">
        <v>859</v>
      </c>
      <c r="B860" s="10">
        <v>0.6470588235294118</v>
      </c>
      <c r="C860">
        <v>1</v>
      </c>
      <c r="D860">
        <v>0</v>
      </c>
      <c r="E860">
        <v>0</v>
      </c>
      <c r="F860">
        <v>0</v>
      </c>
      <c r="G860">
        <v>1</v>
      </c>
      <c r="H860">
        <v>3</v>
      </c>
      <c r="I860">
        <v>0</v>
      </c>
      <c r="J860" s="10">
        <v>0.32624415142492558</v>
      </c>
      <c r="K860">
        <v>0</v>
      </c>
      <c r="L860">
        <v>1</v>
      </c>
      <c r="M860">
        <v>0</v>
      </c>
      <c r="N860" s="10">
        <v>0.68451887306589587</v>
      </c>
      <c r="O860" s="11">
        <v>0.51887920839006385</v>
      </c>
      <c r="P860" s="10">
        <v>1</v>
      </c>
      <c r="Q860">
        <v>0</v>
      </c>
      <c r="R860">
        <v>0</v>
      </c>
      <c r="S860">
        <v>0</v>
      </c>
      <c r="T860">
        <v>0</v>
      </c>
      <c r="U860">
        <v>0</v>
      </c>
      <c r="V860" s="10">
        <v>1.9718309859154931E-2</v>
      </c>
      <c r="W860" s="5">
        <v>3</v>
      </c>
      <c r="X860" s="5">
        <v>3</v>
      </c>
      <c r="Y860" s="5">
        <v>3</v>
      </c>
      <c r="Z860" s="5">
        <v>9</v>
      </c>
    </row>
    <row r="861" spans="1:26" x14ac:dyDescent="0.35">
      <c r="A861">
        <v>860</v>
      </c>
      <c r="B861" s="10">
        <v>0.45098039215686275</v>
      </c>
      <c r="C861">
        <v>0</v>
      </c>
      <c r="D861">
        <v>0</v>
      </c>
      <c r="E861">
        <v>1</v>
      </c>
      <c r="F861">
        <v>0</v>
      </c>
      <c r="G861">
        <v>0</v>
      </c>
      <c r="H861">
        <v>3</v>
      </c>
      <c r="I861">
        <v>0</v>
      </c>
      <c r="J861" s="10">
        <v>0.42832837090599751</v>
      </c>
      <c r="K861">
        <v>1</v>
      </c>
      <c r="L861">
        <v>0</v>
      </c>
      <c r="M861">
        <v>0</v>
      </c>
      <c r="N861" s="10">
        <v>0.11864085491552732</v>
      </c>
      <c r="O861" s="11">
        <v>0.41284532887985675</v>
      </c>
      <c r="P861" s="10">
        <v>0.125</v>
      </c>
      <c r="Q861">
        <v>2</v>
      </c>
      <c r="R861">
        <v>1</v>
      </c>
      <c r="S861">
        <v>0</v>
      </c>
      <c r="T861">
        <v>0</v>
      </c>
      <c r="U861">
        <v>1</v>
      </c>
      <c r="V861" s="10">
        <v>6.7605633802816895E-2</v>
      </c>
      <c r="W861" s="5">
        <v>3</v>
      </c>
      <c r="X861" s="5">
        <v>1</v>
      </c>
      <c r="Y861" s="5">
        <v>1</v>
      </c>
      <c r="Z861" s="5">
        <v>5</v>
      </c>
    </row>
    <row r="862" spans="1:26" x14ac:dyDescent="0.35">
      <c r="A862">
        <v>861</v>
      </c>
      <c r="B862" s="10">
        <v>0.23529411764705882</v>
      </c>
      <c r="C862">
        <v>0</v>
      </c>
      <c r="D862">
        <v>0</v>
      </c>
      <c r="E862">
        <v>1</v>
      </c>
      <c r="F862">
        <v>0</v>
      </c>
      <c r="G862">
        <v>0</v>
      </c>
      <c r="H862">
        <v>2</v>
      </c>
      <c r="I862">
        <v>0</v>
      </c>
      <c r="J862" s="10">
        <v>0.28541046363249684</v>
      </c>
      <c r="K862">
        <v>0</v>
      </c>
      <c r="L862">
        <v>1</v>
      </c>
      <c r="M862">
        <v>0</v>
      </c>
      <c r="N862" s="10">
        <v>7.374771935644385E-2</v>
      </c>
      <c r="O862" s="11">
        <v>0.26035735125455239</v>
      </c>
      <c r="P862" s="10">
        <v>0.125</v>
      </c>
      <c r="Q862">
        <v>1</v>
      </c>
      <c r="R862">
        <v>0</v>
      </c>
      <c r="S862">
        <v>0</v>
      </c>
      <c r="T862">
        <v>1</v>
      </c>
      <c r="U862">
        <v>0</v>
      </c>
      <c r="V862" s="10">
        <v>8.7323943661971826E-2</v>
      </c>
      <c r="W862" s="5">
        <v>2</v>
      </c>
      <c r="X862" s="5">
        <v>1</v>
      </c>
      <c r="Y862" s="5">
        <v>1</v>
      </c>
      <c r="Z862" s="5">
        <v>4</v>
      </c>
    </row>
    <row r="863" spans="1:26" x14ac:dyDescent="0.35">
      <c r="A863">
        <v>862</v>
      </c>
      <c r="B863" s="10">
        <v>9.8039215686274508E-2</v>
      </c>
      <c r="C863">
        <v>1</v>
      </c>
      <c r="D863">
        <v>0</v>
      </c>
      <c r="E863">
        <v>1</v>
      </c>
      <c r="F863">
        <v>0</v>
      </c>
      <c r="G863">
        <v>0</v>
      </c>
      <c r="H863">
        <v>2</v>
      </c>
      <c r="I863">
        <v>0</v>
      </c>
      <c r="J863" s="10">
        <v>4.0408336877924292E-2</v>
      </c>
      <c r="K863">
        <v>0</v>
      </c>
      <c r="L863">
        <v>0</v>
      </c>
      <c r="M863">
        <v>1</v>
      </c>
      <c r="N863" s="10">
        <v>0.46540826481529751</v>
      </c>
      <c r="O863" s="11">
        <v>0.53023535014118328</v>
      </c>
      <c r="P863" s="10">
        <v>0.625</v>
      </c>
      <c r="Q863">
        <v>0</v>
      </c>
      <c r="R863">
        <v>0</v>
      </c>
      <c r="S863">
        <v>0</v>
      </c>
      <c r="T863">
        <v>0</v>
      </c>
      <c r="U863">
        <v>0</v>
      </c>
      <c r="V863" s="10">
        <v>3.9436619718309862E-2</v>
      </c>
      <c r="W863" s="5">
        <v>3</v>
      </c>
      <c r="X863" s="5">
        <v>2</v>
      </c>
      <c r="Y863" s="5">
        <v>3</v>
      </c>
      <c r="Z863" s="5">
        <v>8</v>
      </c>
    </row>
    <row r="864" spans="1:26" x14ac:dyDescent="0.35">
      <c r="A864">
        <v>863</v>
      </c>
      <c r="B864" s="10">
        <v>0.74509803921568629</v>
      </c>
      <c r="C864">
        <v>1</v>
      </c>
      <c r="D864">
        <v>0</v>
      </c>
      <c r="E864">
        <v>0</v>
      </c>
      <c r="F864">
        <v>1</v>
      </c>
      <c r="G864">
        <v>0</v>
      </c>
      <c r="H864">
        <v>3</v>
      </c>
      <c r="I864">
        <v>0</v>
      </c>
      <c r="J864" s="10">
        <v>0.53041259038706934</v>
      </c>
      <c r="K864">
        <v>0</v>
      </c>
      <c r="L864">
        <v>0</v>
      </c>
      <c r="M864">
        <v>1</v>
      </c>
      <c r="N864" s="10">
        <v>0.30247849678932776</v>
      </c>
      <c r="O864" s="11">
        <v>0.29636698640099107</v>
      </c>
      <c r="P864" s="10">
        <v>0.75</v>
      </c>
      <c r="Q864">
        <v>2</v>
      </c>
      <c r="R864">
        <v>1</v>
      </c>
      <c r="S864">
        <v>0</v>
      </c>
      <c r="T864">
        <v>1</v>
      </c>
      <c r="U864">
        <v>0</v>
      </c>
      <c r="V864" s="10">
        <v>9.5774647887323941E-2</v>
      </c>
      <c r="W864" s="5">
        <v>2</v>
      </c>
      <c r="X864" s="5">
        <v>2</v>
      </c>
      <c r="Y864" s="5">
        <v>2</v>
      </c>
      <c r="Z864" s="5">
        <v>6</v>
      </c>
    </row>
    <row r="865" spans="1:26" x14ac:dyDescent="0.35">
      <c r="A865">
        <v>864</v>
      </c>
      <c r="B865" s="10">
        <v>1.9607843137254902E-2</v>
      </c>
      <c r="C865">
        <v>1</v>
      </c>
      <c r="D865">
        <v>0</v>
      </c>
      <c r="E865">
        <v>0</v>
      </c>
      <c r="F865">
        <v>0</v>
      </c>
      <c r="G865">
        <v>1</v>
      </c>
      <c r="H865">
        <v>2</v>
      </c>
      <c r="I865">
        <v>0</v>
      </c>
      <c r="J865" s="10">
        <v>0.6937473415567843</v>
      </c>
      <c r="K865">
        <v>0</v>
      </c>
      <c r="L865">
        <v>1</v>
      </c>
      <c r="M865">
        <v>0</v>
      </c>
      <c r="N865" s="10">
        <v>0.45238193967253515</v>
      </c>
      <c r="O865" s="11">
        <v>0.44184562494790064</v>
      </c>
      <c r="P865" s="10">
        <v>0.75</v>
      </c>
      <c r="Q865">
        <v>0</v>
      </c>
      <c r="R865">
        <v>0</v>
      </c>
      <c r="S865">
        <v>0</v>
      </c>
      <c r="T865">
        <v>0</v>
      </c>
      <c r="U865">
        <v>0</v>
      </c>
      <c r="V865" s="10">
        <v>2.8169014084507043E-2</v>
      </c>
      <c r="W865" s="5">
        <v>3</v>
      </c>
      <c r="X865" s="5">
        <v>2</v>
      </c>
      <c r="Y865" s="5">
        <v>2</v>
      </c>
      <c r="Z865" s="5">
        <v>7</v>
      </c>
    </row>
    <row r="866" spans="1:26" x14ac:dyDescent="0.35">
      <c r="A866">
        <v>865</v>
      </c>
      <c r="B866" s="10">
        <v>0.19607843137254902</v>
      </c>
      <c r="C866">
        <v>0</v>
      </c>
      <c r="D866">
        <v>0</v>
      </c>
      <c r="E866">
        <v>0</v>
      </c>
      <c r="F866">
        <v>0</v>
      </c>
      <c r="G866">
        <v>1</v>
      </c>
      <c r="H866">
        <v>2</v>
      </c>
      <c r="I866">
        <v>0</v>
      </c>
      <c r="J866" s="10">
        <v>0.9591663122075712</v>
      </c>
      <c r="K866">
        <v>1</v>
      </c>
      <c r="L866">
        <v>0</v>
      </c>
      <c r="M866">
        <v>0</v>
      </c>
      <c r="N866" s="10">
        <v>0.80855922564746585</v>
      </c>
      <c r="O866" s="11">
        <v>0.61250729390933434</v>
      </c>
      <c r="P866" s="10">
        <v>1</v>
      </c>
      <c r="Q866">
        <v>1</v>
      </c>
      <c r="R866">
        <v>1</v>
      </c>
      <c r="S866">
        <v>0</v>
      </c>
      <c r="T866">
        <v>1</v>
      </c>
      <c r="U866">
        <v>0</v>
      </c>
      <c r="V866" s="10">
        <v>0.30985915492957744</v>
      </c>
      <c r="W866" s="5">
        <v>1</v>
      </c>
      <c r="X866" s="5">
        <v>3</v>
      </c>
      <c r="Y866" s="5">
        <v>3</v>
      </c>
      <c r="Z866" s="5">
        <v>7</v>
      </c>
    </row>
    <row r="867" spans="1:26" x14ac:dyDescent="0.35">
      <c r="A867">
        <v>866</v>
      </c>
      <c r="B867" s="10">
        <v>0.11764705882352941</v>
      </c>
      <c r="C867">
        <v>0</v>
      </c>
      <c r="D867">
        <v>0</v>
      </c>
      <c r="E867">
        <v>0</v>
      </c>
      <c r="F867">
        <v>0</v>
      </c>
      <c r="G867">
        <v>1</v>
      </c>
      <c r="H867">
        <v>3</v>
      </c>
      <c r="I867">
        <v>0</v>
      </c>
      <c r="J867" s="10">
        <v>1</v>
      </c>
      <c r="K867">
        <v>0</v>
      </c>
      <c r="L867">
        <v>1</v>
      </c>
      <c r="M867">
        <v>0</v>
      </c>
      <c r="N867" s="10">
        <v>0.12744650854204678</v>
      </c>
      <c r="O867" s="11">
        <v>0.44275538743234272</v>
      </c>
      <c r="P867" s="10">
        <v>0.125</v>
      </c>
      <c r="Q867">
        <v>0</v>
      </c>
      <c r="R867">
        <v>0</v>
      </c>
      <c r="S867">
        <v>0</v>
      </c>
      <c r="T867">
        <v>0</v>
      </c>
      <c r="U867">
        <v>0</v>
      </c>
      <c r="V867" s="10">
        <v>0.47042253521126759</v>
      </c>
      <c r="W867" s="5">
        <v>1</v>
      </c>
      <c r="X867" s="5">
        <v>1</v>
      </c>
      <c r="Y867" s="5">
        <v>1</v>
      </c>
      <c r="Z867" s="5">
        <v>3</v>
      </c>
    </row>
    <row r="868" spans="1:26" x14ac:dyDescent="0.35">
      <c r="A868">
        <v>867</v>
      </c>
      <c r="B868" s="10">
        <v>0.11764705882352941</v>
      </c>
      <c r="C868">
        <v>1</v>
      </c>
      <c r="D868">
        <v>0</v>
      </c>
      <c r="E868">
        <v>1</v>
      </c>
      <c r="F868">
        <v>0</v>
      </c>
      <c r="G868">
        <v>0</v>
      </c>
      <c r="H868">
        <v>1</v>
      </c>
      <c r="I868">
        <v>0</v>
      </c>
      <c r="J868" s="10">
        <v>0.36707783921735437</v>
      </c>
      <c r="K868">
        <v>0</v>
      </c>
      <c r="L868">
        <v>1</v>
      </c>
      <c r="M868">
        <v>0</v>
      </c>
      <c r="N868" s="10">
        <v>0.28889830106864439</v>
      </c>
      <c r="O868" s="11">
        <v>0.33038558790585998</v>
      </c>
      <c r="P868" s="10">
        <v>0.625</v>
      </c>
      <c r="Q868">
        <v>0</v>
      </c>
      <c r="R868">
        <v>0</v>
      </c>
      <c r="S868">
        <v>0</v>
      </c>
      <c r="T868">
        <v>0</v>
      </c>
      <c r="U868">
        <v>0</v>
      </c>
      <c r="V868" s="10">
        <v>5.9154929577464786E-2</v>
      </c>
      <c r="W868" s="5">
        <v>3</v>
      </c>
      <c r="X868" s="5">
        <v>2</v>
      </c>
      <c r="Y868" s="5">
        <v>2</v>
      </c>
      <c r="Z868" s="5">
        <v>7</v>
      </c>
    </row>
    <row r="869" spans="1:26" x14ac:dyDescent="0.35">
      <c r="A869">
        <v>868</v>
      </c>
      <c r="B869" s="10">
        <v>0.74509803921568629</v>
      </c>
      <c r="C869">
        <v>1</v>
      </c>
      <c r="D869">
        <v>0</v>
      </c>
      <c r="E869">
        <v>1</v>
      </c>
      <c r="F869">
        <v>0</v>
      </c>
      <c r="G869">
        <v>0</v>
      </c>
      <c r="H869">
        <v>3</v>
      </c>
      <c r="I869">
        <v>0</v>
      </c>
      <c r="J869" s="10">
        <v>0.24457677584006807</v>
      </c>
      <c r="K869">
        <v>0</v>
      </c>
      <c r="L869">
        <v>1</v>
      </c>
      <c r="M869">
        <v>0</v>
      </c>
      <c r="N869" s="10">
        <v>0.54741665284458452</v>
      </c>
      <c r="O869" s="11">
        <v>0.62308765434582858</v>
      </c>
      <c r="P869" s="10">
        <v>0.625</v>
      </c>
      <c r="Q869">
        <v>0</v>
      </c>
      <c r="R869">
        <v>0</v>
      </c>
      <c r="S869">
        <v>0</v>
      </c>
      <c r="T869">
        <v>0</v>
      </c>
      <c r="U869">
        <v>0</v>
      </c>
      <c r="V869" s="10">
        <v>0.17183098591549295</v>
      </c>
      <c r="W869" s="5">
        <v>2</v>
      </c>
      <c r="X869" s="5">
        <v>2</v>
      </c>
      <c r="Y869" s="5">
        <v>3</v>
      </c>
      <c r="Z869" s="5">
        <v>7</v>
      </c>
    </row>
    <row r="870" spans="1:26" x14ac:dyDescent="0.35">
      <c r="A870">
        <v>869</v>
      </c>
      <c r="B870" s="10">
        <v>0.74509803921568629</v>
      </c>
      <c r="C870">
        <v>1</v>
      </c>
      <c r="D870">
        <v>0</v>
      </c>
      <c r="E870">
        <v>1</v>
      </c>
      <c r="F870">
        <v>0</v>
      </c>
      <c r="G870">
        <v>0</v>
      </c>
      <c r="H870">
        <v>3</v>
      </c>
      <c r="I870">
        <v>1</v>
      </c>
      <c r="J870" s="10">
        <v>0.38749468311356872</v>
      </c>
      <c r="K870">
        <v>0</v>
      </c>
      <c r="L870">
        <v>0</v>
      </c>
      <c r="M870">
        <v>1</v>
      </c>
      <c r="N870" s="10">
        <v>0.503003340994716</v>
      </c>
      <c r="O870" s="11">
        <v>0.49097279910777164</v>
      </c>
      <c r="P870" s="10">
        <v>0.75</v>
      </c>
      <c r="Q870">
        <v>2</v>
      </c>
      <c r="R870">
        <v>1</v>
      </c>
      <c r="S870">
        <v>1</v>
      </c>
      <c r="T870">
        <v>0</v>
      </c>
      <c r="U870">
        <v>1</v>
      </c>
      <c r="V870" s="10">
        <v>0.21971830985915494</v>
      </c>
      <c r="W870" s="5">
        <v>2</v>
      </c>
      <c r="X870" s="5">
        <v>2</v>
      </c>
      <c r="Y870" s="5">
        <v>3</v>
      </c>
      <c r="Z870" s="5">
        <v>7</v>
      </c>
    </row>
    <row r="871" spans="1:26" x14ac:dyDescent="0.35">
      <c r="A871">
        <v>870</v>
      </c>
      <c r="B871" s="10">
        <v>0.21568627450980393</v>
      </c>
      <c r="C871">
        <v>1</v>
      </c>
      <c r="D871">
        <v>0</v>
      </c>
      <c r="E871">
        <v>1</v>
      </c>
      <c r="F871">
        <v>0</v>
      </c>
      <c r="G871">
        <v>0</v>
      </c>
      <c r="H871">
        <v>3</v>
      </c>
      <c r="I871">
        <v>0</v>
      </c>
      <c r="J871" s="10">
        <v>0.7345810293492131</v>
      </c>
      <c r="K871">
        <v>0</v>
      </c>
      <c r="L871">
        <v>1</v>
      </c>
      <c r="M871">
        <v>0</v>
      </c>
      <c r="N871" s="10">
        <v>0.1033723905883468</v>
      </c>
      <c r="O871" s="11">
        <v>0.7219662367452061</v>
      </c>
      <c r="P871" s="10">
        <v>0</v>
      </c>
      <c r="Q871">
        <v>1</v>
      </c>
      <c r="R871">
        <v>1</v>
      </c>
      <c r="S871">
        <v>0</v>
      </c>
      <c r="T871">
        <v>1</v>
      </c>
      <c r="U871">
        <v>0</v>
      </c>
      <c r="V871" s="10">
        <v>0.91830985915492958</v>
      </c>
      <c r="W871" s="5">
        <v>1</v>
      </c>
      <c r="X871" s="5">
        <v>1</v>
      </c>
      <c r="Y871" s="5">
        <v>1</v>
      </c>
      <c r="Z871" s="5">
        <v>3</v>
      </c>
    </row>
    <row r="872" spans="1:26" x14ac:dyDescent="0.35">
      <c r="A872">
        <v>871</v>
      </c>
      <c r="B872" s="10">
        <v>0.98039215686274506</v>
      </c>
      <c r="C872">
        <v>0</v>
      </c>
      <c r="D872">
        <v>1</v>
      </c>
      <c r="E872">
        <v>0</v>
      </c>
      <c r="F872">
        <v>0</v>
      </c>
      <c r="G872">
        <v>0</v>
      </c>
      <c r="H872">
        <v>2</v>
      </c>
      <c r="I872">
        <v>0</v>
      </c>
      <c r="J872" s="10">
        <v>0.7754147171416419</v>
      </c>
      <c r="K872">
        <v>0</v>
      </c>
      <c r="L872">
        <v>0</v>
      </c>
      <c r="M872">
        <v>1</v>
      </c>
      <c r="N872" s="10">
        <v>0.37290891642774204</v>
      </c>
      <c r="O872" s="11">
        <v>0.63825730900018107</v>
      </c>
      <c r="P872" s="10">
        <v>0.375</v>
      </c>
      <c r="Q872">
        <v>2</v>
      </c>
      <c r="R872">
        <v>1</v>
      </c>
      <c r="S872">
        <v>1</v>
      </c>
      <c r="T872">
        <v>1</v>
      </c>
      <c r="U872">
        <v>0</v>
      </c>
      <c r="V872" s="10">
        <v>0.19436619718309858</v>
      </c>
      <c r="W872" s="5">
        <v>2</v>
      </c>
      <c r="X872" s="5">
        <v>2</v>
      </c>
      <c r="Y872" s="5">
        <v>2</v>
      </c>
      <c r="Z872" s="5">
        <v>6</v>
      </c>
    </row>
    <row r="873" spans="1:26" x14ac:dyDescent="0.35">
      <c r="A873">
        <v>872</v>
      </c>
      <c r="B873" s="10">
        <v>0.41176470588235292</v>
      </c>
      <c r="C873">
        <v>1</v>
      </c>
      <c r="D873">
        <v>1</v>
      </c>
      <c r="E873">
        <v>0</v>
      </c>
      <c r="F873">
        <v>0</v>
      </c>
      <c r="G873">
        <v>0</v>
      </c>
      <c r="H873">
        <v>3</v>
      </c>
      <c r="I873">
        <v>0</v>
      </c>
      <c r="J873" s="10">
        <v>0.32624415142492558</v>
      </c>
      <c r="K873">
        <v>0</v>
      </c>
      <c r="L873">
        <v>1</v>
      </c>
      <c r="M873">
        <v>0</v>
      </c>
      <c r="N873" s="10">
        <v>0.79978615264317687</v>
      </c>
      <c r="O873" s="11">
        <v>0.68162085756252633</v>
      </c>
      <c r="P873" s="10">
        <v>0.875</v>
      </c>
      <c r="Q873">
        <v>0</v>
      </c>
      <c r="R873">
        <v>0</v>
      </c>
      <c r="S873">
        <v>0</v>
      </c>
      <c r="T873">
        <v>0</v>
      </c>
      <c r="U873">
        <v>0</v>
      </c>
      <c r="V873" s="10">
        <v>5.9154929577464786E-2</v>
      </c>
      <c r="W873" s="5">
        <v>3</v>
      </c>
      <c r="X873" s="5">
        <v>3</v>
      </c>
      <c r="Y873" s="5">
        <v>3</v>
      </c>
      <c r="Z873" s="5">
        <v>9</v>
      </c>
    </row>
    <row r="874" spans="1:26" x14ac:dyDescent="0.35">
      <c r="A874">
        <v>873</v>
      </c>
      <c r="B874" s="10">
        <v>0.98039215686274506</v>
      </c>
      <c r="C874">
        <v>1</v>
      </c>
      <c r="D874">
        <v>0</v>
      </c>
      <c r="E874">
        <v>0</v>
      </c>
      <c r="F874">
        <v>1</v>
      </c>
      <c r="G874">
        <v>0</v>
      </c>
      <c r="H874">
        <v>2</v>
      </c>
      <c r="I874">
        <v>0</v>
      </c>
      <c r="J874" s="10">
        <v>0.93874946831135686</v>
      </c>
      <c r="K874">
        <v>0</v>
      </c>
      <c r="L874">
        <v>1</v>
      </c>
      <c r="M874">
        <v>0</v>
      </c>
      <c r="N874" s="10">
        <v>0.25440134587588559</v>
      </c>
      <c r="O874" s="11">
        <v>0.58265424522290854</v>
      </c>
      <c r="P874" s="10">
        <v>0.25</v>
      </c>
      <c r="Q874">
        <v>0</v>
      </c>
      <c r="R874">
        <v>0</v>
      </c>
      <c r="S874">
        <v>0</v>
      </c>
      <c r="T874">
        <v>0</v>
      </c>
      <c r="U874">
        <v>0</v>
      </c>
      <c r="V874" s="10">
        <v>0.11830985915492957</v>
      </c>
      <c r="W874" s="5">
        <v>2</v>
      </c>
      <c r="X874" s="5">
        <v>2</v>
      </c>
      <c r="Y874" s="5">
        <v>2</v>
      </c>
      <c r="Z874" s="5">
        <v>6</v>
      </c>
    </row>
    <row r="875" spans="1:26" x14ac:dyDescent="0.35">
      <c r="A875">
        <v>874</v>
      </c>
      <c r="B875" s="10">
        <v>0.98039215686274506</v>
      </c>
      <c r="C875">
        <v>0</v>
      </c>
      <c r="D875">
        <v>0</v>
      </c>
      <c r="E875">
        <v>1</v>
      </c>
      <c r="F875">
        <v>0</v>
      </c>
      <c r="G875">
        <v>0</v>
      </c>
      <c r="H875">
        <v>1</v>
      </c>
      <c r="I875">
        <v>0</v>
      </c>
      <c r="J875" s="10">
        <v>0.16290940025521056</v>
      </c>
      <c r="K875">
        <v>1</v>
      </c>
      <c r="L875">
        <v>0</v>
      </c>
      <c r="M875">
        <v>0</v>
      </c>
      <c r="N875" s="10">
        <v>0.14169904983058074</v>
      </c>
      <c r="O875" s="11">
        <v>0.98233364856435734</v>
      </c>
      <c r="P875" s="10">
        <v>0</v>
      </c>
      <c r="Q875">
        <v>2</v>
      </c>
      <c r="R875">
        <v>0</v>
      </c>
      <c r="S875">
        <v>0</v>
      </c>
      <c r="T875">
        <v>1</v>
      </c>
      <c r="U875">
        <v>1</v>
      </c>
      <c r="V875" s="10">
        <v>0.3295774647887324</v>
      </c>
      <c r="W875" s="5">
        <v>1</v>
      </c>
      <c r="X875" s="5">
        <v>1</v>
      </c>
      <c r="Y875" s="5">
        <v>1</v>
      </c>
      <c r="Z875" s="5">
        <v>3</v>
      </c>
    </row>
    <row r="876" spans="1:26" x14ac:dyDescent="0.35">
      <c r="A876">
        <v>875</v>
      </c>
      <c r="B876" s="10">
        <v>1</v>
      </c>
      <c r="C876">
        <v>0</v>
      </c>
      <c r="D876">
        <v>0</v>
      </c>
      <c r="E876">
        <v>0</v>
      </c>
      <c r="F876">
        <v>1</v>
      </c>
      <c r="G876">
        <v>0</v>
      </c>
      <c r="H876">
        <v>3</v>
      </c>
      <c r="I876">
        <v>0</v>
      </c>
      <c r="J876" s="10">
        <v>0.18332624415142493</v>
      </c>
      <c r="K876">
        <v>0</v>
      </c>
      <c r="L876">
        <v>1</v>
      </c>
      <c r="M876">
        <v>0</v>
      </c>
      <c r="N876" s="10">
        <v>0.6092309788403667</v>
      </c>
      <c r="O876" s="11">
        <v>0.5198067365540554</v>
      </c>
      <c r="P876" s="10">
        <v>0.875</v>
      </c>
      <c r="Q876">
        <v>0</v>
      </c>
      <c r="R876">
        <v>0</v>
      </c>
      <c r="S876">
        <v>0</v>
      </c>
      <c r="T876">
        <v>0</v>
      </c>
      <c r="U876">
        <v>0</v>
      </c>
      <c r="V876" s="10">
        <v>3.0985915492957747E-2</v>
      </c>
      <c r="W876" s="5">
        <v>3</v>
      </c>
      <c r="X876" s="5">
        <v>3</v>
      </c>
      <c r="Y876" s="5">
        <v>3</v>
      </c>
      <c r="Z876" s="5">
        <v>9</v>
      </c>
    </row>
    <row r="877" spans="1:26" x14ac:dyDescent="0.35">
      <c r="A877">
        <v>876</v>
      </c>
      <c r="B877" s="10">
        <v>3.9215686274509803E-2</v>
      </c>
      <c r="C877">
        <v>0</v>
      </c>
      <c r="D877">
        <v>0</v>
      </c>
      <c r="E877">
        <v>0</v>
      </c>
      <c r="F877">
        <v>0</v>
      </c>
      <c r="G877">
        <v>1</v>
      </c>
      <c r="H877">
        <v>1</v>
      </c>
      <c r="I877">
        <v>0</v>
      </c>
      <c r="J877" s="10">
        <v>8.1242024670353047E-2</v>
      </c>
      <c r="K877">
        <v>0</v>
      </c>
      <c r="L877">
        <v>0</v>
      </c>
      <c r="M877">
        <v>1</v>
      </c>
      <c r="N877" s="10">
        <v>0.57188470013980042</v>
      </c>
      <c r="O877" s="11">
        <v>0.4880933217972192</v>
      </c>
      <c r="P877" s="10">
        <v>0.875</v>
      </c>
      <c r="Q877">
        <v>1</v>
      </c>
      <c r="R877">
        <v>0</v>
      </c>
      <c r="S877">
        <v>0</v>
      </c>
      <c r="T877">
        <v>1</v>
      </c>
      <c r="U877">
        <v>0</v>
      </c>
      <c r="V877" s="10">
        <v>8.4507042253521118E-3</v>
      </c>
      <c r="W877" s="5">
        <v>3</v>
      </c>
      <c r="X877" s="5">
        <v>3</v>
      </c>
      <c r="Y877" s="5">
        <v>3</v>
      </c>
      <c r="Z877" s="5">
        <v>9</v>
      </c>
    </row>
    <row r="878" spans="1:26" x14ac:dyDescent="0.35">
      <c r="A878">
        <v>877</v>
      </c>
      <c r="B878" s="10">
        <v>0.23529411764705882</v>
      </c>
      <c r="C878">
        <v>0</v>
      </c>
      <c r="D878">
        <v>0</v>
      </c>
      <c r="E878">
        <v>1</v>
      </c>
      <c r="F878">
        <v>0</v>
      </c>
      <c r="G878">
        <v>0</v>
      </c>
      <c r="H878">
        <v>3</v>
      </c>
      <c r="I878">
        <v>0</v>
      </c>
      <c r="J878" s="10">
        <v>0.7345810293492131</v>
      </c>
      <c r="K878">
        <v>0</v>
      </c>
      <c r="L878">
        <v>1</v>
      </c>
      <c r="M878">
        <v>0</v>
      </c>
      <c r="N878" s="10">
        <v>0.64561464824775483</v>
      </c>
      <c r="O878" s="11">
        <v>0.62937454907112245</v>
      </c>
      <c r="P878" s="10">
        <v>0.75</v>
      </c>
      <c r="Q878">
        <v>0</v>
      </c>
      <c r="R878">
        <v>0</v>
      </c>
      <c r="S878">
        <v>0</v>
      </c>
      <c r="T878">
        <v>0</v>
      </c>
      <c r="U878">
        <v>0</v>
      </c>
      <c r="V878" s="10">
        <v>8.4507042253521125E-2</v>
      </c>
      <c r="W878" s="5">
        <v>2</v>
      </c>
      <c r="X878" s="5">
        <v>2</v>
      </c>
      <c r="Y878" s="5">
        <v>3</v>
      </c>
      <c r="Z878" s="5">
        <v>7</v>
      </c>
    </row>
    <row r="879" spans="1:26" x14ac:dyDescent="0.35">
      <c r="A879">
        <v>878</v>
      </c>
      <c r="B879" s="10">
        <v>0.56862745098039214</v>
      </c>
      <c r="C879">
        <v>1</v>
      </c>
      <c r="D879">
        <v>1</v>
      </c>
      <c r="E879">
        <v>0</v>
      </c>
      <c r="F879">
        <v>0</v>
      </c>
      <c r="G879">
        <v>0</v>
      </c>
      <c r="H879">
        <v>2</v>
      </c>
      <c r="I879">
        <v>0</v>
      </c>
      <c r="J879" s="10">
        <v>0.9591663122075712</v>
      </c>
      <c r="K879">
        <v>0</v>
      </c>
      <c r="L879">
        <v>1</v>
      </c>
      <c r="M879">
        <v>0</v>
      </c>
      <c r="N879" s="10">
        <v>0.64326588157239994</v>
      </c>
      <c r="O879" s="11">
        <v>0.54870822350550308</v>
      </c>
      <c r="P879" s="10">
        <v>0.875</v>
      </c>
      <c r="Q879">
        <v>0</v>
      </c>
      <c r="R879">
        <v>0</v>
      </c>
      <c r="S879">
        <v>0</v>
      </c>
      <c r="T879">
        <v>0</v>
      </c>
      <c r="U879">
        <v>0</v>
      </c>
      <c r="V879" s="10">
        <v>0.23380281690140844</v>
      </c>
      <c r="W879" s="5">
        <v>1</v>
      </c>
      <c r="X879" s="5">
        <v>3</v>
      </c>
      <c r="Y879" s="5">
        <v>3</v>
      </c>
      <c r="Z879" s="5">
        <v>7</v>
      </c>
    </row>
    <row r="880" spans="1:26" x14ac:dyDescent="0.35">
      <c r="A880">
        <v>879</v>
      </c>
      <c r="B880" s="10">
        <v>0.17647058823529413</v>
      </c>
      <c r="C880">
        <v>1</v>
      </c>
      <c r="D880">
        <v>0</v>
      </c>
      <c r="E880">
        <v>1</v>
      </c>
      <c r="F880">
        <v>0</v>
      </c>
      <c r="G880">
        <v>0</v>
      </c>
      <c r="H880">
        <v>1</v>
      </c>
      <c r="I880">
        <v>0</v>
      </c>
      <c r="J880" s="10">
        <v>0.7754147171416419</v>
      </c>
      <c r="K880">
        <v>0</v>
      </c>
      <c r="L880">
        <v>0</v>
      </c>
      <c r="M880">
        <v>1</v>
      </c>
      <c r="N880" s="10">
        <v>9.4273511361751522E-2</v>
      </c>
      <c r="O880" s="11">
        <v>0.66015412784965488</v>
      </c>
      <c r="P880" s="10">
        <v>0</v>
      </c>
      <c r="Q880">
        <v>1</v>
      </c>
      <c r="R880">
        <v>0</v>
      </c>
      <c r="S880">
        <v>0</v>
      </c>
      <c r="T880">
        <v>0</v>
      </c>
      <c r="U880">
        <v>1</v>
      </c>
      <c r="V880" s="10">
        <v>5.0704225352112678E-2</v>
      </c>
      <c r="W880" s="5">
        <v>3</v>
      </c>
      <c r="X880" s="5">
        <v>1</v>
      </c>
      <c r="Y880" s="5">
        <v>1</v>
      </c>
      <c r="Z880" s="5">
        <v>5</v>
      </c>
    </row>
    <row r="881" spans="1:26" x14ac:dyDescent="0.35">
      <c r="A881">
        <v>880</v>
      </c>
      <c r="B881" s="10">
        <v>1</v>
      </c>
      <c r="C881">
        <v>0</v>
      </c>
      <c r="D881">
        <v>0</v>
      </c>
      <c r="E881">
        <v>0</v>
      </c>
      <c r="F881">
        <v>0</v>
      </c>
      <c r="G881">
        <v>1</v>
      </c>
      <c r="H881">
        <v>3</v>
      </c>
      <c r="I881">
        <v>0</v>
      </c>
      <c r="J881" s="10">
        <v>1</v>
      </c>
      <c r="K881">
        <v>0</v>
      </c>
      <c r="L881">
        <v>0</v>
      </c>
      <c r="M881">
        <v>1</v>
      </c>
      <c r="N881" s="10">
        <v>0.38546726536028242</v>
      </c>
      <c r="O881" s="11">
        <v>0.37690611768561022</v>
      </c>
      <c r="P881" s="10">
        <v>0.75</v>
      </c>
      <c r="Q881">
        <v>2</v>
      </c>
      <c r="R881">
        <v>0</v>
      </c>
      <c r="S881">
        <v>0</v>
      </c>
      <c r="T881">
        <v>0</v>
      </c>
      <c r="U881">
        <v>1</v>
      </c>
      <c r="V881" s="10">
        <v>0.26197183098591548</v>
      </c>
      <c r="W881" s="5">
        <v>1</v>
      </c>
      <c r="X881" s="5">
        <v>2</v>
      </c>
      <c r="Y881" s="5">
        <v>2</v>
      </c>
      <c r="Z881" s="5">
        <v>5</v>
      </c>
    </row>
    <row r="882" spans="1:26" x14ac:dyDescent="0.35">
      <c r="A882">
        <v>881</v>
      </c>
      <c r="B882" s="10">
        <v>0.15686274509803921</v>
      </c>
      <c r="C882">
        <v>0</v>
      </c>
      <c r="D882">
        <v>0</v>
      </c>
      <c r="E882">
        <v>0</v>
      </c>
      <c r="F882">
        <v>1</v>
      </c>
      <c r="G882">
        <v>0</v>
      </c>
      <c r="H882">
        <v>1</v>
      </c>
      <c r="I882">
        <v>0</v>
      </c>
      <c r="J882" s="10">
        <v>1</v>
      </c>
      <c r="K882">
        <v>0</v>
      </c>
      <c r="L882">
        <v>1</v>
      </c>
      <c r="M882">
        <v>0</v>
      </c>
      <c r="N882" s="10">
        <v>5.3159727981423113E-2</v>
      </c>
      <c r="O882" s="11">
        <v>0.38085273345540149</v>
      </c>
      <c r="P882" s="10">
        <v>0</v>
      </c>
      <c r="Q882">
        <v>2</v>
      </c>
      <c r="R882">
        <v>1</v>
      </c>
      <c r="S882">
        <v>1</v>
      </c>
      <c r="T882">
        <v>1</v>
      </c>
      <c r="U882">
        <v>0</v>
      </c>
      <c r="V882" s="10">
        <v>0.29859154929577464</v>
      </c>
      <c r="W882" s="5">
        <v>1</v>
      </c>
      <c r="X882" s="5">
        <v>1</v>
      </c>
      <c r="Y882" s="5">
        <v>1</v>
      </c>
      <c r="Z882" s="5">
        <v>3</v>
      </c>
    </row>
    <row r="883" spans="1:26" x14ac:dyDescent="0.35">
      <c r="A883">
        <v>882</v>
      </c>
      <c r="B883" s="10">
        <v>9.8039215686274508E-2</v>
      </c>
      <c r="C883">
        <v>1</v>
      </c>
      <c r="D883">
        <v>0</v>
      </c>
      <c r="E883">
        <v>1</v>
      </c>
      <c r="F883">
        <v>0</v>
      </c>
      <c r="G883">
        <v>0</v>
      </c>
      <c r="H883">
        <v>2</v>
      </c>
      <c r="I883">
        <v>0</v>
      </c>
      <c r="J883" s="10">
        <v>0.91833262441514252</v>
      </c>
      <c r="K883">
        <v>0</v>
      </c>
      <c r="L883">
        <v>1</v>
      </c>
      <c r="M883">
        <v>0</v>
      </c>
      <c r="N883" s="10">
        <v>0.21783404023410657</v>
      </c>
      <c r="O883" s="11">
        <v>0.4998490915310167</v>
      </c>
      <c r="P883" s="10">
        <v>0.25</v>
      </c>
      <c r="Q883">
        <v>0</v>
      </c>
      <c r="R883">
        <v>0</v>
      </c>
      <c r="S883">
        <v>0</v>
      </c>
      <c r="T883">
        <v>0</v>
      </c>
      <c r="U883">
        <v>0</v>
      </c>
      <c r="V883" s="10">
        <v>0.13802816901408452</v>
      </c>
      <c r="W883" s="5">
        <v>2</v>
      </c>
      <c r="X883" s="5">
        <v>2</v>
      </c>
      <c r="Y883" s="5">
        <v>1</v>
      </c>
      <c r="Z883" s="5">
        <v>5</v>
      </c>
    </row>
    <row r="884" spans="1:26" x14ac:dyDescent="0.35">
      <c r="A884">
        <v>883</v>
      </c>
      <c r="B884" s="10">
        <v>0.84313725490196079</v>
      </c>
      <c r="C884">
        <v>1</v>
      </c>
      <c r="D884">
        <v>1</v>
      </c>
      <c r="E884">
        <v>0</v>
      </c>
      <c r="F884">
        <v>0</v>
      </c>
      <c r="G884">
        <v>0</v>
      </c>
      <c r="H884">
        <v>2</v>
      </c>
      <c r="I884">
        <v>0</v>
      </c>
      <c r="J884" s="10">
        <v>8.1242024670353047E-2</v>
      </c>
      <c r="K884">
        <v>0</v>
      </c>
      <c r="L884">
        <v>1</v>
      </c>
      <c r="M884">
        <v>0</v>
      </c>
      <c r="N884" s="10">
        <v>0.22714913631732342</v>
      </c>
      <c r="O884" s="11">
        <v>0.22326117513143409</v>
      </c>
      <c r="P884" s="10">
        <v>0.75</v>
      </c>
      <c r="Q884">
        <v>2</v>
      </c>
      <c r="R884">
        <v>1</v>
      </c>
      <c r="S884">
        <v>1</v>
      </c>
      <c r="T884">
        <v>1</v>
      </c>
      <c r="U884">
        <v>0</v>
      </c>
      <c r="V884" s="10">
        <v>0.2</v>
      </c>
      <c r="W884" s="5">
        <v>2</v>
      </c>
      <c r="X884" s="5">
        <v>2</v>
      </c>
      <c r="Y884" s="5">
        <v>1</v>
      </c>
      <c r="Z884" s="5">
        <v>5</v>
      </c>
    </row>
    <row r="885" spans="1:26" x14ac:dyDescent="0.35">
      <c r="A885">
        <v>884</v>
      </c>
      <c r="B885" s="10">
        <v>1.9607843137254902E-2</v>
      </c>
      <c r="C885">
        <v>1</v>
      </c>
      <c r="D885">
        <v>0</v>
      </c>
      <c r="E885">
        <v>0</v>
      </c>
      <c r="F885">
        <v>0</v>
      </c>
      <c r="G885">
        <v>1</v>
      </c>
      <c r="H885">
        <v>3</v>
      </c>
      <c r="I885">
        <v>0</v>
      </c>
      <c r="J885" s="10">
        <v>0.16290940025521056</v>
      </c>
      <c r="K885">
        <v>0</v>
      </c>
      <c r="L885">
        <v>0</v>
      </c>
      <c r="M885">
        <v>1</v>
      </c>
      <c r="N885" s="10">
        <v>0.60991813378195858</v>
      </c>
      <c r="O885" s="11">
        <v>0.46256911048959182</v>
      </c>
      <c r="P885" s="10">
        <v>1</v>
      </c>
      <c r="Q885">
        <v>1</v>
      </c>
      <c r="R885">
        <v>1</v>
      </c>
      <c r="S885">
        <v>0</v>
      </c>
      <c r="T885">
        <v>0</v>
      </c>
      <c r="U885">
        <v>1</v>
      </c>
      <c r="V885" s="10">
        <v>7.0422535211267609E-2</v>
      </c>
      <c r="W885" s="5">
        <v>3</v>
      </c>
      <c r="X885" s="5">
        <v>3</v>
      </c>
      <c r="Y885" s="5">
        <v>3</v>
      </c>
      <c r="Z885" s="5">
        <v>9</v>
      </c>
    </row>
    <row r="886" spans="1:26" x14ac:dyDescent="0.35">
      <c r="A886">
        <v>885</v>
      </c>
      <c r="B886" s="10">
        <v>0.84313725490196079</v>
      </c>
      <c r="C886">
        <v>0</v>
      </c>
      <c r="D886">
        <v>0</v>
      </c>
      <c r="E886">
        <v>0</v>
      </c>
      <c r="F886">
        <v>0</v>
      </c>
      <c r="G886">
        <v>1</v>
      </c>
      <c r="H886">
        <v>3</v>
      </c>
      <c r="I886">
        <v>0</v>
      </c>
      <c r="J886" s="10">
        <v>0.87749893662271372</v>
      </c>
      <c r="K886">
        <v>1</v>
      </c>
      <c r="L886">
        <v>0</v>
      </c>
      <c r="M886">
        <v>0</v>
      </c>
      <c r="N886" s="10">
        <v>0.71713799966826985</v>
      </c>
      <c r="O886" s="11">
        <v>0.54350076348506893</v>
      </c>
      <c r="P886" s="10">
        <v>1</v>
      </c>
      <c r="Q886">
        <v>2</v>
      </c>
      <c r="R886">
        <v>1</v>
      </c>
      <c r="S886">
        <v>0</v>
      </c>
      <c r="T886">
        <v>0</v>
      </c>
      <c r="U886">
        <v>1</v>
      </c>
      <c r="V886" s="10">
        <v>0.17746478873239438</v>
      </c>
      <c r="W886" s="5">
        <v>2</v>
      </c>
      <c r="X886" s="5">
        <v>3</v>
      </c>
      <c r="Y886" s="5">
        <v>3</v>
      </c>
      <c r="Z886" s="5">
        <v>8</v>
      </c>
    </row>
    <row r="887" spans="1:26" x14ac:dyDescent="0.35">
      <c r="A887">
        <v>886</v>
      </c>
      <c r="B887" s="10">
        <v>0.29411764705882354</v>
      </c>
      <c r="C887">
        <v>0</v>
      </c>
      <c r="D887">
        <v>0</v>
      </c>
      <c r="E887">
        <v>0</v>
      </c>
      <c r="F887">
        <v>1</v>
      </c>
      <c r="G887">
        <v>0</v>
      </c>
      <c r="H887">
        <v>1</v>
      </c>
      <c r="I887">
        <v>0</v>
      </c>
      <c r="J887" s="10">
        <v>0.14249255635899619</v>
      </c>
      <c r="K887">
        <v>1</v>
      </c>
      <c r="L887">
        <v>0</v>
      </c>
      <c r="M887">
        <v>0</v>
      </c>
      <c r="N887" s="10">
        <v>0.64806708053929807</v>
      </c>
      <c r="O887" s="11">
        <v>0.6317545912105158</v>
      </c>
      <c r="P887" s="10">
        <v>0.75</v>
      </c>
      <c r="Q887">
        <v>1</v>
      </c>
      <c r="R887">
        <v>0</v>
      </c>
      <c r="S887">
        <v>1</v>
      </c>
      <c r="T887">
        <v>0</v>
      </c>
      <c r="U887">
        <v>0</v>
      </c>
      <c r="V887" s="10">
        <v>0.14647887323943662</v>
      </c>
      <c r="W887" s="5">
        <v>2</v>
      </c>
      <c r="X887" s="5">
        <v>2</v>
      </c>
      <c r="Y887" s="5">
        <v>3</v>
      </c>
      <c r="Z887" s="5">
        <v>7</v>
      </c>
    </row>
    <row r="888" spans="1:26" x14ac:dyDescent="0.35">
      <c r="A888">
        <v>887</v>
      </c>
      <c r="B888" s="10">
        <v>0.23529411764705882</v>
      </c>
      <c r="C888">
        <v>0</v>
      </c>
      <c r="D888">
        <v>0</v>
      </c>
      <c r="E888">
        <v>1</v>
      </c>
      <c r="F888">
        <v>0</v>
      </c>
      <c r="G888">
        <v>0</v>
      </c>
      <c r="H888">
        <v>2</v>
      </c>
      <c r="I888">
        <v>0</v>
      </c>
      <c r="J888" s="10">
        <v>6.0825180774138662E-2</v>
      </c>
      <c r="K888">
        <v>0</v>
      </c>
      <c r="L888">
        <v>1</v>
      </c>
      <c r="M888">
        <v>0</v>
      </c>
      <c r="N888" s="10">
        <v>0.23768452479681537</v>
      </c>
      <c r="O888" s="11">
        <v>0.40859977061912711</v>
      </c>
      <c r="P888" s="10">
        <v>0.375</v>
      </c>
      <c r="Q888">
        <v>2</v>
      </c>
      <c r="R888">
        <v>1</v>
      </c>
      <c r="S888">
        <v>1</v>
      </c>
      <c r="T888">
        <v>0</v>
      </c>
      <c r="U888">
        <v>1</v>
      </c>
      <c r="V888" s="10">
        <v>0.41408450704225352</v>
      </c>
      <c r="W888" s="5">
        <v>1</v>
      </c>
      <c r="X888" s="5">
        <v>2</v>
      </c>
      <c r="Y888" s="5">
        <v>1</v>
      </c>
      <c r="Z888" s="5">
        <v>4</v>
      </c>
    </row>
    <row r="889" spans="1:26" x14ac:dyDescent="0.35">
      <c r="A889">
        <v>888</v>
      </c>
      <c r="B889" s="10">
        <v>0.92156862745098034</v>
      </c>
      <c r="C889">
        <v>1</v>
      </c>
      <c r="D889">
        <v>1</v>
      </c>
      <c r="E889">
        <v>0</v>
      </c>
      <c r="F889">
        <v>0</v>
      </c>
      <c r="G889">
        <v>0</v>
      </c>
      <c r="H889">
        <v>2</v>
      </c>
      <c r="I889">
        <v>0</v>
      </c>
      <c r="J889" s="10">
        <v>1.9991492981709911E-2</v>
      </c>
      <c r="K889">
        <v>0</v>
      </c>
      <c r="L889">
        <v>0</v>
      </c>
      <c r="M889">
        <v>1</v>
      </c>
      <c r="N889" s="10">
        <v>0.12651351799635097</v>
      </c>
      <c r="O889" s="11">
        <v>0.29305753972246257</v>
      </c>
      <c r="P889" s="10">
        <v>0.25</v>
      </c>
      <c r="Q889">
        <v>1</v>
      </c>
      <c r="R889">
        <v>1</v>
      </c>
      <c r="S889">
        <v>0</v>
      </c>
      <c r="T889">
        <v>1</v>
      </c>
      <c r="U889">
        <v>0</v>
      </c>
      <c r="V889" s="10">
        <v>0.11267605633802817</v>
      </c>
      <c r="W889" s="5">
        <v>2</v>
      </c>
      <c r="X889" s="5">
        <v>2</v>
      </c>
      <c r="Y889" s="5">
        <v>1</v>
      </c>
      <c r="Z889" s="5">
        <v>5</v>
      </c>
    </row>
    <row r="890" spans="1:26" x14ac:dyDescent="0.35">
      <c r="A890">
        <v>889</v>
      </c>
      <c r="B890" s="10">
        <v>0.23529411764705882</v>
      </c>
      <c r="C890">
        <v>1</v>
      </c>
      <c r="D890">
        <v>0</v>
      </c>
      <c r="E890">
        <v>1</v>
      </c>
      <c r="F890">
        <v>0</v>
      </c>
      <c r="G890">
        <v>0</v>
      </c>
      <c r="H890">
        <v>3</v>
      </c>
      <c r="I890">
        <v>0</v>
      </c>
      <c r="J890" s="10">
        <v>8.1242024670353047E-2</v>
      </c>
      <c r="K890">
        <v>1</v>
      </c>
      <c r="L890">
        <v>0</v>
      </c>
      <c r="M890">
        <v>0</v>
      </c>
      <c r="N890" s="10">
        <v>8.7991375020733106E-2</v>
      </c>
      <c r="O890" s="11">
        <v>0.15436930320529588</v>
      </c>
      <c r="P890" s="10">
        <v>0.375</v>
      </c>
      <c r="Q890">
        <v>0</v>
      </c>
      <c r="R890">
        <v>0</v>
      </c>
      <c r="S890">
        <v>0</v>
      </c>
      <c r="T890">
        <v>0</v>
      </c>
      <c r="U890">
        <v>0</v>
      </c>
      <c r="V890" s="10">
        <v>0.16338028169014085</v>
      </c>
      <c r="W890" s="5">
        <v>2</v>
      </c>
      <c r="X890" s="5">
        <v>2</v>
      </c>
      <c r="Y890" s="5">
        <v>1</v>
      </c>
      <c r="Z890" s="5">
        <v>5</v>
      </c>
    </row>
    <row r="891" spans="1:26" x14ac:dyDescent="0.35">
      <c r="A891">
        <v>890</v>
      </c>
      <c r="B891" s="10">
        <v>0.41176470588235292</v>
      </c>
      <c r="C891">
        <v>1</v>
      </c>
      <c r="D891">
        <v>1</v>
      </c>
      <c r="E891">
        <v>0</v>
      </c>
      <c r="F891">
        <v>0</v>
      </c>
      <c r="G891">
        <v>0</v>
      </c>
      <c r="H891">
        <v>2</v>
      </c>
      <c r="I891">
        <v>0</v>
      </c>
      <c r="J891" s="10">
        <v>1.9991492981709911E-2</v>
      </c>
      <c r="K891">
        <v>1</v>
      </c>
      <c r="L891">
        <v>0</v>
      </c>
      <c r="M891">
        <v>0</v>
      </c>
      <c r="N891" s="10">
        <v>0.10652974906997133</v>
      </c>
      <c r="O891" s="11">
        <v>0.37170768023501483</v>
      </c>
      <c r="P891" s="10">
        <v>0.125</v>
      </c>
      <c r="Q891">
        <v>2</v>
      </c>
      <c r="R891">
        <v>0</v>
      </c>
      <c r="S891">
        <v>0</v>
      </c>
      <c r="T891">
        <v>1</v>
      </c>
      <c r="U891">
        <v>1</v>
      </c>
      <c r="V891" s="10">
        <v>0.48732394366197185</v>
      </c>
      <c r="W891" s="5">
        <v>1</v>
      </c>
      <c r="X891" s="5">
        <v>1</v>
      </c>
      <c r="Y891" s="5">
        <v>1</v>
      </c>
      <c r="Z891" s="5">
        <v>3</v>
      </c>
    </row>
    <row r="892" spans="1:26" x14ac:dyDescent="0.35">
      <c r="A892">
        <v>891</v>
      </c>
      <c r="B892" s="10">
        <v>0.35294117647058826</v>
      </c>
      <c r="C892">
        <v>0</v>
      </c>
      <c r="D892">
        <v>0</v>
      </c>
      <c r="E892">
        <v>0</v>
      </c>
      <c r="F892">
        <v>1</v>
      </c>
      <c r="G892">
        <v>0</v>
      </c>
      <c r="H892">
        <v>2</v>
      </c>
      <c r="I892">
        <v>0</v>
      </c>
      <c r="J892" s="10">
        <v>0.93874946831135686</v>
      </c>
      <c r="K892">
        <v>0</v>
      </c>
      <c r="L892">
        <v>1</v>
      </c>
      <c r="M892">
        <v>0</v>
      </c>
      <c r="N892" s="10">
        <v>0.47164004928559572</v>
      </c>
      <c r="O892" s="11">
        <v>0.64474939133584175</v>
      </c>
      <c r="P892" s="10">
        <v>0.5</v>
      </c>
      <c r="Q892">
        <v>2</v>
      </c>
      <c r="R892">
        <v>1</v>
      </c>
      <c r="S892">
        <v>0</v>
      </c>
      <c r="T892">
        <v>1</v>
      </c>
      <c r="U892">
        <v>1</v>
      </c>
      <c r="V892" s="10">
        <v>1.1267605633802818E-2</v>
      </c>
      <c r="W892" s="5">
        <v>3</v>
      </c>
      <c r="X892" s="5">
        <v>2</v>
      </c>
      <c r="Y892" s="5">
        <v>3</v>
      </c>
      <c r="Z892" s="5">
        <v>8</v>
      </c>
    </row>
    <row r="893" spans="1:26" x14ac:dyDescent="0.35">
      <c r="A893">
        <v>892</v>
      </c>
      <c r="B893" s="10">
        <v>0.49019607843137253</v>
      </c>
      <c r="C893">
        <v>0</v>
      </c>
      <c r="D893">
        <v>0</v>
      </c>
      <c r="E893">
        <v>0</v>
      </c>
      <c r="F893">
        <v>0</v>
      </c>
      <c r="G893">
        <v>1</v>
      </c>
      <c r="H893">
        <v>2</v>
      </c>
      <c r="I893">
        <v>0</v>
      </c>
      <c r="J893" s="10">
        <v>0.85708209272649938</v>
      </c>
      <c r="K893">
        <v>1</v>
      </c>
      <c r="L893">
        <v>0</v>
      </c>
      <c r="M893">
        <v>0</v>
      </c>
      <c r="N893" s="10">
        <v>5.1361870009241042E-2</v>
      </c>
      <c r="O893" s="11">
        <v>0.36863920803235478</v>
      </c>
      <c r="P893" s="10">
        <v>0</v>
      </c>
      <c r="Q893">
        <v>1</v>
      </c>
      <c r="R893">
        <v>1</v>
      </c>
      <c r="S893">
        <v>0</v>
      </c>
      <c r="T893">
        <v>0</v>
      </c>
      <c r="U893">
        <v>1</v>
      </c>
      <c r="V893" s="10">
        <v>0.24788732394366197</v>
      </c>
      <c r="W893" s="5">
        <v>1</v>
      </c>
      <c r="X893" s="5">
        <v>1</v>
      </c>
      <c r="Y893" s="5">
        <v>1</v>
      </c>
      <c r="Z893" s="5">
        <v>3</v>
      </c>
    </row>
    <row r="894" spans="1:26" x14ac:dyDescent="0.35">
      <c r="A894">
        <v>893</v>
      </c>
      <c r="B894" s="10">
        <v>0.25490196078431371</v>
      </c>
      <c r="C894">
        <v>1</v>
      </c>
      <c r="D894">
        <v>0</v>
      </c>
      <c r="E894">
        <v>0</v>
      </c>
      <c r="F894">
        <v>1</v>
      </c>
      <c r="G894">
        <v>0</v>
      </c>
      <c r="H894">
        <v>1</v>
      </c>
      <c r="I894">
        <v>0</v>
      </c>
      <c r="J894" s="10">
        <v>0.7754147171416419</v>
      </c>
      <c r="K894">
        <v>1</v>
      </c>
      <c r="L894">
        <v>0</v>
      </c>
      <c r="M894">
        <v>0</v>
      </c>
      <c r="N894" s="10">
        <v>0.89363019216643347</v>
      </c>
      <c r="O894" s="11">
        <v>0.67672052422248596</v>
      </c>
      <c r="P894" s="10">
        <v>1</v>
      </c>
      <c r="Q894">
        <v>2</v>
      </c>
      <c r="R894">
        <v>1</v>
      </c>
      <c r="S894">
        <v>1</v>
      </c>
      <c r="T894">
        <v>1</v>
      </c>
      <c r="U894">
        <v>0</v>
      </c>
      <c r="V894" s="10">
        <v>0.26478873239436618</v>
      </c>
      <c r="W894" s="5">
        <v>1</v>
      </c>
      <c r="X894" s="5">
        <v>3</v>
      </c>
      <c r="Y894" s="5">
        <v>3</v>
      </c>
      <c r="Z894" s="5">
        <v>7</v>
      </c>
    </row>
    <row r="895" spans="1:26" x14ac:dyDescent="0.35">
      <c r="A895">
        <v>894</v>
      </c>
      <c r="B895" s="10">
        <v>0.58823529411764708</v>
      </c>
      <c r="C895">
        <v>1</v>
      </c>
      <c r="D895">
        <v>0</v>
      </c>
      <c r="E895">
        <v>0</v>
      </c>
      <c r="F895">
        <v>0</v>
      </c>
      <c r="G895">
        <v>1</v>
      </c>
      <c r="H895">
        <v>1</v>
      </c>
      <c r="I895">
        <v>0</v>
      </c>
      <c r="J895" s="10">
        <v>0.75499787324542744</v>
      </c>
      <c r="K895">
        <v>1</v>
      </c>
      <c r="L895">
        <v>0</v>
      </c>
      <c r="M895">
        <v>0</v>
      </c>
      <c r="N895" s="10">
        <v>0.28832665924223394</v>
      </c>
      <c r="O895" s="11">
        <v>0.65947671649999662</v>
      </c>
      <c r="P895" s="10">
        <v>0.25</v>
      </c>
      <c r="Q895">
        <v>2</v>
      </c>
      <c r="R895">
        <v>1</v>
      </c>
      <c r="S895">
        <v>0</v>
      </c>
      <c r="T895">
        <v>0</v>
      </c>
      <c r="U895">
        <v>1</v>
      </c>
      <c r="V895" s="10">
        <v>0.14929577464788732</v>
      </c>
      <c r="W895" s="5">
        <v>2</v>
      </c>
      <c r="X895" s="5">
        <v>2</v>
      </c>
      <c r="Y895" s="5">
        <v>2</v>
      </c>
      <c r="Z895" s="5">
        <v>6</v>
      </c>
    </row>
    <row r="896" spans="1:26" x14ac:dyDescent="0.35">
      <c r="A896">
        <v>895</v>
      </c>
      <c r="B896" s="10">
        <v>0.5490196078431373</v>
      </c>
      <c r="C896">
        <v>0</v>
      </c>
      <c r="D896">
        <v>0</v>
      </c>
      <c r="E896">
        <v>1</v>
      </c>
      <c r="F896">
        <v>0</v>
      </c>
      <c r="G896">
        <v>0</v>
      </c>
      <c r="H896">
        <v>1</v>
      </c>
      <c r="I896">
        <v>0</v>
      </c>
      <c r="J896" s="10">
        <v>0.24457677584006807</v>
      </c>
      <c r="K896">
        <v>1</v>
      </c>
      <c r="L896">
        <v>0</v>
      </c>
      <c r="M896">
        <v>0</v>
      </c>
      <c r="N896" s="10">
        <v>0.48553420372959272</v>
      </c>
      <c r="O896" s="11">
        <v>0.47401931053513585</v>
      </c>
      <c r="P896" s="10">
        <v>0.75</v>
      </c>
      <c r="Q896">
        <v>0</v>
      </c>
      <c r="R896">
        <v>0</v>
      </c>
      <c r="S896">
        <v>0</v>
      </c>
      <c r="T896">
        <v>0</v>
      </c>
      <c r="U896">
        <v>0</v>
      </c>
      <c r="V896" s="10">
        <v>0.25633802816901408</v>
      </c>
      <c r="W896" s="5">
        <v>1</v>
      </c>
      <c r="X896" s="5">
        <v>2</v>
      </c>
      <c r="Y896" s="5">
        <v>3</v>
      </c>
      <c r="Z896" s="5">
        <v>6</v>
      </c>
    </row>
    <row r="897" spans="1:26" x14ac:dyDescent="0.35">
      <c r="A897">
        <v>896</v>
      </c>
      <c r="B897" s="10">
        <v>0.86274509803921573</v>
      </c>
      <c r="C897">
        <v>0</v>
      </c>
      <c r="D897">
        <v>0</v>
      </c>
      <c r="E897">
        <v>0</v>
      </c>
      <c r="F897">
        <v>0</v>
      </c>
      <c r="G897">
        <v>1</v>
      </c>
      <c r="H897">
        <v>2</v>
      </c>
      <c r="I897">
        <v>0</v>
      </c>
      <c r="J897" s="10">
        <v>0.85708209272649938</v>
      </c>
      <c r="K897">
        <v>0</v>
      </c>
      <c r="L897">
        <v>0</v>
      </c>
      <c r="M897">
        <v>1</v>
      </c>
      <c r="N897" s="10">
        <v>0.41265727554913156</v>
      </c>
      <c r="O897" s="11">
        <v>0.35288184872935069</v>
      </c>
      <c r="P897" s="10">
        <v>0.875</v>
      </c>
      <c r="Q897">
        <v>1</v>
      </c>
      <c r="R897">
        <v>0</v>
      </c>
      <c r="S897">
        <v>0</v>
      </c>
      <c r="T897">
        <v>0</v>
      </c>
      <c r="U897">
        <v>1</v>
      </c>
      <c r="V897" s="10">
        <v>0.20563380281690141</v>
      </c>
      <c r="W897" s="5">
        <v>2</v>
      </c>
      <c r="X897" s="5">
        <v>3</v>
      </c>
      <c r="Y897" s="5">
        <v>2</v>
      </c>
      <c r="Z897" s="5">
        <v>7</v>
      </c>
    </row>
    <row r="898" spans="1:26" x14ac:dyDescent="0.35">
      <c r="A898">
        <v>897</v>
      </c>
      <c r="B898" s="10">
        <v>0.80392156862745101</v>
      </c>
      <c r="C898">
        <v>0</v>
      </c>
      <c r="D898">
        <v>1</v>
      </c>
      <c r="E898">
        <v>0</v>
      </c>
      <c r="F898">
        <v>0</v>
      </c>
      <c r="G898">
        <v>0</v>
      </c>
      <c r="H898">
        <v>3</v>
      </c>
      <c r="I898">
        <v>0</v>
      </c>
      <c r="J898" s="10">
        <v>0.2037430880476393</v>
      </c>
      <c r="K898">
        <v>1</v>
      </c>
      <c r="L898">
        <v>0</v>
      </c>
      <c r="M898">
        <v>0</v>
      </c>
      <c r="N898" s="10">
        <v>0.62657867924081212</v>
      </c>
      <c r="O898" s="11">
        <v>0.53453791826797314</v>
      </c>
      <c r="P898" s="10">
        <v>0.875</v>
      </c>
      <c r="Q898">
        <v>2</v>
      </c>
      <c r="R898">
        <v>1</v>
      </c>
      <c r="S898">
        <v>1</v>
      </c>
      <c r="T898">
        <v>1</v>
      </c>
      <c r="U898">
        <v>0</v>
      </c>
      <c r="V898" s="10">
        <v>0.20281690140845071</v>
      </c>
      <c r="W898" s="5">
        <v>2</v>
      </c>
      <c r="X898" s="5">
        <v>3</v>
      </c>
      <c r="Y898" s="5">
        <v>3</v>
      </c>
      <c r="Z898" s="5">
        <v>8</v>
      </c>
    </row>
    <row r="899" spans="1:26" x14ac:dyDescent="0.35">
      <c r="A899">
        <v>898</v>
      </c>
      <c r="B899" s="10">
        <v>0.41176470588235292</v>
      </c>
      <c r="C899">
        <v>1</v>
      </c>
      <c r="D899">
        <v>0</v>
      </c>
      <c r="E899">
        <v>0</v>
      </c>
      <c r="F899">
        <v>1</v>
      </c>
      <c r="G899">
        <v>0</v>
      </c>
      <c r="H899">
        <v>3</v>
      </c>
      <c r="I899">
        <v>0</v>
      </c>
      <c r="J899" s="10">
        <v>0.9591663122075712</v>
      </c>
      <c r="K899">
        <v>0</v>
      </c>
      <c r="L899">
        <v>0</v>
      </c>
      <c r="M899">
        <v>1</v>
      </c>
      <c r="N899" s="10">
        <v>0.82464516740516047</v>
      </c>
      <c r="O899" s="11">
        <v>0.62464927753967769</v>
      </c>
      <c r="P899" s="10">
        <v>1</v>
      </c>
      <c r="Q899">
        <v>1</v>
      </c>
      <c r="R899">
        <v>1</v>
      </c>
      <c r="S899">
        <v>0</v>
      </c>
      <c r="T899">
        <v>0</v>
      </c>
      <c r="U899">
        <v>1</v>
      </c>
      <c r="V899" s="10">
        <v>0.19718309859154928</v>
      </c>
      <c r="W899" s="5">
        <v>2</v>
      </c>
      <c r="X899" s="5">
        <v>3</v>
      </c>
      <c r="Y899" s="5">
        <v>3</v>
      </c>
      <c r="Z899" s="5">
        <v>8</v>
      </c>
    </row>
    <row r="900" spans="1:26" x14ac:dyDescent="0.35">
      <c r="A900">
        <v>899</v>
      </c>
      <c r="B900" s="10">
        <v>0.11764705882352941</v>
      </c>
      <c r="C900">
        <v>1</v>
      </c>
      <c r="D900">
        <v>0</v>
      </c>
      <c r="E900">
        <v>0</v>
      </c>
      <c r="F900">
        <v>0</v>
      </c>
      <c r="G900">
        <v>1</v>
      </c>
      <c r="H900">
        <v>3</v>
      </c>
      <c r="I900">
        <v>1</v>
      </c>
      <c r="J900" s="10">
        <v>1.9991492981709911E-2</v>
      </c>
      <c r="K900">
        <v>0</v>
      </c>
      <c r="L900">
        <v>1</v>
      </c>
      <c r="M900">
        <v>0</v>
      </c>
      <c r="N900" s="10">
        <v>8.5835130204013933E-3</v>
      </c>
      <c r="O900" s="11">
        <v>7.8029739028954312E-2</v>
      </c>
      <c r="P900" s="10">
        <v>0</v>
      </c>
      <c r="Q900">
        <v>1</v>
      </c>
      <c r="R900">
        <v>1</v>
      </c>
      <c r="S900">
        <v>0</v>
      </c>
      <c r="T900">
        <v>0</v>
      </c>
      <c r="U900">
        <v>1</v>
      </c>
      <c r="V900" s="10">
        <v>0.43380281690140843</v>
      </c>
      <c r="W900" s="5">
        <v>1</v>
      </c>
      <c r="X900" s="5">
        <v>1</v>
      </c>
      <c r="Y900" s="5">
        <v>1</v>
      </c>
      <c r="Z900" s="5">
        <v>3</v>
      </c>
    </row>
    <row r="901" spans="1:26" x14ac:dyDescent="0.35">
      <c r="A901">
        <v>900</v>
      </c>
      <c r="B901" s="10">
        <v>0.70588235294117652</v>
      </c>
      <c r="C901">
        <v>0</v>
      </c>
      <c r="D901">
        <v>0</v>
      </c>
      <c r="E901">
        <v>0</v>
      </c>
      <c r="F901">
        <v>0</v>
      </c>
      <c r="G901">
        <v>1</v>
      </c>
      <c r="H901">
        <v>1</v>
      </c>
      <c r="I901">
        <v>0</v>
      </c>
      <c r="J901" s="10">
        <v>4.0408336877924292E-2</v>
      </c>
      <c r="K901">
        <v>0</v>
      </c>
      <c r="L901">
        <v>0</v>
      </c>
      <c r="M901">
        <v>1</v>
      </c>
      <c r="N901" s="10">
        <v>0.10181148259602397</v>
      </c>
      <c r="O901" s="11">
        <v>0.23712080055266035</v>
      </c>
      <c r="P901" s="10">
        <v>0.25</v>
      </c>
      <c r="Q901">
        <v>1</v>
      </c>
      <c r="R901">
        <v>0</v>
      </c>
      <c r="S901">
        <v>0</v>
      </c>
      <c r="T901">
        <v>1</v>
      </c>
      <c r="U901">
        <v>0</v>
      </c>
      <c r="V901" s="10">
        <v>1.4084507042253521E-2</v>
      </c>
      <c r="W901" s="5">
        <v>3</v>
      </c>
      <c r="X901" s="5">
        <v>2</v>
      </c>
      <c r="Y901" s="5">
        <v>1</v>
      </c>
      <c r="Z901" s="5">
        <v>6</v>
      </c>
    </row>
    <row r="902" spans="1:26" x14ac:dyDescent="0.35">
      <c r="A902">
        <v>901</v>
      </c>
      <c r="B902" s="10">
        <v>0.94117647058823528</v>
      </c>
      <c r="C902">
        <v>1</v>
      </c>
      <c r="D902">
        <v>0</v>
      </c>
      <c r="E902">
        <v>1</v>
      </c>
      <c r="F902">
        <v>0</v>
      </c>
      <c r="G902">
        <v>0</v>
      </c>
      <c r="H902">
        <v>2</v>
      </c>
      <c r="I902">
        <v>0</v>
      </c>
      <c r="J902" s="10">
        <v>0.24457677584006807</v>
      </c>
      <c r="K902">
        <v>0</v>
      </c>
      <c r="L902">
        <v>1</v>
      </c>
      <c r="M902">
        <v>0</v>
      </c>
      <c r="N902" s="10">
        <v>0.15050470345710021</v>
      </c>
      <c r="O902" s="11">
        <v>0.52107688283466469</v>
      </c>
      <c r="P902" s="10">
        <v>0.125</v>
      </c>
      <c r="Q902">
        <v>0</v>
      </c>
      <c r="R902">
        <v>0</v>
      </c>
      <c r="S902">
        <v>0</v>
      </c>
      <c r="T902">
        <v>0</v>
      </c>
      <c r="U902">
        <v>0</v>
      </c>
      <c r="V902" s="10">
        <v>0.46760563380281689</v>
      </c>
      <c r="W902" s="5">
        <v>1</v>
      </c>
      <c r="X902" s="5">
        <v>1</v>
      </c>
      <c r="Y902" s="5">
        <v>1</v>
      </c>
      <c r="Z902" s="5">
        <v>3</v>
      </c>
    </row>
    <row r="903" spans="1:26" x14ac:dyDescent="0.35">
      <c r="A903">
        <v>902</v>
      </c>
      <c r="B903" s="10">
        <v>0.78431372549019607</v>
      </c>
      <c r="C903">
        <v>0</v>
      </c>
      <c r="D903">
        <v>0</v>
      </c>
      <c r="E903">
        <v>1</v>
      </c>
      <c r="F903">
        <v>0</v>
      </c>
      <c r="G903">
        <v>0</v>
      </c>
      <c r="H903">
        <v>1</v>
      </c>
      <c r="I903">
        <v>0</v>
      </c>
      <c r="J903" s="10">
        <v>0.79583156103785624</v>
      </c>
      <c r="K903">
        <v>0</v>
      </c>
      <c r="L903">
        <v>0</v>
      </c>
      <c r="M903">
        <v>1</v>
      </c>
      <c r="N903" s="10">
        <v>0.30519157405871622</v>
      </c>
      <c r="O903" s="11">
        <v>0.29899997987887078</v>
      </c>
      <c r="P903" s="10">
        <v>0.75</v>
      </c>
      <c r="Q903">
        <v>2</v>
      </c>
      <c r="R903">
        <v>1</v>
      </c>
      <c r="S903">
        <v>0</v>
      </c>
      <c r="T903">
        <v>0</v>
      </c>
      <c r="U903">
        <v>1</v>
      </c>
      <c r="V903" s="10">
        <v>5.6338028169014086E-2</v>
      </c>
      <c r="W903" s="5">
        <v>3</v>
      </c>
      <c r="X903" s="5">
        <v>2</v>
      </c>
      <c r="Y903" s="5">
        <v>2</v>
      </c>
      <c r="Z903" s="5">
        <v>7</v>
      </c>
    </row>
    <row r="904" spans="1:26" x14ac:dyDescent="0.35">
      <c r="A904">
        <v>903</v>
      </c>
      <c r="B904" s="10">
        <v>0.50980392156862742</v>
      </c>
      <c r="C904">
        <v>1</v>
      </c>
      <c r="D904">
        <v>0</v>
      </c>
      <c r="E904">
        <v>1</v>
      </c>
      <c r="F904">
        <v>0</v>
      </c>
      <c r="G904">
        <v>0</v>
      </c>
      <c r="H904">
        <v>1</v>
      </c>
      <c r="I904">
        <v>1</v>
      </c>
      <c r="J904" s="10">
        <v>0.97958315610378566</v>
      </c>
      <c r="K904">
        <v>1</v>
      </c>
      <c r="L904">
        <v>0</v>
      </c>
      <c r="M904">
        <v>0</v>
      </c>
      <c r="N904" s="10">
        <v>0.22302324479302416</v>
      </c>
      <c r="O904" s="11">
        <v>0.38369987323688598</v>
      </c>
      <c r="P904" s="10">
        <v>0.375</v>
      </c>
      <c r="Q904">
        <v>1</v>
      </c>
      <c r="R904">
        <v>0</v>
      </c>
      <c r="S904">
        <v>1</v>
      </c>
      <c r="T904">
        <v>0</v>
      </c>
      <c r="U904">
        <v>0</v>
      </c>
      <c r="V904" s="10">
        <v>0.43943661971830988</v>
      </c>
      <c r="W904" s="5">
        <v>1</v>
      </c>
      <c r="X904" s="5">
        <v>2</v>
      </c>
      <c r="Y904" s="5">
        <v>1</v>
      </c>
      <c r="Z904" s="5">
        <v>4</v>
      </c>
    </row>
    <row r="905" spans="1:26" x14ac:dyDescent="0.35">
      <c r="A905">
        <v>904</v>
      </c>
      <c r="B905" s="10">
        <v>0.58823529411764708</v>
      </c>
      <c r="C905">
        <v>1</v>
      </c>
      <c r="D905">
        <v>1</v>
      </c>
      <c r="E905">
        <v>0</v>
      </c>
      <c r="F905">
        <v>0</v>
      </c>
      <c r="G905">
        <v>0</v>
      </c>
      <c r="H905">
        <v>3</v>
      </c>
      <c r="I905">
        <v>0</v>
      </c>
      <c r="J905" s="10">
        <v>0.7345810293492131</v>
      </c>
      <c r="K905">
        <v>1</v>
      </c>
      <c r="L905">
        <v>0</v>
      </c>
      <c r="M905">
        <v>0</v>
      </c>
      <c r="N905" s="10">
        <v>0.49599258346563035</v>
      </c>
      <c r="O905" s="11">
        <v>0.48416898299189692</v>
      </c>
      <c r="P905" s="10">
        <v>0.75</v>
      </c>
      <c r="Q905">
        <v>1</v>
      </c>
      <c r="R905">
        <v>0</v>
      </c>
      <c r="S905">
        <v>1</v>
      </c>
      <c r="T905">
        <v>0</v>
      </c>
      <c r="U905">
        <v>0</v>
      </c>
      <c r="V905" s="10">
        <v>4.507042253521127E-2</v>
      </c>
      <c r="W905" s="5">
        <v>3</v>
      </c>
      <c r="X905" s="5">
        <v>2</v>
      </c>
      <c r="Y905" s="5">
        <v>3</v>
      </c>
      <c r="Z905" s="5">
        <v>8</v>
      </c>
    </row>
    <row r="906" spans="1:26" x14ac:dyDescent="0.35">
      <c r="A906">
        <v>905</v>
      </c>
      <c r="B906" s="10">
        <v>9.8039215686274508E-2</v>
      </c>
      <c r="C906">
        <v>1</v>
      </c>
      <c r="D906">
        <v>0</v>
      </c>
      <c r="E906">
        <v>1</v>
      </c>
      <c r="F906">
        <v>0</v>
      </c>
      <c r="G906">
        <v>0</v>
      </c>
      <c r="H906">
        <v>3</v>
      </c>
      <c r="I906">
        <v>0</v>
      </c>
      <c r="J906" s="10">
        <v>0.14249255635899619</v>
      </c>
      <c r="K906">
        <v>0</v>
      </c>
      <c r="L906">
        <v>0</v>
      </c>
      <c r="M906">
        <v>1</v>
      </c>
      <c r="N906" s="10">
        <v>0.35920136009288439</v>
      </c>
      <c r="O906" s="11">
        <v>0.30748858125918027</v>
      </c>
      <c r="P906" s="10">
        <v>0.875</v>
      </c>
      <c r="Q906">
        <v>1</v>
      </c>
      <c r="R906">
        <v>1</v>
      </c>
      <c r="S906">
        <v>0</v>
      </c>
      <c r="T906">
        <v>1</v>
      </c>
      <c r="U906">
        <v>0</v>
      </c>
      <c r="V906" s="10">
        <v>0.18591549295774648</v>
      </c>
      <c r="W906" s="5">
        <v>2</v>
      </c>
      <c r="X906" s="5">
        <v>3</v>
      </c>
      <c r="Y906" s="5">
        <v>2</v>
      </c>
      <c r="Z906" s="5">
        <v>7</v>
      </c>
    </row>
    <row r="907" spans="1:26" x14ac:dyDescent="0.35">
      <c r="A907">
        <v>906</v>
      </c>
      <c r="B907" s="10">
        <v>0.29411764705882354</v>
      </c>
      <c r="C907">
        <v>0</v>
      </c>
      <c r="D907">
        <v>0</v>
      </c>
      <c r="E907">
        <v>0</v>
      </c>
      <c r="F907">
        <v>0</v>
      </c>
      <c r="G907">
        <v>1</v>
      </c>
      <c r="H907">
        <v>2</v>
      </c>
      <c r="I907">
        <v>1</v>
      </c>
      <c r="J907" s="10">
        <v>0.7754147171416419</v>
      </c>
      <c r="K907">
        <v>0</v>
      </c>
      <c r="L907">
        <v>1</v>
      </c>
      <c r="M907">
        <v>0</v>
      </c>
      <c r="N907" s="10">
        <v>0.36312584413430321</v>
      </c>
      <c r="O907" s="11">
        <v>0.49731382925209761</v>
      </c>
      <c r="P907" s="10">
        <v>0.5</v>
      </c>
      <c r="Q907">
        <v>0</v>
      </c>
      <c r="R907">
        <v>0</v>
      </c>
      <c r="S907">
        <v>0</v>
      </c>
      <c r="T907">
        <v>0</v>
      </c>
      <c r="U907">
        <v>0</v>
      </c>
      <c r="V907" s="10">
        <v>5.6338028169014088E-3</v>
      </c>
      <c r="W907" s="5">
        <v>3</v>
      </c>
      <c r="X907" s="5">
        <v>2</v>
      </c>
      <c r="Y907" s="5">
        <v>2</v>
      </c>
      <c r="Z907" s="5">
        <v>7</v>
      </c>
    </row>
    <row r="908" spans="1:26" x14ac:dyDescent="0.35">
      <c r="A908">
        <v>907</v>
      </c>
      <c r="B908" s="10">
        <v>0.72549019607843135</v>
      </c>
      <c r="C908">
        <v>1</v>
      </c>
      <c r="D908">
        <v>1</v>
      </c>
      <c r="E908">
        <v>0</v>
      </c>
      <c r="F908">
        <v>0</v>
      </c>
      <c r="G908">
        <v>0</v>
      </c>
      <c r="H908">
        <v>1</v>
      </c>
      <c r="I908">
        <v>0</v>
      </c>
      <c r="J908" s="10">
        <v>0.509995746490855</v>
      </c>
      <c r="K908">
        <v>0</v>
      </c>
      <c r="L908">
        <v>1</v>
      </c>
      <c r="M908">
        <v>0</v>
      </c>
      <c r="N908" s="10">
        <v>1.3334360116579388E-2</v>
      </c>
      <c r="O908" s="11">
        <v>0.11030403026217832</v>
      </c>
      <c r="P908" s="10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 s="10">
        <v>0.21690140845070421</v>
      </c>
      <c r="W908" s="5">
        <v>2</v>
      </c>
      <c r="X908" s="5">
        <v>1</v>
      </c>
      <c r="Y908" s="5">
        <v>1</v>
      </c>
      <c r="Z908" s="5">
        <v>4</v>
      </c>
    </row>
    <row r="909" spans="1:26" x14ac:dyDescent="0.35">
      <c r="A909">
        <v>908</v>
      </c>
      <c r="B909" s="10">
        <v>0.72549019607843135</v>
      </c>
      <c r="C909">
        <v>0</v>
      </c>
      <c r="D909">
        <v>0</v>
      </c>
      <c r="E909">
        <v>1</v>
      </c>
      <c r="F909">
        <v>0</v>
      </c>
      <c r="G909">
        <v>0</v>
      </c>
      <c r="H909">
        <v>2</v>
      </c>
      <c r="I909">
        <v>0</v>
      </c>
      <c r="J909" s="10">
        <v>6.0825180774138662E-2</v>
      </c>
      <c r="K909">
        <v>0</v>
      </c>
      <c r="L909">
        <v>1</v>
      </c>
      <c r="M909">
        <v>0</v>
      </c>
      <c r="N909" s="10">
        <v>0.54951366016633896</v>
      </c>
      <c r="O909" s="11">
        <v>0.4169746317274437</v>
      </c>
      <c r="P909" s="10">
        <v>1</v>
      </c>
      <c r="Q909">
        <v>2</v>
      </c>
      <c r="R909">
        <v>1</v>
      </c>
      <c r="S909">
        <v>1</v>
      </c>
      <c r="T909">
        <v>1</v>
      </c>
      <c r="U909">
        <v>0</v>
      </c>
      <c r="V909" s="10">
        <v>0.10140845070422536</v>
      </c>
      <c r="W909" s="5">
        <v>2</v>
      </c>
      <c r="X909" s="5">
        <v>3</v>
      </c>
      <c r="Y909" s="5">
        <v>3</v>
      </c>
      <c r="Z909" s="5">
        <v>8</v>
      </c>
    </row>
    <row r="910" spans="1:26" x14ac:dyDescent="0.35">
      <c r="A910">
        <v>909</v>
      </c>
      <c r="B910" s="10">
        <v>0.96078431372549022</v>
      </c>
      <c r="C910">
        <v>1</v>
      </c>
      <c r="D910">
        <v>0</v>
      </c>
      <c r="E910">
        <v>0</v>
      </c>
      <c r="F910">
        <v>0</v>
      </c>
      <c r="G910">
        <v>1</v>
      </c>
      <c r="H910">
        <v>1</v>
      </c>
      <c r="I910">
        <v>0</v>
      </c>
      <c r="J910" s="10">
        <v>0.55082943428328379</v>
      </c>
      <c r="K910">
        <v>0</v>
      </c>
      <c r="L910">
        <v>0</v>
      </c>
      <c r="M910">
        <v>1</v>
      </c>
      <c r="N910" s="10">
        <v>0.20983105466436036</v>
      </c>
      <c r="O910" s="11">
        <v>0.48172666116689133</v>
      </c>
      <c r="P910" s="10">
        <v>0.25</v>
      </c>
      <c r="Q910">
        <v>0</v>
      </c>
      <c r="R910">
        <v>0</v>
      </c>
      <c r="S910">
        <v>0</v>
      </c>
      <c r="T910">
        <v>0</v>
      </c>
      <c r="U910">
        <v>0</v>
      </c>
      <c r="V910" s="10">
        <v>0.22253521126760564</v>
      </c>
      <c r="W910" s="5">
        <v>2</v>
      </c>
      <c r="X910" s="5">
        <v>2</v>
      </c>
      <c r="Y910" s="5">
        <v>1</v>
      </c>
      <c r="Z910" s="5">
        <v>5</v>
      </c>
    </row>
    <row r="911" spans="1:26" x14ac:dyDescent="0.35">
      <c r="A911">
        <v>910</v>
      </c>
      <c r="B911" s="10">
        <v>0.60784313725490191</v>
      </c>
      <c r="C911">
        <v>0</v>
      </c>
      <c r="D911">
        <v>1</v>
      </c>
      <c r="E911">
        <v>0</v>
      </c>
      <c r="F911">
        <v>0</v>
      </c>
      <c r="G911">
        <v>0</v>
      </c>
      <c r="H911">
        <v>2</v>
      </c>
      <c r="I911">
        <v>0</v>
      </c>
      <c r="J911" s="10">
        <v>0.48957890259464065</v>
      </c>
      <c r="K911">
        <v>0</v>
      </c>
      <c r="L911">
        <v>0</v>
      </c>
      <c r="M911">
        <v>1</v>
      </c>
      <c r="N911" s="10">
        <v>0.23320024642797901</v>
      </c>
      <c r="O911" s="11">
        <v>0.40098392321777093</v>
      </c>
      <c r="P911" s="10">
        <v>0.375</v>
      </c>
      <c r="Q911">
        <v>0</v>
      </c>
      <c r="R911">
        <v>0</v>
      </c>
      <c r="S911">
        <v>0</v>
      </c>
      <c r="T911">
        <v>0</v>
      </c>
      <c r="U911">
        <v>0</v>
      </c>
      <c r="V911" s="10">
        <v>0.12957746478873239</v>
      </c>
      <c r="W911" s="5">
        <v>2</v>
      </c>
      <c r="X911" s="5">
        <v>2</v>
      </c>
      <c r="Y911" s="5">
        <v>1</v>
      </c>
      <c r="Z911" s="5">
        <v>5</v>
      </c>
    </row>
    <row r="912" spans="1:26" x14ac:dyDescent="0.35">
      <c r="A912">
        <v>911</v>
      </c>
      <c r="B912" s="10">
        <v>0.62745098039215685</v>
      </c>
      <c r="C912">
        <v>0</v>
      </c>
      <c r="D912">
        <v>0</v>
      </c>
      <c r="E912">
        <v>0</v>
      </c>
      <c r="F912">
        <v>0</v>
      </c>
      <c r="G912">
        <v>1</v>
      </c>
      <c r="H912">
        <v>1</v>
      </c>
      <c r="I912">
        <v>0</v>
      </c>
      <c r="J912" s="10">
        <v>0.55082943428328379</v>
      </c>
      <c r="K912">
        <v>1</v>
      </c>
      <c r="L912">
        <v>0</v>
      </c>
      <c r="M912">
        <v>0</v>
      </c>
      <c r="N912" s="10">
        <v>0.31073027983792623</v>
      </c>
      <c r="O912" s="11">
        <v>0.71020879025064221</v>
      </c>
      <c r="P912" s="10">
        <v>0.25</v>
      </c>
      <c r="Q912">
        <v>0</v>
      </c>
      <c r="R912">
        <v>0</v>
      </c>
      <c r="S912">
        <v>0</v>
      </c>
      <c r="T912">
        <v>0</v>
      </c>
      <c r="U912">
        <v>0</v>
      </c>
      <c r="V912" s="10">
        <v>0.40281690140845072</v>
      </c>
      <c r="W912" s="5">
        <v>1</v>
      </c>
      <c r="X912" s="5">
        <v>2</v>
      </c>
      <c r="Y912" s="5">
        <v>2</v>
      </c>
      <c r="Z912" s="5">
        <v>5</v>
      </c>
    </row>
    <row r="913" spans="1:26" x14ac:dyDescent="0.35">
      <c r="A913">
        <v>912</v>
      </c>
      <c r="B913" s="10">
        <v>0.94117647058823528</v>
      </c>
      <c r="C913">
        <v>0</v>
      </c>
      <c r="D913">
        <v>0</v>
      </c>
      <c r="E913">
        <v>1</v>
      </c>
      <c r="F913">
        <v>0</v>
      </c>
      <c r="G913">
        <v>0</v>
      </c>
      <c r="H913">
        <v>2</v>
      </c>
      <c r="I913">
        <v>0</v>
      </c>
      <c r="J913" s="10">
        <v>0.1220757124627818</v>
      </c>
      <c r="K913">
        <v>1</v>
      </c>
      <c r="L913">
        <v>0</v>
      </c>
      <c r="M913">
        <v>0</v>
      </c>
      <c r="N913" s="10">
        <v>0.56429933890955619</v>
      </c>
      <c r="O913" s="11">
        <v>0.42813515138914043</v>
      </c>
      <c r="P913" s="10">
        <v>1</v>
      </c>
      <c r="Q913">
        <v>1</v>
      </c>
      <c r="R913">
        <v>1</v>
      </c>
      <c r="S913">
        <v>1</v>
      </c>
      <c r="T913">
        <v>0</v>
      </c>
      <c r="U913">
        <v>0</v>
      </c>
      <c r="V913" s="10">
        <v>5.0704225352112678E-2</v>
      </c>
      <c r="W913" s="5">
        <v>3</v>
      </c>
      <c r="X913" s="5">
        <v>3</v>
      </c>
      <c r="Y913" s="5">
        <v>3</v>
      </c>
      <c r="Z913" s="5">
        <v>9</v>
      </c>
    </row>
    <row r="914" spans="1:26" x14ac:dyDescent="0.35">
      <c r="A914">
        <v>913</v>
      </c>
      <c r="B914" s="10">
        <v>0.31372549019607843</v>
      </c>
      <c r="C914">
        <v>0</v>
      </c>
      <c r="D914">
        <v>0</v>
      </c>
      <c r="E914">
        <v>1</v>
      </c>
      <c r="F914">
        <v>0</v>
      </c>
      <c r="G914">
        <v>0</v>
      </c>
      <c r="H914">
        <v>1</v>
      </c>
      <c r="I914">
        <v>0</v>
      </c>
      <c r="J914" s="10">
        <v>0.509995746490855</v>
      </c>
      <c r="K914">
        <v>1</v>
      </c>
      <c r="L914">
        <v>0</v>
      </c>
      <c r="M914">
        <v>0</v>
      </c>
      <c r="N914" s="10">
        <v>7.6309741013672008E-2</v>
      </c>
      <c r="O914" s="11">
        <v>0.53811947926517634</v>
      </c>
      <c r="P914" s="10">
        <v>0</v>
      </c>
      <c r="Q914">
        <v>2</v>
      </c>
      <c r="R914">
        <v>0</v>
      </c>
      <c r="S914">
        <v>0</v>
      </c>
      <c r="T914">
        <v>1</v>
      </c>
      <c r="U914">
        <v>1</v>
      </c>
      <c r="V914" s="10">
        <v>0.58309859154929577</v>
      </c>
      <c r="W914" s="5">
        <v>1</v>
      </c>
      <c r="X914" s="5">
        <v>1</v>
      </c>
      <c r="Y914" s="5">
        <v>1</v>
      </c>
      <c r="Z914" s="5">
        <v>3</v>
      </c>
    </row>
    <row r="915" spans="1:26" x14ac:dyDescent="0.35">
      <c r="A915">
        <v>914</v>
      </c>
      <c r="B915" s="10">
        <v>0.62745098039215685</v>
      </c>
      <c r="C915">
        <v>0</v>
      </c>
      <c r="D915">
        <v>1</v>
      </c>
      <c r="E915">
        <v>0</v>
      </c>
      <c r="F915">
        <v>0</v>
      </c>
      <c r="G915">
        <v>0</v>
      </c>
      <c r="H915">
        <v>1</v>
      </c>
      <c r="I915">
        <v>0</v>
      </c>
      <c r="J915" s="10">
        <v>0.87749893662271372</v>
      </c>
      <c r="K915">
        <v>0</v>
      </c>
      <c r="L915">
        <v>1</v>
      </c>
      <c r="M915">
        <v>0</v>
      </c>
      <c r="N915" s="10">
        <v>0.50736914437362268</v>
      </c>
      <c r="O915" s="11">
        <v>0.49520973402741642</v>
      </c>
      <c r="P915" s="10">
        <v>0.75</v>
      </c>
      <c r="Q915">
        <v>2</v>
      </c>
      <c r="R915">
        <v>1</v>
      </c>
      <c r="S915">
        <v>1</v>
      </c>
      <c r="T915">
        <v>0</v>
      </c>
      <c r="U915">
        <v>1</v>
      </c>
      <c r="V915" s="10">
        <v>6.4788732394366194E-2</v>
      </c>
      <c r="W915" s="5">
        <v>3</v>
      </c>
      <c r="X915" s="5">
        <v>2</v>
      </c>
      <c r="Y915" s="5">
        <v>3</v>
      </c>
      <c r="Z915" s="5">
        <v>8</v>
      </c>
    </row>
    <row r="916" spans="1:26" x14ac:dyDescent="0.35">
      <c r="A916">
        <v>915</v>
      </c>
      <c r="B916" s="10">
        <v>0.19607843137254902</v>
      </c>
      <c r="C916">
        <v>1</v>
      </c>
      <c r="D916">
        <v>0</v>
      </c>
      <c r="E916">
        <v>0</v>
      </c>
      <c r="F916">
        <v>1</v>
      </c>
      <c r="G916">
        <v>0</v>
      </c>
      <c r="H916">
        <v>3</v>
      </c>
      <c r="I916">
        <v>0</v>
      </c>
      <c r="J916" s="10">
        <v>0.63249680986814127</v>
      </c>
      <c r="K916">
        <v>0</v>
      </c>
      <c r="L916">
        <v>0</v>
      </c>
      <c r="M916">
        <v>1</v>
      </c>
      <c r="N916" s="10">
        <v>0.52626590526739803</v>
      </c>
      <c r="O916" s="11">
        <v>0.51354870606767022</v>
      </c>
      <c r="P916" s="10">
        <v>0.75</v>
      </c>
      <c r="Q916">
        <v>0</v>
      </c>
      <c r="R916">
        <v>0</v>
      </c>
      <c r="S916">
        <v>0</v>
      </c>
      <c r="T916">
        <v>0</v>
      </c>
      <c r="U916">
        <v>0</v>
      </c>
      <c r="V916" s="10">
        <v>4.507042253521127E-2</v>
      </c>
      <c r="W916" s="5">
        <v>3</v>
      </c>
      <c r="X916" s="5">
        <v>2</v>
      </c>
      <c r="Y916" s="5">
        <v>3</v>
      </c>
      <c r="Z916" s="5">
        <v>8</v>
      </c>
    </row>
    <row r="917" spans="1:26" x14ac:dyDescent="0.35">
      <c r="A917">
        <v>916</v>
      </c>
      <c r="B917" s="10">
        <v>0.23529411764705882</v>
      </c>
      <c r="C917">
        <v>1</v>
      </c>
      <c r="D917">
        <v>0</v>
      </c>
      <c r="E917">
        <v>0</v>
      </c>
      <c r="F917">
        <v>0</v>
      </c>
      <c r="G917">
        <v>1</v>
      </c>
      <c r="H917">
        <v>1</v>
      </c>
      <c r="I917">
        <v>0</v>
      </c>
      <c r="J917" s="10">
        <v>0.89791578051892806</v>
      </c>
      <c r="K917">
        <v>1</v>
      </c>
      <c r="L917">
        <v>0</v>
      </c>
      <c r="M917">
        <v>0</v>
      </c>
      <c r="N917" s="10">
        <v>0.3456685543681729</v>
      </c>
      <c r="O917" s="11">
        <v>0.39466253512813809</v>
      </c>
      <c r="P917" s="10">
        <v>0.625</v>
      </c>
      <c r="Q917">
        <v>0</v>
      </c>
      <c r="R917">
        <v>0</v>
      </c>
      <c r="S917">
        <v>0</v>
      </c>
      <c r="T917">
        <v>0</v>
      </c>
      <c r="U917">
        <v>0</v>
      </c>
      <c r="V917" s="10">
        <v>8.7323943661971826E-2</v>
      </c>
      <c r="W917" s="5">
        <v>2</v>
      </c>
      <c r="X917" s="5">
        <v>2</v>
      </c>
      <c r="Y917" s="5">
        <v>2</v>
      </c>
      <c r="Z917" s="5">
        <v>6</v>
      </c>
    </row>
    <row r="918" spans="1:26" x14ac:dyDescent="0.35">
      <c r="A918">
        <v>917</v>
      </c>
      <c r="B918" s="10">
        <v>0.56862745098039214</v>
      </c>
      <c r="C918">
        <v>0</v>
      </c>
      <c r="D918">
        <v>0</v>
      </c>
      <c r="E918">
        <v>0</v>
      </c>
      <c r="F918">
        <v>0</v>
      </c>
      <c r="G918">
        <v>1</v>
      </c>
      <c r="H918">
        <v>3</v>
      </c>
      <c r="I918">
        <v>0</v>
      </c>
      <c r="J918" s="10">
        <v>0.18332624415142493</v>
      </c>
      <c r="K918">
        <v>1</v>
      </c>
      <c r="L918">
        <v>0</v>
      </c>
      <c r="M918">
        <v>0</v>
      </c>
      <c r="N918" s="10">
        <v>0.53004525744615316</v>
      </c>
      <c r="O918" s="11">
        <v>0.45256443791625589</v>
      </c>
      <c r="P918" s="10">
        <v>0.875</v>
      </c>
      <c r="Q918">
        <v>1</v>
      </c>
      <c r="R918">
        <v>0</v>
      </c>
      <c r="S918">
        <v>0</v>
      </c>
      <c r="T918">
        <v>0</v>
      </c>
      <c r="U918">
        <v>1</v>
      </c>
      <c r="V918" s="10">
        <v>6.7605633802816895E-2</v>
      </c>
      <c r="W918" s="5">
        <v>3</v>
      </c>
      <c r="X918" s="5">
        <v>3</v>
      </c>
      <c r="Y918" s="5">
        <v>3</v>
      </c>
      <c r="Z918" s="5">
        <v>9</v>
      </c>
    </row>
    <row r="919" spans="1:26" x14ac:dyDescent="0.35">
      <c r="A919">
        <v>918</v>
      </c>
      <c r="B919" s="10">
        <v>0</v>
      </c>
      <c r="C919">
        <v>0</v>
      </c>
      <c r="D919">
        <v>0</v>
      </c>
      <c r="E919">
        <v>0</v>
      </c>
      <c r="F919">
        <v>1</v>
      </c>
      <c r="G919">
        <v>0</v>
      </c>
      <c r="H919">
        <v>2</v>
      </c>
      <c r="I919">
        <v>1</v>
      </c>
      <c r="J919" s="10">
        <v>0.79583156103785624</v>
      </c>
      <c r="K919">
        <v>1</v>
      </c>
      <c r="L919">
        <v>0</v>
      </c>
      <c r="M919">
        <v>0</v>
      </c>
      <c r="N919" s="10">
        <v>0.33499395777551361</v>
      </c>
      <c r="O919" s="11">
        <v>0.5738646652850159</v>
      </c>
      <c r="P919" s="10">
        <v>0.375</v>
      </c>
      <c r="Q919">
        <v>0</v>
      </c>
      <c r="R919">
        <v>0</v>
      </c>
      <c r="S919">
        <v>0</v>
      </c>
      <c r="T919">
        <v>0</v>
      </c>
      <c r="U919">
        <v>0</v>
      </c>
      <c r="V919" s="10">
        <v>5.6338028169014086E-2</v>
      </c>
      <c r="W919" s="5">
        <v>3</v>
      </c>
      <c r="X919" s="5">
        <v>2</v>
      </c>
      <c r="Y919" s="5">
        <v>2</v>
      </c>
      <c r="Z919" s="5">
        <v>7</v>
      </c>
    </row>
    <row r="920" spans="1:26" x14ac:dyDescent="0.35">
      <c r="A920">
        <v>919</v>
      </c>
      <c r="B920" s="10">
        <v>0.56862745098039214</v>
      </c>
      <c r="C920">
        <v>0</v>
      </c>
      <c r="D920">
        <v>0</v>
      </c>
      <c r="E920">
        <v>0</v>
      </c>
      <c r="F920">
        <v>1</v>
      </c>
      <c r="G920">
        <v>0</v>
      </c>
      <c r="H920">
        <v>3</v>
      </c>
      <c r="I920">
        <v>1</v>
      </c>
      <c r="J920" s="10">
        <v>0.59166312207571248</v>
      </c>
      <c r="K920">
        <v>0</v>
      </c>
      <c r="L920">
        <v>1</v>
      </c>
      <c r="M920">
        <v>0</v>
      </c>
      <c r="N920" s="10">
        <v>0.45543859441271956</v>
      </c>
      <c r="O920" s="11">
        <v>0.44481205428105774</v>
      </c>
      <c r="P920" s="10">
        <v>0.75</v>
      </c>
      <c r="Q920">
        <v>0</v>
      </c>
      <c r="R920">
        <v>0</v>
      </c>
      <c r="S920">
        <v>0</v>
      </c>
      <c r="T920">
        <v>0</v>
      </c>
      <c r="U920">
        <v>0</v>
      </c>
      <c r="V920" s="10">
        <v>0.15774647887323945</v>
      </c>
      <c r="W920" s="5">
        <v>2</v>
      </c>
      <c r="X920" s="5">
        <v>2</v>
      </c>
      <c r="Y920" s="5">
        <v>2</v>
      </c>
      <c r="Z920" s="5">
        <v>6</v>
      </c>
    </row>
    <row r="921" spans="1:26" x14ac:dyDescent="0.35">
      <c r="A921">
        <v>920</v>
      </c>
      <c r="B921" s="10">
        <v>0.50980392156862742</v>
      </c>
      <c r="C921">
        <v>1</v>
      </c>
      <c r="D921">
        <v>0</v>
      </c>
      <c r="E921">
        <v>0</v>
      </c>
      <c r="F921">
        <v>0</v>
      </c>
      <c r="G921">
        <v>1</v>
      </c>
      <c r="H921">
        <v>1</v>
      </c>
      <c r="I921">
        <v>0</v>
      </c>
      <c r="J921" s="10">
        <v>0.28541046363249684</v>
      </c>
      <c r="K921">
        <v>1</v>
      </c>
      <c r="L921">
        <v>0</v>
      </c>
      <c r="M921">
        <v>0</v>
      </c>
      <c r="N921" s="10">
        <v>0.60695329715896962</v>
      </c>
      <c r="O921" s="11">
        <v>0.46033119378659532</v>
      </c>
      <c r="P921" s="10">
        <v>1</v>
      </c>
      <c r="Q921">
        <v>1</v>
      </c>
      <c r="R921">
        <v>1</v>
      </c>
      <c r="S921">
        <v>0</v>
      </c>
      <c r="T921">
        <v>0</v>
      </c>
      <c r="U921">
        <v>1</v>
      </c>
      <c r="V921" s="10">
        <v>0.23943661971830985</v>
      </c>
      <c r="W921" s="5">
        <v>1</v>
      </c>
      <c r="X921" s="5">
        <v>3</v>
      </c>
      <c r="Y921" s="5">
        <v>3</v>
      </c>
      <c r="Z921" s="5">
        <v>7</v>
      </c>
    </row>
    <row r="922" spans="1:26" x14ac:dyDescent="0.35">
      <c r="A922">
        <v>921</v>
      </c>
      <c r="B922" s="10">
        <v>0.76470588235294112</v>
      </c>
      <c r="C922">
        <v>0</v>
      </c>
      <c r="D922">
        <v>1</v>
      </c>
      <c r="E922">
        <v>0</v>
      </c>
      <c r="F922">
        <v>0</v>
      </c>
      <c r="G922">
        <v>0</v>
      </c>
      <c r="H922">
        <v>3</v>
      </c>
      <c r="I922">
        <v>0</v>
      </c>
      <c r="J922" s="10">
        <v>0.7345810293492131</v>
      </c>
      <c r="K922">
        <v>0</v>
      </c>
      <c r="L922">
        <v>0</v>
      </c>
      <c r="M922">
        <v>1</v>
      </c>
      <c r="N922" s="10">
        <v>0.52377793047887589</v>
      </c>
      <c r="O922" s="11">
        <v>0.59632319899126074</v>
      </c>
      <c r="P922" s="10">
        <v>0.625</v>
      </c>
      <c r="Q922">
        <v>1</v>
      </c>
      <c r="R922">
        <v>1</v>
      </c>
      <c r="S922">
        <v>0</v>
      </c>
      <c r="T922">
        <v>1</v>
      </c>
      <c r="U922">
        <v>0</v>
      </c>
      <c r="V922" s="10">
        <v>3.0985915492957747E-2</v>
      </c>
      <c r="W922" s="5">
        <v>3</v>
      </c>
      <c r="X922" s="5">
        <v>2</v>
      </c>
      <c r="Y922" s="5">
        <v>3</v>
      </c>
      <c r="Z922" s="5">
        <v>8</v>
      </c>
    </row>
    <row r="923" spans="1:26" x14ac:dyDescent="0.35">
      <c r="A923">
        <v>922</v>
      </c>
      <c r="B923" s="10">
        <v>0.43137254901960786</v>
      </c>
      <c r="C923">
        <v>1</v>
      </c>
      <c r="D923">
        <v>0</v>
      </c>
      <c r="E923">
        <v>0</v>
      </c>
      <c r="F923">
        <v>1</v>
      </c>
      <c r="G923">
        <v>0</v>
      </c>
      <c r="H923">
        <v>3</v>
      </c>
      <c r="I923">
        <v>0</v>
      </c>
      <c r="J923" s="10">
        <v>0.59166312207571248</v>
      </c>
      <c r="K923">
        <v>0</v>
      </c>
      <c r="L923">
        <v>1</v>
      </c>
      <c r="M923">
        <v>0</v>
      </c>
      <c r="N923" s="10">
        <v>0.33327014667203753</v>
      </c>
      <c r="O923" s="11">
        <v>0.76124938798232022</v>
      </c>
      <c r="P923" s="10">
        <v>0.25</v>
      </c>
      <c r="Q923">
        <v>1</v>
      </c>
      <c r="R923">
        <v>1</v>
      </c>
      <c r="S923">
        <v>1</v>
      </c>
      <c r="T923">
        <v>0</v>
      </c>
      <c r="U923">
        <v>0</v>
      </c>
      <c r="V923" s="10">
        <v>0.21408450704225351</v>
      </c>
      <c r="W923" s="5">
        <v>2</v>
      </c>
      <c r="X923" s="5">
        <v>2</v>
      </c>
      <c r="Y923" s="5">
        <v>2</v>
      </c>
      <c r="Z923" s="5">
        <v>6</v>
      </c>
    </row>
    <row r="924" spans="1:26" x14ac:dyDescent="0.35">
      <c r="A924">
        <v>923</v>
      </c>
      <c r="B924" s="10">
        <v>0.37254901960784315</v>
      </c>
      <c r="C924">
        <v>0</v>
      </c>
      <c r="D924">
        <v>0</v>
      </c>
      <c r="E924">
        <v>1</v>
      </c>
      <c r="F924">
        <v>0</v>
      </c>
      <c r="G924">
        <v>0</v>
      </c>
      <c r="H924">
        <v>2</v>
      </c>
      <c r="I924">
        <v>0</v>
      </c>
      <c r="J924" s="10">
        <v>0.87749893662271372</v>
      </c>
      <c r="K924">
        <v>0</v>
      </c>
      <c r="L924">
        <v>1</v>
      </c>
      <c r="M924">
        <v>0</v>
      </c>
      <c r="N924" s="10">
        <v>0.72656268511717148</v>
      </c>
      <c r="O924" s="11">
        <v>0.55061470049699168</v>
      </c>
      <c r="P924" s="10">
        <v>1</v>
      </c>
      <c r="Q924">
        <v>2</v>
      </c>
      <c r="R924">
        <v>1</v>
      </c>
      <c r="S924">
        <v>0</v>
      </c>
      <c r="T924">
        <v>1</v>
      </c>
      <c r="U924">
        <v>1</v>
      </c>
      <c r="V924" s="10">
        <v>0.17464788732394365</v>
      </c>
      <c r="W924" s="5">
        <v>2</v>
      </c>
      <c r="X924" s="5">
        <v>3</v>
      </c>
      <c r="Y924" s="5">
        <v>3</v>
      </c>
      <c r="Z924" s="5">
        <v>8</v>
      </c>
    </row>
    <row r="925" spans="1:26" x14ac:dyDescent="0.35">
      <c r="A925">
        <v>924</v>
      </c>
      <c r="B925" s="10">
        <v>9.8039215686274508E-2</v>
      </c>
      <c r="C925">
        <v>1</v>
      </c>
      <c r="D925">
        <v>1</v>
      </c>
      <c r="E925">
        <v>0</v>
      </c>
      <c r="F925">
        <v>0</v>
      </c>
      <c r="G925">
        <v>0</v>
      </c>
      <c r="H925">
        <v>3</v>
      </c>
      <c r="I925">
        <v>1</v>
      </c>
      <c r="J925" s="10">
        <v>0.83666524883028492</v>
      </c>
      <c r="K925">
        <v>0</v>
      </c>
      <c r="L925">
        <v>1</v>
      </c>
      <c r="M925">
        <v>0</v>
      </c>
      <c r="N925" s="10">
        <v>0.22223834798474043</v>
      </c>
      <c r="O925" s="11">
        <v>0.76473369685506754</v>
      </c>
      <c r="P925" s="10">
        <v>0.125</v>
      </c>
      <c r="Q925">
        <v>1</v>
      </c>
      <c r="R925">
        <v>1</v>
      </c>
      <c r="S925">
        <v>0</v>
      </c>
      <c r="T925">
        <v>1</v>
      </c>
      <c r="U925">
        <v>0</v>
      </c>
      <c r="V925" s="10">
        <v>0.51830985915492955</v>
      </c>
      <c r="W925" s="5">
        <v>1</v>
      </c>
      <c r="X925" s="5">
        <v>1</v>
      </c>
      <c r="Y925" s="5">
        <v>1</v>
      </c>
      <c r="Z925" s="5">
        <v>3</v>
      </c>
    </row>
    <row r="926" spans="1:26" x14ac:dyDescent="0.35">
      <c r="A926">
        <v>925</v>
      </c>
      <c r="B926" s="10">
        <v>0.70588235294117652</v>
      </c>
      <c r="C926">
        <v>0</v>
      </c>
      <c r="D926">
        <v>0</v>
      </c>
      <c r="E926">
        <v>0</v>
      </c>
      <c r="F926">
        <v>1</v>
      </c>
      <c r="G926">
        <v>0</v>
      </c>
      <c r="H926">
        <v>2</v>
      </c>
      <c r="I926">
        <v>1</v>
      </c>
      <c r="J926" s="10">
        <v>0.7754147171416419</v>
      </c>
      <c r="K926">
        <v>1</v>
      </c>
      <c r="L926">
        <v>0</v>
      </c>
      <c r="M926">
        <v>0</v>
      </c>
      <c r="N926" s="10">
        <v>0.56886062602184673</v>
      </c>
      <c r="O926" s="11">
        <v>0.776840580293366</v>
      </c>
      <c r="P926" s="10">
        <v>0.5</v>
      </c>
      <c r="Q926">
        <v>0</v>
      </c>
      <c r="R926">
        <v>0</v>
      </c>
      <c r="S926">
        <v>0</v>
      </c>
      <c r="T926">
        <v>0</v>
      </c>
      <c r="U926">
        <v>0</v>
      </c>
      <c r="V926" s="10">
        <v>0.15774647887323945</v>
      </c>
      <c r="W926" s="5">
        <v>2</v>
      </c>
      <c r="X926" s="5">
        <v>2</v>
      </c>
      <c r="Y926" s="5">
        <v>3</v>
      </c>
      <c r="Z926" s="5">
        <v>7</v>
      </c>
    </row>
    <row r="927" spans="1:26" x14ac:dyDescent="0.35">
      <c r="A927">
        <v>926</v>
      </c>
      <c r="B927" s="10">
        <v>0.37254901960784315</v>
      </c>
      <c r="C927">
        <v>1</v>
      </c>
      <c r="D927">
        <v>0</v>
      </c>
      <c r="E927">
        <v>1</v>
      </c>
      <c r="F927">
        <v>0</v>
      </c>
      <c r="G927">
        <v>0</v>
      </c>
      <c r="H927">
        <v>2</v>
      </c>
      <c r="I927">
        <v>1</v>
      </c>
      <c r="J927" s="10">
        <v>0.44874521480221186</v>
      </c>
      <c r="K927">
        <v>0</v>
      </c>
      <c r="L927">
        <v>0</v>
      </c>
      <c r="M927">
        <v>1</v>
      </c>
      <c r="N927" s="10">
        <v>4.3782432528493231E-2</v>
      </c>
      <c r="O927" s="11">
        <v>0.31714923841525988</v>
      </c>
      <c r="P927" s="10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 s="10">
        <v>0.25352112676056338</v>
      </c>
      <c r="W927" s="5">
        <v>1</v>
      </c>
      <c r="X927" s="5">
        <v>1</v>
      </c>
      <c r="Y927" s="5">
        <v>1</v>
      </c>
      <c r="Z927" s="5">
        <v>3</v>
      </c>
    </row>
    <row r="928" spans="1:26" x14ac:dyDescent="0.35">
      <c r="A928">
        <v>927</v>
      </c>
      <c r="B928" s="10">
        <v>0.70588235294117652</v>
      </c>
      <c r="C928">
        <v>1</v>
      </c>
      <c r="D928">
        <v>0</v>
      </c>
      <c r="E928">
        <v>1</v>
      </c>
      <c r="F928">
        <v>0</v>
      </c>
      <c r="G928">
        <v>0</v>
      </c>
      <c r="H928">
        <v>3</v>
      </c>
      <c r="I928">
        <v>1</v>
      </c>
      <c r="J928" s="10">
        <v>0.24457677584006807</v>
      </c>
      <c r="K928">
        <v>1</v>
      </c>
      <c r="L928">
        <v>0</v>
      </c>
      <c r="M928">
        <v>0</v>
      </c>
      <c r="N928" s="10">
        <v>0.43022415468094682</v>
      </c>
      <c r="O928" s="11">
        <v>0.58847864142135653</v>
      </c>
      <c r="P928" s="10">
        <v>0.5</v>
      </c>
      <c r="Q928">
        <v>0</v>
      </c>
      <c r="R928">
        <v>0</v>
      </c>
      <c r="S928">
        <v>0</v>
      </c>
      <c r="T928">
        <v>0</v>
      </c>
      <c r="U928">
        <v>0</v>
      </c>
      <c r="V928" s="10">
        <v>0.21971830985915494</v>
      </c>
      <c r="W928" s="5">
        <v>2</v>
      </c>
      <c r="X928" s="5">
        <v>2</v>
      </c>
      <c r="Y928" s="5">
        <v>2</v>
      </c>
      <c r="Z928" s="5">
        <v>6</v>
      </c>
    </row>
    <row r="929" spans="1:26" x14ac:dyDescent="0.35">
      <c r="A929">
        <v>928</v>
      </c>
      <c r="B929" s="10">
        <v>9.8039215686274508E-2</v>
      </c>
      <c r="C929">
        <v>0</v>
      </c>
      <c r="D929">
        <v>0</v>
      </c>
      <c r="E929">
        <v>0</v>
      </c>
      <c r="F929">
        <v>0</v>
      </c>
      <c r="G929">
        <v>1</v>
      </c>
      <c r="H929">
        <v>1</v>
      </c>
      <c r="I929">
        <v>0</v>
      </c>
      <c r="J929" s="10">
        <v>0.81624840493407058</v>
      </c>
      <c r="K929">
        <v>0</v>
      </c>
      <c r="L929">
        <v>1</v>
      </c>
      <c r="M929">
        <v>0</v>
      </c>
      <c r="N929" s="10">
        <v>0.76264128142549092</v>
      </c>
      <c r="O929" s="11">
        <v>0.65007847240387129</v>
      </c>
      <c r="P929" s="10">
        <v>0.875</v>
      </c>
      <c r="Q929">
        <v>2</v>
      </c>
      <c r="R929">
        <v>1</v>
      </c>
      <c r="S929">
        <v>0</v>
      </c>
      <c r="T929">
        <v>1</v>
      </c>
      <c r="U929">
        <v>1</v>
      </c>
      <c r="V929" s="10">
        <v>0.25070422535211268</v>
      </c>
      <c r="W929" s="5">
        <v>1</v>
      </c>
      <c r="X929" s="5">
        <v>3</v>
      </c>
      <c r="Y929" s="5">
        <v>3</v>
      </c>
      <c r="Z929" s="5">
        <v>7</v>
      </c>
    </row>
    <row r="930" spans="1:26" x14ac:dyDescent="0.35">
      <c r="A930">
        <v>929</v>
      </c>
      <c r="B930" s="10">
        <v>0.5490196078431373</v>
      </c>
      <c r="C930">
        <v>0</v>
      </c>
      <c r="D930">
        <v>1</v>
      </c>
      <c r="E930">
        <v>0</v>
      </c>
      <c r="F930">
        <v>0</v>
      </c>
      <c r="G930">
        <v>0</v>
      </c>
      <c r="H930">
        <v>2</v>
      </c>
      <c r="I930">
        <v>0</v>
      </c>
      <c r="J930" s="10">
        <v>1</v>
      </c>
      <c r="K930">
        <v>0</v>
      </c>
      <c r="L930">
        <v>0</v>
      </c>
      <c r="M930">
        <v>1</v>
      </c>
      <c r="N930" s="10">
        <v>0.10321244935194179</v>
      </c>
      <c r="O930" s="11">
        <v>0.72087969576852651</v>
      </c>
      <c r="P930" s="1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 s="10">
        <v>0.45915492957746479</v>
      </c>
      <c r="W930" s="5">
        <v>1</v>
      </c>
      <c r="X930" s="5">
        <v>1</v>
      </c>
      <c r="Y930" s="5">
        <v>1</v>
      </c>
      <c r="Z930" s="5">
        <v>3</v>
      </c>
    </row>
    <row r="931" spans="1:26" x14ac:dyDescent="0.35">
      <c r="A931">
        <v>930</v>
      </c>
      <c r="B931" s="10">
        <v>0.23529411764705882</v>
      </c>
      <c r="C931">
        <v>0</v>
      </c>
      <c r="D931">
        <v>0</v>
      </c>
      <c r="E931">
        <v>0</v>
      </c>
      <c r="F931">
        <v>1</v>
      </c>
      <c r="G931">
        <v>0</v>
      </c>
      <c r="H931">
        <v>3</v>
      </c>
      <c r="I931">
        <v>0</v>
      </c>
      <c r="J931" s="10">
        <v>0.53041259038706934</v>
      </c>
      <c r="K931">
        <v>0</v>
      </c>
      <c r="L931">
        <v>1</v>
      </c>
      <c r="M931">
        <v>0</v>
      </c>
      <c r="N931" s="10">
        <v>0.23689370423903514</v>
      </c>
      <c r="O931" s="11">
        <v>0.81451337049035188</v>
      </c>
      <c r="P931" s="10">
        <v>0.125</v>
      </c>
      <c r="Q931">
        <v>0</v>
      </c>
      <c r="R931">
        <v>0</v>
      </c>
      <c r="S931">
        <v>0</v>
      </c>
      <c r="T931">
        <v>0</v>
      </c>
      <c r="U931">
        <v>0</v>
      </c>
      <c r="V931" s="10">
        <v>0.58309859154929577</v>
      </c>
      <c r="W931" s="5">
        <v>1</v>
      </c>
      <c r="X931" s="5">
        <v>1</v>
      </c>
      <c r="Y931" s="5">
        <v>1</v>
      </c>
      <c r="Z931" s="5">
        <v>3</v>
      </c>
    </row>
    <row r="932" spans="1:26" x14ac:dyDescent="0.35">
      <c r="A932">
        <v>931</v>
      </c>
      <c r="B932" s="10">
        <v>0.50980392156862742</v>
      </c>
      <c r="C932">
        <v>0</v>
      </c>
      <c r="D932">
        <v>0</v>
      </c>
      <c r="E932">
        <v>1</v>
      </c>
      <c r="F932">
        <v>0</v>
      </c>
      <c r="G932">
        <v>0</v>
      </c>
      <c r="H932">
        <v>2</v>
      </c>
      <c r="I932">
        <v>0</v>
      </c>
      <c r="J932" s="10">
        <v>0.93874946831135686</v>
      </c>
      <c r="K932">
        <v>1</v>
      </c>
      <c r="L932">
        <v>0</v>
      </c>
      <c r="M932">
        <v>0</v>
      </c>
      <c r="N932" s="10">
        <v>0.58511243276544322</v>
      </c>
      <c r="O932" s="11">
        <v>0.79892150747499946</v>
      </c>
      <c r="P932" s="10">
        <v>0.5</v>
      </c>
      <c r="Q932">
        <v>1</v>
      </c>
      <c r="R932">
        <v>1</v>
      </c>
      <c r="S932">
        <v>0</v>
      </c>
      <c r="T932">
        <v>1</v>
      </c>
      <c r="U932">
        <v>0</v>
      </c>
      <c r="V932" s="10">
        <v>5.0704225352112678E-2</v>
      </c>
      <c r="W932" s="5">
        <v>3</v>
      </c>
      <c r="X932" s="5">
        <v>2</v>
      </c>
      <c r="Y932" s="5">
        <v>3</v>
      </c>
      <c r="Z932" s="5">
        <v>8</v>
      </c>
    </row>
    <row r="933" spans="1:26" x14ac:dyDescent="0.35">
      <c r="A933">
        <v>932</v>
      </c>
      <c r="B933" s="10">
        <v>0.96078431372549022</v>
      </c>
      <c r="C933">
        <v>1</v>
      </c>
      <c r="D933">
        <v>0</v>
      </c>
      <c r="E933">
        <v>0</v>
      </c>
      <c r="F933">
        <v>0</v>
      </c>
      <c r="G933">
        <v>1</v>
      </c>
      <c r="H933">
        <v>3</v>
      </c>
      <c r="I933">
        <v>0</v>
      </c>
      <c r="J933" s="10">
        <v>0.57124627817949813</v>
      </c>
      <c r="K933">
        <v>0</v>
      </c>
      <c r="L933">
        <v>0</v>
      </c>
      <c r="M933">
        <v>1</v>
      </c>
      <c r="N933" s="10">
        <v>0.10089922517356584</v>
      </c>
      <c r="O933" s="11">
        <v>0.70516509386506765</v>
      </c>
      <c r="P933" s="10">
        <v>0</v>
      </c>
      <c r="Q933">
        <v>1</v>
      </c>
      <c r="R933">
        <v>0</v>
      </c>
      <c r="S933">
        <v>0</v>
      </c>
      <c r="T933">
        <v>1</v>
      </c>
      <c r="U933">
        <v>0</v>
      </c>
      <c r="V933" s="10">
        <v>0.90985915492957747</v>
      </c>
      <c r="W933" s="5">
        <v>1</v>
      </c>
      <c r="X933" s="5">
        <v>1</v>
      </c>
      <c r="Y933" s="5">
        <v>1</v>
      </c>
      <c r="Z933" s="5">
        <v>3</v>
      </c>
    </row>
    <row r="934" spans="1:26" x14ac:dyDescent="0.35">
      <c r="A934">
        <v>933</v>
      </c>
      <c r="B934" s="10">
        <v>0.37254901960784315</v>
      </c>
      <c r="C934">
        <v>1</v>
      </c>
      <c r="D934">
        <v>0</v>
      </c>
      <c r="E934">
        <v>0</v>
      </c>
      <c r="F934">
        <v>1</v>
      </c>
      <c r="G934">
        <v>0</v>
      </c>
      <c r="H934">
        <v>3</v>
      </c>
      <c r="I934">
        <v>0</v>
      </c>
      <c r="J934" s="10">
        <v>0.42832837090599751</v>
      </c>
      <c r="K934">
        <v>0</v>
      </c>
      <c r="L934">
        <v>1</v>
      </c>
      <c r="M934">
        <v>0</v>
      </c>
      <c r="N934" s="10">
        <v>1.9033007132194395E-2</v>
      </c>
      <c r="O934" s="11">
        <v>0.14901708283868892</v>
      </c>
      <c r="P934" s="10">
        <v>0</v>
      </c>
      <c r="Q934">
        <v>2</v>
      </c>
      <c r="R934">
        <v>1</v>
      </c>
      <c r="S934">
        <v>1</v>
      </c>
      <c r="T934">
        <v>0</v>
      </c>
      <c r="U934">
        <v>1</v>
      </c>
      <c r="V934" s="10">
        <v>0.3436619718309859</v>
      </c>
      <c r="W934" s="5">
        <v>1</v>
      </c>
      <c r="X934" s="5">
        <v>1</v>
      </c>
      <c r="Y934" s="5">
        <v>1</v>
      </c>
      <c r="Z934" s="5">
        <v>3</v>
      </c>
    </row>
    <row r="935" spans="1:26" x14ac:dyDescent="0.35">
      <c r="A935">
        <v>934</v>
      </c>
      <c r="B935" s="10">
        <v>0.23529411764705882</v>
      </c>
      <c r="C935">
        <v>1</v>
      </c>
      <c r="D935">
        <v>0</v>
      </c>
      <c r="E935">
        <v>1</v>
      </c>
      <c r="F935">
        <v>0</v>
      </c>
      <c r="G935">
        <v>0</v>
      </c>
      <c r="H935">
        <v>1</v>
      </c>
      <c r="I935">
        <v>0</v>
      </c>
      <c r="J935" s="10">
        <v>0.55082943428328379</v>
      </c>
      <c r="K935">
        <v>1</v>
      </c>
      <c r="L935">
        <v>0</v>
      </c>
      <c r="M935">
        <v>0</v>
      </c>
      <c r="N935" s="10">
        <v>8.0708125014809368E-2</v>
      </c>
      <c r="O935" s="11">
        <v>0.56799935612386565</v>
      </c>
      <c r="P935" s="10">
        <v>0</v>
      </c>
      <c r="Q935">
        <v>1</v>
      </c>
      <c r="R935">
        <v>0</v>
      </c>
      <c r="S935">
        <v>0</v>
      </c>
      <c r="T935">
        <v>0</v>
      </c>
      <c r="U935">
        <v>1</v>
      </c>
      <c r="V935" s="10">
        <v>0.94084507042253518</v>
      </c>
      <c r="W935" s="5">
        <v>1</v>
      </c>
      <c r="X935" s="5">
        <v>1</v>
      </c>
      <c r="Y935" s="5">
        <v>1</v>
      </c>
      <c r="Z935" s="5">
        <v>3</v>
      </c>
    </row>
    <row r="936" spans="1:26" x14ac:dyDescent="0.35">
      <c r="A936">
        <v>935</v>
      </c>
      <c r="B936" s="10">
        <v>0.74509803921568629</v>
      </c>
      <c r="C936">
        <v>1</v>
      </c>
      <c r="D936">
        <v>0</v>
      </c>
      <c r="E936">
        <v>0</v>
      </c>
      <c r="F936">
        <v>0</v>
      </c>
      <c r="G936">
        <v>1</v>
      </c>
      <c r="H936">
        <v>3</v>
      </c>
      <c r="I936">
        <v>1</v>
      </c>
      <c r="J936" s="10">
        <v>0.67333049766056996</v>
      </c>
      <c r="K936">
        <v>0</v>
      </c>
      <c r="L936">
        <v>1</v>
      </c>
      <c r="M936">
        <v>0</v>
      </c>
      <c r="N936" s="10">
        <v>0.27533291472170224</v>
      </c>
      <c r="O936" s="11">
        <v>0.4725396889273426</v>
      </c>
      <c r="P936" s="10">
        <v>0.375</v>
      </c>
      <c r="Q936">
        <v>2</v>
      </c>
      <c r="R936">
        <v>0</v>
      </c>
      <c r="S936">
        <v>0</v>
      </c>
      <c r="T936">
        <v>0</v>
      </c>
      <c r="U936">
        <v>1</v>
      </c>
      <c r="V936" s="10">
        <v>0.57183098591549297</v>
      </c>
      <c r="W936" s="5">
        <v>1</v>
      </c>
      <c r="X936" s="5">
        <v>2</v>
      </c>
      <c r="Y936" s="5">
        <v>2</v>
      </c>
      <c r="Z936" s="5">
        <v>5</v>
      </c>
    </row>
    <row r="937" spans="1:26" x14ac:dyDescent="0.35">
      <c r="A937">
        <v>936</v>
      </c>
      <c r="B937" s="10">
        <v>0.13725490196078433</v>
      </c>
      <c r="C937">
        <v>1</v>
      </c>
      <c r="D937">
        <v>0</v>
      </c>
      <c r="E937">
        <v>1</v>
      </c>
      <c r="F937">
        <v>0</v>
      </c>
      <c r="G937">
        <v>0</v>
      </c>
      <c r="H937">
        <v>2</v>
      </c>
      <c r="I937">
        <v>0</v>
      </c>
      <c r="J937" s="10">
        <v>0.59166312207571248</v>
      </c>
      <c r="K937">
        <v>1</v>
      </c>
      <c r="L937">
        <v>0</v>
      </c>
      <c r="M937">
        <v>0</v>
      </c>
      <c r="N937" s="10">
        <v>0.76468793687652548</v>
      </c>
      <c r="O937" s="11">
        <v>0.57939238661184789</v>
      </c>
      <c r="P937" s="10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 s="10">
        <v>5.6338028169014088E-3</v>
      </c>
      <c r="W937" s="5">
        <v>3</v>
      </c>
      <c r="X937" s="5">
        <v>3</v>
      </c>
      <c r="Y937" s="5">
        <v>3</v>
      </c>
      <c r="Z937" s="5">
        <v>9</v>
      </c>
    </row>
    <row r="938" spans="1:26" x14ac:dyDescent="0.35">
      <c r="A938">
        <v>937</v>
      </c>
      <c r="B938" s="10">
        <v>0.31372549019607843</v>
      </c>
      <c r="C938">
        <v>1</v>
      </c>
      <c r="D938">
        <v>0</v>
      </c>
      <c r="E938">
        <v>0</v>
      </c>
      <c r="F938">
        <v>0</v>
      </c>
      <c r="G938">
        <v>1</v>
      </c>
      <c r="H938">
        <v>2</v>
      </c>
      <c r="I938">
        <v>1</v>
      </c>
      <c r="J938" s="10">
        <v>0.48957890259464065</v>
      </c>
      <c r="K938">
        <v>1</v>
      </c>
      <c r="L938">
        <v>0</v>
      </c>
      <c r="M938">
        <v>0</v>
      </c>
      <c r="N938" s="10">
        <v>0.54287017510603508</v>
      </c>
      <c r="O938" s="11">
        <v>0.5296628561080563</v>
      </c>
      <c r="P938" s="10">
        <v>0.75</v>
      </c>
      <c r="Q938">
        <v>2</v>
      </c>
      <c r="R938">
        <v>1</v>
      </c>
      <c r="S938">
        <v>1</v>
      </c>
      <c r="T938">
        <v>0</v>
      </c>
      <c r="U938">
        <v>1</v>
      </c>
      <c r="V938" s="10">
        <v>0.22535211267605634</v>
      </c>
      <c r="W938" s="5">
        <v>2</v>
      </c>
      <c r="X938" s="5">
        <v>2</v>
      </c>
      <c r="Y938" s="5">
        <v>3</v>
      </c>
      <c r="Z938" s="5">
        <v>7</v>
      </c>
    </row>
    <row r="939" spans="1:26" x14ac:dyDescent="0.35">
      <c r="A939">
        <v>938</v>
      </c>
      <c r="B939" s="10">
        <v>0.56862745098039214</v>
      </c>
      <c r="C939">
        <v>0</v>
      </c>
      <c r="D939">
        <v>0</v>
      </c>
      <c r="E939">
        <v>0</v>
      </c>
      <c r="F939">
        <v>0</v>
      </c>
      <c r="G939">
        <v>1</v>
      </c>
      <c r="H939">
        <v>1</v>
      </c>
      <c r="I939">
        <v>0</v>
      </c>
      <c r="J939" s="10">
        <v>0.65291365376435562</v>
      </c>
      <c r="K939">
        <v>0</v>
      </c>
      <c r="L939">
        <v>1</v>
      </c>
      <c r="M939">
        <v>0</v>
      </c>
      <c r="N939" s="10">
        <v>0.2032231121010355</v>
      </c>
      <c r="O939" s="11">
        <v>0.46676324808681602</v>
      </c>
      <c r="P939" s="10">
        <v>0.25</v>
      </c>
      <c r="Q939">
        <v>1</v>
      </c>
      <c r="R939">
        <v>1</v>
      </c>
      <c r="S939">
        <v>0</v>
      </c>
      <c r="T939">
        <v>1</v>
      </c>
      <c r="U939">
        <v>0</v>
      </c>
      <c r="V939" s="10">
        <v>0.42253521126760563</v>
      </c>
      <c r="W939" s="5">
        <v>1</v>
      </c>
      <c r="X939" s="5">
        <v>2</v>
      </c>
      <c r="Y939" s="5">
        <v>1</v>
      </c>
      <c r="Z939" s="5">
        <v>4</v>
      </c>
    </row>
    <row r="940" spans="1:26" x14ac:dyDescent="0.35">
      <c r="A940">
        <v>939</v>
      </c>
      <c r="B940" s="10">
        <v>0</v>
      </c>
      <c r="C940">
        <v>1</v>
      </c>
      <c r="D940">
        <v>1</v>
      </c>
      <c r="E940">
        <v>0</v>
      </c>
      <c r="F940">
        <v>0</v>
      </c>
      <c r="G940">
        <v>0</v>
      </c>
      <c r="H940">
        <v>2</v>
      </c>
      <c r="I940">
        <v>0</v>
      </c>
      <c r="J940" s="10">
        <v>0.1220757124627818</v>
      </c>
      <c r="K940">
        <v>0</v>
      </c>
      <c r="L940">
        <v>1</v>
      </c>
      <c r="M940">
        <v>0</v>
      </c>
      <c r="N940" s="10">
        <v>0.11393739781532118</v>
      </c>
      <c r="O940" s="11">
        <v>0.7937383045936538</v>
      </c>
      <c r="P940" s="1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 s="10">
        <v>0.50422535211267605</v>
      </c>
      <c r="W940" s="5">
        <v>1</v>
      </c>
      <c r="X940" s="5">
        <v>1</v>
      </c>
      <c r="Y940" s="5">
        <v>1</v>
      </c>
      <c r="Z940" s="5">
        <v>3</v>
      </c>
    </row>
    <row r="941" spans="1:26" x14ac:dyDescent="0.35">
      <c r="A941">
        <v>940</v>
      </c>
      <c r="B941" s="10">
        <v>0.45098039215686275</v>
      </c>
      <c r="C941">
        <v>1</v>
      </c>
      <c r="D941">
        <v>0</v>
      </c>
      <c r="E941">
        <v>0</v>
      </c>
      <c r="F941">
        <v>1</v>
      </c>
      <c r="G941">
        <v>0</v>
      </c>
      <c r="H941">
        <v>1</v>
      </c>
      <c r="I941">
        <v>0</v>
      </c>
      <c r="J941" s="10">
        <v>0.55082943428328379</v>
      </c>
      <c r="K941">
        <v>1</v>
      </c>
      <c r="L941">
        <v>0</v>
      </c>
      <c r="M941">
        <v>0</v>
      </c>
      <c r="N941" s="10">
        <v>0.45216868469066179</v>
      </c>
      <c r="O941" s="11">
        <v>0.44163866476186647</v>
      </c>
      <c r="P941" s="10">
        <v>0.75</v>
      </c>
      <c r="Q941">
        <v>2</v>
      </c>
      <c r="R941">
        <v>1</v>
      </c>
      <c r="S941">
        <v>1</v>
      </c>
      <c r="T941">
        <v>0</v>
      </c>
      <c r="U941">
        <v>0</v>
      </c>
      <c r="V941" s="10">
        <v>0.15492957746478872</v>
      </c>
      <c r="W941" s="5">
        <v>2</v>
      </c>
      <c r="X941" s="5">
        <v>2</v>
      </c>
      <c r="Y941" s="5">
        <v>2</v>
      </c>
      <c r="Z941" s="5">
        <v>6</v>
      </c>
    </row>
    <row r="942" spans="1:26" x14ac:dyDescent="0.35">
      <c r="A942">
        <v>941</v>
      </c>
      <c r="B942" s="10">
        <v>0.29411764705882354</v>
      </c>
      <c r="C942">
        <v>1</v>
      </c>
      <c r="D942">
        <v>0</v>
      </c>
      <c r="E942">
        <v>0</v>
      </c>
      <c r="F942">
        <v>0</v>
      </c>
      <c r="G942">
        <v>1</v>
      </c>
      <c r="H942">
        <v>3</v>
      </c>
      <c r="I942">
        <v>0</v>
      </c>
      <c r="J942" s="10">
        <v>0.32624415142492558</v>
      </c>
      <c r="K942">
        <v>0</v>
      </c>
      <c r="L942">
        <v>1</v>
      </c>
      <c r="M942">
        <v>0</v>
      </c>
      <c r="N942" s="10">
        <v>0.4238531620974812</v>
      </c>
      <c r="O942" s="11">
        <v>0.48318544303372968</v>
      </c>
      <c r="P942" s="10">
        <v>0.625</v>
      </c>
      <c r="Q942">
        <v>0</v>
      </c>
      <c r="R942">
        <v>0</v>
      </c>
      <c r="S942">
        <v>0</v>
      </c>
      <c r="T942">
        <v>0</v>
      </c>
      <c r="U942">
        <v>0</v>
      </c>
      <c r="V942" s="10">
        <v>1.9718309859154931E-2</v>
      </c>
      <c r="W942" s="5">
        <v>3</v>
      </c>
      <c r="X942" s="5">
        <v>2</v>
      </c>
      <c r="Y942" s="5">
        <v>2</v>
      </c>
      <c r="Z942" s="5">
        <v>7</v>
      </c>
    </row>
    <row r="943" spans="1:26" x14ac:dyDescent="0.35">
      <c r="A943">
        <v>942</v>
      </c>
      <c r="B943" s="10">
        <v>0.19607843137254902</v>
      </c>
      <c r="C943">
        <v>0</v>
      </c>
      <c r="D943">
        <v>0</v>
      </c>
      <c r="E943">
        <v>1</v>
      </c>
      <c r="F943">
        <v>0</v>
      </c>
      <c r="G943">
        <v>0</v>
      </c>
      <c r="H943">
        <v>3</v>
      </c>
      <c r="I943">
        <v>0</v>
      </c>
      <c r="J943" s="10">
        <v>0.7345810293492131</v>
      </c>
      <c r="K943">
        <v>0</v>
      </c>
      <c r="L943">
        <v>0</v>
      </c>
      <c r="M943">
        <v>1</v>
      </c>
      <c r="N943" s="10">
        <v>0.45305428524038571</v>
      </c>
      <c r="O943" s="11">
        <v>0.44249812442331399</v>
      </c>
      <c r="P943" s="10">
        <v>0.75</v>
      </c>
      <c r="Q943">
        <v>0</v>
      </c>
      <c r="R943">
        <v>0</v>
      </c>
      <c r="S943">
        <v>0</v>
      </c>
      <c r="T943">
        <v>0</v>
      </c>
      <c r="U943">
        <v>0</v>
      </c>
      <c r="V943" s="10">
        <v>0.11267605633802817</v>
      </c>
      <c r="W943" s="5">
        <v>2</v>
      </c>
      <c r="X943" s="5">
        <v>2</v>
      </c>
      <c r="Y943" s="5">
        <v>2</v>
      </c>
      <c r="Z943" s="5">
        <v>6</v>
      </c>
    </row>
    <row r="944" spans="1:26" x14ac:dyDescent="0.35">
      <c r="A944">
        <v>943</v>
      </c>
      <c r="B944" s="10">
        <v>5.8823529411764705E-2</v>
      </c>
      <c r="C944">
        <v>1</v>
      </c>
      <c r="D944">
        <v>0</v>
      </c>
      <c r="E944">
        <v>0</v>
      </c>
      <c r="F944">
        <v>1</v>
      </c>
      <c r="G944">
        <v>0</v>
      </c>
      <c r="H944">
        <v>3</v>
      </c>
      <c r="I944">
        <v>0</v>
      </c>
      <c r="J944" s="10">
        <v>0.9591663122075712</v>
      </c>
      <c r="K944">
        <v>0</v>
      </c>
      <c r="L944">
        <v>1</v>
      </c>
      <c r="M944">
        <v>0</v>
      </c>
      <c r="N944" s="10">
        <v>0.11525247020354003</v>
      </c>
      <c r="O944" s="11">
        <v>0.40133604297873199</v>
      </c>
      <c r="P944" s="10">
        <v>0.125</v>
      </c>
      <c r="Q944">
        <v>1</v>
      </c>
      <c r="R944">
        <v>0</v>
      </c>
      <c r="S944">
        <v>0</v>
      </c>
      <c r="T944">
        <v>1</v>
      </c>
      <c r="U944">
        <v>0</v>
      </c>
      <c r="V944" s="10">
        <v>0.42535211267605633</v>
      </c>
      <c r="W944" s="5">
        <v>1</v>
      </c>
      <c r="X944" s="5">
        <v>1</v>
      </c>
      <c r="Y944" s="5">
        <v>1</v>
      </c>
      <c r="Z944" s="5">
        <v>3</v>
      </c>
    </row>
    <row r="945" spans="1:26" x14ac:dyDescent="0.35">
      <c r="A945">
        <v>944</v>
      </c>
      <c r="B945" s="10">
        <v>5.8823529411764705E-2</v>
      </c>
      <c r="C945">
        <v>0</v>
      </c>
      <c r="D945">
        <v>0</v>
      </c>
      <c r="E945">
        <v>0</v>
      </c>
      <c r="F945">
        <v>1</v>
      </c>
      <c r="G945">
        <v>0</v>
      </c>
      <c r="H945">
        <v>1</v>
      </c>
      <c r="I945">
        <v>0</v>
      </c>
      <c r="J945" s="10">
        <v>0.61207996597192693</v>
      </c>
      <c r="K945">
        <v>0</v>
      </c>
      <c r="L945">
        <v>1</v>
      </c>
      <c r="M945">
        <v>0</v>
      </c>
      <c r="N945" s="10">
        <v>0.37624694926900926</v>
      </c>
      <c r="O945" s="11">
        <v>0.5151411497213223</v>
      </c>
      <c r="P945" s="10">
        <v>0.5</v>
      </c>
      <c r="Q945">
        <v>2</v>
      </c>
      <c r="R945">
        <v>1</v>
      </c>
      <c r="S945">
        <v>1</v>
      </c>
      <c r="T945">
        <v>0</v>
      </c>
      <c r="U945">
        <v>0</v>
      </c>
      <c r="V945" s="10">
        <v>0.30140845070422534</v>
      </c>
      <c r="W945" s="5">
        <v>1</v>
      </c>
      <c r="X945" s="5">
        <v>2</v>
      </c>
      <c r="Y945" s="5">
        <v>2</v>
      </c>
      <c r="Z945" s="5">
        <v>5</v>
      </c>
    </row>
    <row r="946" spans="1:26" x14ac:dyDescent="0.35">
      <c r="A946">
        <v>945</v>
      </c>
      <c r="B946" s="10">
        <v>0.31372549019607843</v>
      </c>
      <c r="C946">
        <v>1</v>
      </c>
      <c r="D946">
        <v>0</v>
      </c>
      <c r="E946">
        <v>0</v>
      </c>
      <c r="F946">
        <v>1</v>
      </c>
      <c r="G946">
        <v>0</v>
      </c>
      <c r="H946">
        <v>2</v>
      </c>
      <c r="I946">
        <v>0</v>
      </c>
      <c r="J946" s="10">
        <v>0.30582730752871118</v>
      </c>
      <c r="K946">
        <v>0</v>
      </c>
      <c r="L946">
        <v>1</v>
      </c>
      <c r="M946">
        <v>0</v>
      </c>
      <c r="N946" s="10">
        <v>0.15739402412150796</v>
      </c>
      <c r="O946" s="11">
        <v>0.21779110243666877</v>
      </c>
      <c r="P946" s="10">
        <v>0.5</v>
      </c>
      <c r="Q946">
        <v>0</v>
      </c>
      <c r="R946">
        <v>0</v>
      </c>
      <c r="S946">
        <v>0</v>
      </c>
      <c r="T946">
        <v>0</v>
      </c>
      <c r="U946">
        <v>0</v>
      </c>
      <c r="V946" s="10">
        <v>0.3295774647887324</v>
      </c>
      <c r="W946" s="5">
        <v>1</v>
      </c>
      <c r="X946" s="5">
        <v>2</v>
      </c>
      <c r="Y946" s="5">
        <v>1</v>
      </c>
      <c r="Z946" s="5">
        <v>4</v>
      </c>
    </row>
    <row r="947" spans="1:26" x14ac:dyDescent="0.35">
      <c r="A947">
        <v>946</v>
      </c>
      <c r="B947" s="10">
        <v>0.94117647058823528</v>
      </c>
      <c r="C947">
        <v>1</v>
      </c>
      <c r="D947">
        <v>1</v>
      </c>
      <c r="E947">
        <v>0</v>
      </c>
      <c r="F947">
        <v>0</v>
      </c>
      <c r="G947">
        <v>0</v>
      </c>
      <c r="H947">
        <v>2</v>
      </c>
      <c r="I947">
        <v>0</v>
      </c>
      <c r="J947" s="10">
        <v>0.16290940025521056</v>
      </c>
      <c r="K947">
        <v>1</v>
      </c>
      <c r="L947">
        <v>0</v>
      </c>
      <c r="M947">
        <v>0</v>
      </c>
      <c r="N947" s="10">
        <v>0.13092078762173304</v>
      </c>
      <c r="O947" s="11">
        <v>0.30303761980455673</v>
      </c>
      <c r="P947" s="10">
        <v>0.25</v>
      </c>
      <c r="Q947">
        <v>0</v>
      </c>
      <c r="R947">
        <v>0</v>
      </c>
      <c r="S947">
        <v>0</v>
      </c>
      <c r="T947">
        <v>0</v>
      </c>
      <c r="U947">
        <v>0</v>
      </c>
      <c r="V947" s="10">
        <v>0.16901408450704225</v>
      </c>
      <c r="W947" s="5">
        <v>2</v>
      </c>
      <c r="X947" s="5">
        <v>2</v>
      </c>
      <c r="Y947" s="5">
        <v>1</v>
      </c>
      <c r="Z947" s="5">
        <v>5</v>
      </c>
    </row>
    <row r="948" spans="1:26" x14ac:dyDescent="0.35">
      <c r="A948">
        <v>947</v>
      </c>
      <c r="B948" s="10">
        <v>0.17647058823529413</v>
      </c>
      <c r="C948">
        <v>0</v>
      </c>
      <c r="D948">
        <v>0</v>
      </c>
      <c r="E948">
        <v>0</v>
      </c>
      <c r="F948">
        <v>0</v>
      </c>
      <c r="G948">
        <v>1</v>
      </c>
      <c r="H948">
        <v>3</v>
      </c>
      <c r="I948">
        <v>1</v>
      </c>
      <c r="J948" s="10">
        <v>0.63249680986814127</v>
      </c>
      <c r="K948">
        <v>0</v>
      </c>
      <c r="L948">
        <v>1</v>
      </c>
      <c r="M948">
        <v>0</v>
      </c>
      <c r="N948" s="10">
        <v>0.17156955666658766</v>
      </c>
      <c r="O948" s="11">
        <v>0.39508507884129124</v>
      </c>
      <c r="P948" s="10">
        <v>0.25</v>
      </c>
      <c r="Q948">
        <v>1</v>
      </c>
      <c r="R948">
        <v>1</v>
      </c>
      <c r="S948">
        <v>0</v>
      </c>
      <c r="T948">
        <v>0</v>
      </c>
      <c r="U948">
        <v>1</v>
      </c>
      <c r="V948" s="10">
        <v>0.30704225352112674</v>
      </c>
      <c r="W948" s="5">
        <v>1</v>
      </c>
      <c r="X948" s="5">
        <v>2</v>
      </c>
      <c r="Y948" s="5">
        <v>1</v>
      </c>
      <c r="Z948" s="5">
        <v>4</v>
      </c>
    </row>
    <row r="949" spans="1:26" x14ac:dyDescent="0.35">
      <c r="A949">
        <v>948</v>
      </c>
      <c r="B949" s="10">
        <v>0.39215686274509803</v>
      </c>
      <c r="C949">
        <v>1</v>
      </c>
      <c r="D949">
        <v>0</v>
      </c>
      <c r="E949">
        <v>0</v>
      </c>
      <c r="F949">
        <v>0</v>
      </c>
      <c r="G949">
        <v>1</v>
      </c>
      <c r="H949">
        <v>2</v>
      </c>
      <c r="I949">
        <v>1</v>
      </c>
      <c r="J949" s="10">
        <v>0.18332624415142493</v>
      </c>
      <c r="K949">
        <v>1</v>
      </c>
      <c r="L949">
        <v>0</v>
      </c>
      <c r="M949">
        <v>0</v>
      </c>
      <c r="N949" s="10">
        <v>0.41653436959457851</v>
      </c>
      <c r="O949" s="11">
        <v>0.56987866959093736</v>
      </c>
      <c r="P949" s="10">
        <v>0.5</v>
      </c>
      <c r="Q949">
        <v>0</v>
      </c>
      <c r="R949">
        <v>0</v>
      </c>
      <c r="S949">
        <v>0</v>
      </c>
      <c r="T949">
        <v>0</v>
      </c>
      <c r="U949">
        <v>0</v>
      </c>
      <c r="V949" s="10">
        <v>0.23661971830985915</v>
      </c>
      <c r="W949" s="5">
        <v>1</v>
      </c>
      <c r="X949" s="5">
        <v>2</v>
      </c>
      <c r="Y949" s="5">
        <v>2</v>
      </c>
      <c r="Z949" s="5">
        <v>5</v>
      </c>
    </row>
    <row r="950" spans="1:26" x14ac:dyDescent="0.35">
      <c r="A950">
        <v>949</v>
      </c>
      <c r="B950" s="10">
        <v>0.72549019607843135</v>
      </c>
      <c r="C950">
        <v>1</v>
      </c>
      <c r="D950">
        <v>0</v>
      </c>
      <c r="E950">
        <v>0</v>
      </c>
      <c r="F950">
        <v>0</v>
      </c>
      <c r="G950">
        <v>1</v>
      </c>
      <c r="H950">
        <v>1</v>
      </c>
      <c r="I950">
        <v>0</v>
      </c>
      <c r="J950" s="10">
        <v>0.85708209272649938</v>
      </c>
      <c r="K950">
        <v>0</v>
      </c>
      <c r="L950">
        <v>0</v>
      </c>
      <c r="M950">
        <v>1</v>
      </c>
      <c r="N950" s="10">
        <v>0.28034144492097718</v>
      </c>
      <c r="O950" s="11">
        <v>0.4810458962957001</v>
      </c>
      <c r="P950" s="10">
        <v>0.375</v>
      </c>
      <c r="Q950">
        <v>0</v>
      </c>
      <c r="R950">
        <v>0</v>
      </c>
      <c r="S950">
        <v>0</v>
      </c>
      <c r="T950">
        <v>0</v>
      </c>
      <c r="U950">
        <v>0</v>
      </c>
      <c r="V950" s="10">
        <v>0.27323943661971833</v>
      </c>
      <c r="W950" s="5">
        <v>1</v>
      </c>
      <c r="X950" s="5">
        <v>2</v>
      </c>
      <c r="Y950" s="5">
        <v>2</v>
      </c>
      <c r="Z950" s="5">
        <v>5</v>
      </c>
    </row>
    <row r="951" spans="1:26" x14ac:dyDescent="0.35">
      <c r="A951">
        <v>950</v>
      </c>
      <c r="B951" s="10">
        <v>0.94117647058823528</v>
      </c>
      <c r="C951">
        <v>0</v>
      </c>
      <c r="D951">
        <v>0</v>
      </c>
      <c r="E951">
        <v>0</v>
      </c>
      <c r="F951">
        <v>0</v>
      </c>
      <c r="G951">
        <v>1</v>
      </c>
      <c r="H951">
        <v>1</v>
      </c>
      <c r="I951">
        <v>0</v>
      </c>
      <c r="J951" s="10">
        <v>0.42832837090599751</v>
      </c>
      <c r="K951">
        <v>0</v>
      </c>
      <c r="L951">
        <v>0</v>
      </c>
      <c r="M951">
        <v>1</v>
      </c>
      <c r="N951" s="10">
        <v>0.31851112480155441</v>
      </c>
      <c r="O951" s="11">
        <v>0.54587114428861749</v>
      </c>
      <c r="P951" s="10">
        <v>0.375</v>
      </c>
      <c r="Q951">
        <v>0</v>
      </c>
      <c r="R951">
        <v>0</v>
      </c>
      <c r="S951">
        <v>0</v>
      </c>
      <c r="T951">
        <v>0</v>
      </c>
      <c r="U951">
        <v>0</v>
      </c>
      <c r="V951" s="10">
        <v>8.4507042253521125E-2</v>
      </c>
      <c r="W951" s="5">
        <v>2</v>
      </c>
      <c r="X951" s="5">
        <v>2</v>
      </c>
      <c r="Y951" s="5">
        <v>2</v>
      </c>
      <c r="Z951" s="5">
        <v>6</v>
      </c>
    </row>
    <row r="952" spans="1:26" x14ac:dyDescent="0.35">
      <c r="A952">
        <v>951</v>
      </c>
      <c r="B952" s="10">
        <v>0.33333333333333331</v>
      </c>
      <c r="C952">
        <v>0</v>
      </c>
      <c r="D952">
        <v>0</v>
      </c>
      <c r="E952">
        <v>1</v>
      </c>
      <c r="F952">
        <v>0</v>
      </c>
      <c r="G952">
        <v>0</v>
      </c>
      <c r="H952">
        <v>1</v>
      </c>
      <c r="I952">
        <v>0</v>
      </c>
      <c r="J952" s="10">
        <v>0.79583156103785624</v>
      </c>
      <c r="K952">
        <v>0</v>
      </c>
      <c r="L952">
        <v>0</v>
      </c>
      <c r="M952">
        <v>1</v>
      </c>
      <c r="N952" s="10">
        <v>0.43987394261071483</v>
      </c>
      <c r="O952" s="11">
        <v>0.4297068351475884</v>
      </c>
      <c r="P952" s="10">
        <v>0.75</v>
      </c>
      <c r="Q952">
        <v>2</v>
      </c>
      <c r="R952">
        <v>1</v>
      </c>
      <c r="S952">
        <v>1</v>
      </c>
      <c r="T952">
        <v>0</v>
      </c>
      <c r="U952">
        <v>1</v>
      </c>
      <c r="V952" s="10">
        <v>0.19436619718309858</v>
      </c>
      <c r="W952" s="5">
        <v>2</v>
      </c>
      <c r="X952" s="5">
        <v>2</v>
      </c>
      <c r="Y952" s="5">
        <v>2</v>
      </c>
      <c r="Z952" s="5">
        <v>6</v>
      </c>
    </row>
    <row r="953" spans="1:26" x14ac:dyDescent="0.35">
      <c r="A953">
        <v>952</v>
      </c>
      <c r="B953" s="10">
        <v>0.17647058823529413</v>
      </c>
      <c r="C953">
        <v>1</v>
      </c>
      <c r="D953">
        <v>0</v>
      </c>
      <c r="E953">
        <v>0</v>
      </c>
      <c r="F953">
        <v>0</v>
      </c>
      <c r="G953">
        <v>1</v>
      </c>
      <c r="H953">
        <v>1</v>
      </c>
      <c r="I953">
        <v>0</v>
      </c>
      <c r="J953" s="10">
        <v>0.79583156103785624</v>
      </c>
      <c r="K953">
        <v>0</v>
      </c>
      <c r="L953">
        <v>1</v>
      </c>
      <c r="M953">
        <v>0</v>
      </c>
      <c r="N953" s="10">
        <v>9.9083595952894329E-2</v>
      </c>
      <c r="O953" s="11">
        <v>0.69283084166683429</v>
      </c>
      <c r="P953" s="10">
        <v>0</v>
      </c>
      <c r="Q953">
        <v>1</v>
      </c>
      <c r="R953">
        <v>1</v>
      </c>
      <c r="S953">
        <v>0</v>
      </c>
      <c r="T953">
        <v>1</v>
      </c>
      <c r="U953">
        <v>0</v>
      </c>
      <c r="V953" s="10">
        <v>0.95774647887323938</v>
      </c>
      <c r="W953" s="5">
        <v>1</v>
      </c>
      <c r="X953" s="5">
        <v>1</v>
      </c>
      <c r="Y953" s="5">
        <v>1</v>
      </c>
      <c r="Z953" s="5">
        <v>3</v>
      </c>
    </row>
    <row r="954" spans="1:26" x14ac:dyDescent="0.35">
      <c r="A954">
        <v>953</v>
      </c>
      <c r="B954" s="10">
        <v>0.86274509803921573</v>
      </c>
      <c r="C954">
        <v>1</v>
      </c>
      <c r="D954">
        <v>0</v>
      </c>
      <c r="E954">
        <v>0</v>
      </c>
      <c r="F954">
        <v>1</v>
      </c>
      <c r="G954">
        <v>0</v>
      </c>
      <c r="H954">
        <v>2</v>
      </c>
      <c r="I954">
        <v>0</v>
      </c>
      <c r="J954" s="10">
        <v>0.87749893662271372</v>
      </c>
      <c r="K954">
        <v>0</v>
      </c>
      <c r="L954">
        <v>1</v>
      </c>
      <c r="M954">
        <v>0</v>
      </c>
      <c r="N954" s="10">
        <v>0.76143283652820881</v>
      </c>
      <c r="O954" s="11">
        <v>0.5769353731686977</v>
      </c>
      <c r="P954" s="10">
        <v>1</v>
      </c>
      <c r="Q954">
        <v>2</v>
      </c>
      <c r="R954">
        <v>1</v>
      </c>
      <c r="S954">
        <v>1</v>
      </c>
      <c r="T954">
        <v>0</v>
      </c>
      <c r="U954">
        <v>1</v>
      </c>
      <c r="V954" s="10">
        <v>2.5352112676056339E-2</v>
      </c>
      <c r="W954" s="5">
        <v>3</v>
      </c>
      <c r="X954" s="5">
        <v>3</v>
      </c>
      <c r="Y954" s="5">
        <v>3</v>
      </c>
      <c r="Z954" s="5">
        <v>9</v>
      </c>
    </row>
    <row r="955" spans="1:26" x14ac:dyDescent="0.35">
      <c r="A955">
        <v>954</v>
      </c>
      <c r="B955" s="10">
        <v>0.29411764705882354</v>
      </c>
      <c r="C955">
        <v>0</v>
      </c>
      <c r="D955">
        <v>0</v>
      </c>
      <c r="E955">
        <v>0</v>
      </c>
      <c r="F955">
        <v>0</v>
      </c>
      <c r="G955">
        <v>1</v>
      </c>
      <c r="H955">
        <v>1</v>
      </c>
      <c r="I955">
        <v>0</v>
      </c>
      <c r="J955" s="10">
        <v>0.40791152700978311</v>
      </c>
      <c r="K955">
        <v>0</v>
      </c>
      <c r="L955">
        <v>0</v>
      </c>
      <c r="M955">
        <v>1</v>
      </c>
      <c r="N955" s="10">
        <v>0.5922327796602137</v>
      </c>
      <c r="O955" s="11">
        <v>0.67382978866107313</v>
      </c>
      <c r="P955" s="10">
        <v>0.625</v>
      </c>
      <c r="Q955">
        <v>0</v>
      </c>
      <c r="R955">
        <v>0</v>
      </c>
      <c r="S955">
        <v>0</v>
      </c>
      <c r="T955">
        <v>0</v>
      </c>
      <c r="U955">
        <v>0</v>
      </c>
      <c r="V955" s="10">
        <v>0.15492957746478872</v>
      </c>
      <c r="W955" s="5">
        <v>2</v>
      </c>
      <c r="X955" s="5">
        <v>2</v>
      </c>
      <c r="Y955" s="5">
        <v>3</v>
      </c>
      <c r="Z955" s="5">
        <v>7</v>
      </c>
    </row>
    <row r="956" spans="1:26" x14ac:dyDescent="0.35">
      <c r="A956">
        <v>955</v>
      </c>
      <c r="B956" s="10">
        <v>0.74509803921568629</v>
      </c>
      <c r="C956">
        <v>0</v>
      </c>
      <c r="D956">
        <v>0</v>
      </c>
      <c r="E956">
        <v>0</v>
      </c>
      <c r="F956">
        <v>0</v>
      </c>
      <c r="G956">
        <v>1</v>
      </c>
      <c r="H956">
        <v>2</v>
      </c>
      <c r="I956">
        <v>0</v>
      </c>
      <c r="J956" s="10">
        <v>0.53041259038706934</v>
      </c>
      <c r="K956">
        <v>0</v>
      </c>
      <c r="L956">
        <v>1</v>
      </c>
      <c r="M956">
        <v>0</v>
      </c>
      <c r="N956" s="10">
        <v>0.4276769423974599</v>
      </c>
      <c r="O956" s="11">
        <v>0.48751483933278333</v>
      </c>
      <c r="P956" s="10">
        <v>0.625</v>
      </c>
      <c r="Q956">
        <v>2</v>
      </c>
      <c r="R956">
        <v>1</v>
      </c>
      <c r="S956">
        <v>1</v>
      </c>
      <c r="T956">
        <v>1</v>
      </c>
      <c r="U956">
        <v>0</v>
      </c>
      <c r="V956" s="10">
        <v>4.507042253521127E-2</v>
      </c>
      <c r="W956" s="5">
        <v>3</v>
      </c>
      <c r="X956" s="5">
        <v>2</v>
      </c>
      <c r="Y956" s="5">
        <v>2</v>
      </c>
      <c r="Z956" s="5">
        <v>7</v>
      </c>
    </row>
    <row r="957" spans="1:26" x14ac:dyDescent="0.35">
      <c r="A957">
        <v>956</v>
      </c>
      <c r="B957" s="10">
        <v>0.27450980392156865</v>
      </c>
      <c r="C957">
        <v>0</v>
      </c>
      <c r="D957">
        <v>0</v>
      </c>
      <c r="E957">
        <v>0</v>
      </c>
      <c r="F957">
        <v>0</v>
      </c>
      <c r="G957">
        <v>1</v>
      </c>
      <c r="H957">
        <v>3</v>
      </c>
      <c r="I957">
        <v>0</v>
      </c>
      <c r="J957" s="10">
        <v>0.7754147171416419</v>
      </c>
      <c r="K957">
        <v>0</v>
      </c>
      <c r="L957">
        <v>0</v>
      </c>
      <c r="M957">
        <v>1</v>
      </c>
      <c r="N957" s="10">
        <v>0.25123806364476459</v>
      </c>
      <c r="O957" s="11">
        <v>0.57549112322850227</v>
      </c>
      <c r="P957" s="10">
        <v>0.25</v>
      </c>
      <c r="Q957">
        <v>0</v>
      </c>
      <c r="R957">
        <v>0</v>
      </c>
      <c r="S957">
        <v>0</v>
      </c>
      <c r="T957">
        <v>0</v>
      </c>
      <c r="U957">
        <v>0</v>
      </c>
      <c r="V957" s="10">
        <v>0.3436619718309859</v>
      </c>
      <c r="W957" s="5">
        <v>1</v>
      </c>
      <c r="X957" s="5">
        <v>2</v>
      </c>
      <c r="Y957" s="5">
        <v>2</v>
      </c>
      <c r="Z957" s="5">
        <v>5</v>
      </c>
    </row>
    <row r="958" spans="1:26" x14ac:dyDescent="0.35">
      <c r="A958">
        <v>957</v>
      </c>
      <c r="B958" s="10">
        <v>0.6470588235294118</v>
      </c>
      <c r="C958">
        <v>0</v>
      </c>
      <c r="D958">
        <v>0</v>
      </c>
      <c r="E958">
        <v>0</v>
      </c>
      <c r="F958">
        <v>0</v>
      </c>
      <c r="G958">
        <v>1</v>
      </c>
      <c r="H958">
        <v>2</v>
      </c>
      <c r="I958">
        <v>0</v>
      </c>
      <c r="J958" s="10">
        <v>0.87749893662271372</v>
      </c>
      <c r="K958">
        <v>1</v>
      </c>
      <c r="L958">
        <v>0</v>
      </c>
      <c r="M958">
        <v>0</v>
      </c>
      <c r="N958" s="10">
        <v>6.8123119209534851E-3</v>
      </c>
      <c r="O958" s="11">
        <v>6.5997303768687496E-2</v>
      </c>
      <c r="P958" s="10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 s="10">
        <v>0.55774647887323947</v>
      </c>
      <c r="W958" s="5">
        <v>1</v>
      </c>
      <c r="X958" s="5">
        <v>1</v>
      </c>
      <c r="Y958" s="5">
        <v>1</v>
      </c>
      <c r="Z958" s="5">
        <v>3</v>
      </c>
    </row>
    <row r="959" spans="1:26" x14ac:dyDescent="0.35">
      <c r="A959">
        <v>958</v>
      </c>
      <c r="B959" s="10">
        <v>7.8431372549019607E-2</v>
      </c>
      <c r="C959">
        <v>1</v>
      </c>
      <c r="D959">
        <v>1</v>
      </c>
      <c r="E959">
        <v>0</v>
      </c>
      <c r="F959">
        <v>0</v>
      </c>
      <c r="G959">
        <v>0</v>
      </c>
      <c r="H959">
        <v>1</v>
      </c>
      <c r="I959">
        <v>0</v>
      </c>
      <c r="J959" s="10">
        <v>0.28541046363249684</v>
      </c>
      <c r="K959">
        <v>0</v>
      </c>
      <c r="L959">
        <v>0</v>
      </c>
      <c r="M959">
        <v>1</v>
      </c>
      <c r="N959" s="10">
        <v>0.2852285382555742</v>
      </c>
      <c r="O959" s="11">
        <v>0.39147668967182436</v>
      </c>
      <c r="P959" s="10">
        <v>0.5</v>
      </c>
      <c r="Q959">
        <v>1</v>
      </c>
      <c r="R959">
        <v>1</v>
      </c>
      <c r="S959">
        <v>1</v>
      </c>
      <c r="T959">
        <v>0</v>
      </c>
      <c r="U959">
        <v>0</v>
      </c>
      <c r="V959" s="10">
        <v>0.21408450704225351</v>
      </c>
      <c r="W959" s="5">
        <v>2</v>
      </c>
      <c r="X959" s="5">
        <v>2</v>
      </c>
      <c r="Y959" s="5">
        <v>2</v>
      </c>
      <c r="Z959" s="5">
        <v>6</v>
      </c>
    </row>
    <row r="960" spans="1:26" x14ac:dyDescent="0.35">
      <c r="A960">
        <v>959</v>
      </c>
      <c r="B960" s="10">
        <v>0.31372549019607843</v>
      </c>
      <c r="C960">
        <v>1</v>
      </c>
      <c r="D960">
        <v>0</v>
      </c>
      <c r="E960">
        <v>0</v>
      </c>
      <c r="F960">
        <v>1</v>
      </c>
      <c r="G960">
        <v>0</v>
      </c>
      <c r="H960">
        <v>2</v>
      </c>
      <c r="I960">
        <v>0</v>
      </c>
      <c r="J960" s="10">
        <v>0.97958315610378566</v>
      </c>
      <c r="K960">
        <v>0</v>
      </c>
      <c r="L960">
        <v>0</v>
      </c>
      <c r="M960">
        <v>1</v>
      </c>
      <c r="N960" s="10">
        <v>8.1614458687771008E-2</v>
      </c>
      <c r="O960" s="11">
        <v>0.57415642165838354</v>
      </c>
      <c r="P960" s="1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 s="10">
        <v>0.57183098591549297</v>
      </c>
      <c r="W960" s="5">
        <v>1</v>
      </c>
      <c r="X960" s="5">
        <v>1</v>
      </c>
      <c r="Y960" s="5">
        <v>1</v>
      </c>
      <c r="Z960" s="5">
        <v>3</v>
      </c>
    </row>
    <row r="961" spans="1:26" x14ac:dyDescent="0.35">
      <c r="A961">
        <v>960</v>
      </c>
      <c r="B961" s="10">
        <v>0.70588235294117652</v>
      </c>
      <c r="C961">
        <v>0</v>
      </c>
      <c r="D961">
        <v>1</v>
      </c>
      <c r="E961">
        <v>0</v>
      </c>
      <c r="F961">
        <v>0</v>
      </c>
      <c r="G961">
        <v>0</v>
      </c>
      <c r="H961">
        <v>3</v>
      </c>
      <c r="I961">
        <v>0</v>
      </c>
      <c r="J961" s="10">
        <v>0.83666524883028492</v>
      </c>
      <c r="K961">
        <v>0</v>
      </c>
      <c r="L961">
        <v>0</v>
      </c>
      <c r="M961">
        <v>1</v>
      </c>
      <c r="N961" s="10">
        <v>0.45723052863540503</v>
      </c>
      <c r="O961" s="11">
        <v>0.5209762771886759</v>
      </c>
      <c r="P961" s="10">
        <v>0.625</v>
      </c>
      <c r="Q961">
        <v>2</v>
      </c>
      <c r="R961">
        <v>1</v>
      </c>
      <c r="S961">
        <v>0</v>
      </c>
      <c r="T961">
        <v>0</v>
      </c>
      <c r="U961">
        <v>1</v>
      </c>
      <c r="V961" s="10">
        <v>0.20563380281690141</v>
      </c>
      <c r="W961" s="5">
        <v>2</v>
      </c>
      <c r="X961" s="5">
        <v>2</v>
      </c>
      <c r="Y961" s="5">
        <v>2</v>
      </c>
      <c r="Z961" s="5">
        <v>6</v>
      </c>
    </row>
    <row r="962" spans="1:26" x14ac:dyDescent="0.35">
      <c r="A962">
        <v>961</v>
      </c>
      <c r="B962" s="10">
        <v>0.13725490196078433</v>
      </c>
      <c r="C962">
        <v>1</v>
      </c>
      <c r="D962">
        <v>0</v>
      </c>
      <c r="E962">
        <v>0</v>
      </c>
      <c r="F962">
        <v>1</v>
      </c>
      <c r="G962">
        <v>0</v>
      </c>
      <c r="H962">
        <v>3</v>
      </c>
      <c r="I962">
        <v>0</v>
      </c>
      <c r="J962" s="10">
        <v>0.42832837090599751</v>
      </c>
      <c r="K962">
        <v>1</v>
      </c>
      <c r="L962">
        <v>0</v>
      </c>
      <c r="M962">
        <v>0</v>
      </c>
      <c r="N962" s="10">
        <v>0.28271983034381437</v>
      </c>
      <c r="O962" s="11">
        <v>0.64678028397620335</v>
      </c>
      <c r="P962" s="10">
        <v>0.25</v>
      </c>
      <c r="Q962">
        <v>2</v>
      </c>
      <c r="R962">
        <v>1</v>
      </c>
      <c r="S962">
        <v>0</v>
      </c>
      <c r="T962">
        <v>1</v>
      </c>
      <c r="U962">
        <v>1</v>
      </c>
      <c r="V962" s="10">
        <v>1.1267605633802818E-2</v>
      </c>
      <c r="W962" s="5">
        <v>3</v>
      </c>
      <c r="X962" s="5">
        <v>2</v>
      </c>
      <c r="Y962" s="5">
        <v>2</v>
      </c>
      <c r="Z962" s="5">
        <v>7</v>
      </c>
    </row>
    <row r="963" spans="1:26" x14ac:dyDescent="0.35">
      <c r="A963">
        <v>962</v>
      </c>
      <c r="B963" s="10">
        <v>0.45098039215686275</v>
      </c>
      <c r="C963">
        <v>0</v>
      </c>
      <c r="D963">
        <v>0</v>
      </c>
      <c r="E963">
        <v>0</v>
      </c>
      <c r="F963">
        <v>0</v>
      </c>
      <c r="G963">
        <v>1</v>
      </c>
      <c r="H963">
        <v>3</v>
      </c>
      <c r="I963">
        <v>1</v>
      </c>
      <c r="J963" s="10">
        <v>0.38749468311356872</v>
      </c>
      <c r="K963">
        <v>0</v>
      </c>
      <c r="L963">
        <v>0</v>
      </c>
      <c r="M963">
        <v>1</v>
      </c>
      <c r="N963" s="10">
        <v>0.29952846954008006</v>
      </c>
      <c r="O963" s="11">
        <v>0.5136320650314895</v>
      </c>
      <c r="P963" s="10">
        <v>0.375</v>
      </c>
      <c r="Q963">
        <v>2</v>
      </c>
      <c r="R963">
        <v>1</v>
      </c>
      <c r="S963">
        <v>0</v>
      </c>
      <c r="T963">
        <v>0</v>
      </c>
      <c r="U963">
        <v>1</v>
      </c>
      <c r="V963" s="10">
        <v>0.11830985915492957</v>
      </c>
      <c r="W963" s="5">
        <v>2</v>
      </c>
      <c r="X963" s="5">
        <v>2</v>
      </c>
      <c r="Y963" s="5">
        <v>2</v>
      </c>
      <c r="Z963" s="5">
        <v>6</v>
      </c>
    </row>
    <row r="964" spans="1:26" x14ac:dyDescent="0.35">
      <c r="A964">
        <v>963</v>
      </c>
      <c r="B964" s="10">
        <v>0.52941176470588236</v>
      </c>
      <c r="C964">
        <v>0</v>
      </c>
      <c r="D964">
        <v>0</v>
      </c>
      <c r="E964">
        <v>0</v>
      </c>
      <c r="F964">
        <v>0</v>
      </c>
      <c r="G964">
        <v>1</v>
      </c>
      <c r="H964">
        <v>2</v>
      </c>
      <c r="I964">
        <v>0</v>
      </c>
      <c r="J964" s="10">
        <v>0.28541046363249684</v>
      </c>
      <c r="K964">
        <v>0</v>
      </c>
      <c r="L964">
        <v>0</v>
      </c>
      <c r="M964">
        <v>1</v>
      </c>
      <c r="N964" s="10">
        <v>0.19267883799729874</v>
      </c>
      <c r="O964" s="11">
        <v>0.44288617477212816</v>
      </c>
      <c r="P964" s="10">
        <v>0.25</v>
      </c>
      <c r="Q964">
        <v>2</v>
      </c>
      <c r="R964">
        <v>0</v>
      </c>
      <c r="S964">
        <v>0</v>
      </c>
      <c r="T964">
        <v>1</v>
      </c>
      <c r="U964">
        <v>0</v>
      </c>
      <c r="V964" s="10">
        <v>1.1267605633802818E-2</v>
      </c>
      <c r="W964" s="5">
        <v>3</v>
      </c>
      <c r="X964" s="5">
        <v>2</v>
      </c>
      <c r="Y964" s="5">
        <v>1</v>
      </c>
      <c r="Z964" s="5">
        <v>6</v>
      </c>
    </row>
    <row r="965" spans="1:26" x14ac:dyDescent="0.35">
      <c r="A965">
        <v>964</v>
      </c>
      <c r="B965" s="10">
        <v>0.90196078431372551</v>
      </c>
      <c r="C965">
        <v>1</v>
      </c>
      <c r="D965">
        <v>0</v>
      </c>
      <c r="E965">
        <v>0</v>
      </c>
      <c r="F965">
        <v>1</v>
      </c>
      <c r="G965">
        <v>0</v>
      </c>
      <c r="H965">
        <v>1</v>
      </c>
      <c r="I965">
        <v>0</v>
      </c>
      <c r="J965" s="10">
        <v>0.18332624415142493</v>
      </c>
      <c r="K965">
        <v>0</v>
      </c>
      <c r="L965">
        <v>0</v>
      </c>
      <c r="M965">
        <v>1</v>
      </c>
      <c r="N965" s="10">
        <v>0.69278842736298352</v>
      </c>
      <c r="O965" s="11">
        <v>0.52512122980341647</v>
      </c>
      <c r="P965" s="10">
        <v>1</v>
      </c>
      <c r="Q965">
        <v>2</v>
      </c>
      <c r="R965">
        <v>1</v>
      </c>
      <c r="S965">
        <v>0</v>
      </c>
      <c r="T965">
        <v>1</v>
      </c>
      <c r="U965">
        <v>1</v>
      </c>
      <c r="V965" s="10">
        <v>4.507042253521127E-2</v>
      </c>
      <c r="W965" s="5">
        <v>3</v>
      </c>
      <c r="X965" s="5">
        <v>3</v>
      </c>
      <c r="Y965" s="5">
        <v>3</v>
      </c>
      <c r="Z965" s="5">
        <v>9</v>
      </c>
    </row>
    <row r="966" spans="1:26" x14ac:dyDescent="0.35">
      <c r="A966">
        <v>965</v>
      </c>
      <c r="B966" s="10">
        <v>0.13725490196078433</v>
      </c>
      <c r="C966">
        <v>0</v>
      </c>
      <c r="D966">
        <v>0</v>
      </c>
      <c r="E966">
        <v>0</v>
      </c>
      <c r="F966">
        <v>1</v>
      </c>
      <c r="G966">
        <v>0</v>
      </c>
      <c r="H966">
        <v>1</v>
      </c>
      <c r="I966">
        <v>1</v>
      </c>
      <c r="J966" s="10">
        <v>0.85708209272649938</v>
      </c>
      <c r="K966">
        <v>1</v>
      </c>
      <c r="L966">
        <v>0</v>
      </c>
      <c r="M966">
        <v>0</v>
      </c>
      <c r="N966" s="10">
        <v>6.0475558609577505E-2</v>
      </c>
      <c r="O966" s="11">
        <v>0.4305519225738948</v>
      </c>
      <c r="P966" s="10">
        <v>0</v>
      </c>
      <c r="Q966">
        <v>1</v>
      </c>
      <c r="R966">
        <v>1</v>
      </c>
      <c r="S966">
        <v>1</v>
      </c>
      <c r="T966">
        <v>0</v>
      </c>
      <c r="U966">
        <v>0</v>
      </c>
      <c r="V966" s="10">
        <v>0.18873239436619718</v>
      </c>
      <c r="W966" s="5">
        <v>2</v>
      </c>
      <c r="X966" s="5">
        <v>1</v>
      </c>
      <c r="Y966" s="5">
        <v>1</v>
      </c>
      <c r="Z966" s="5">
        <v>4</v>
      </c>
    </row>
    <row r="967" spans="1:26" x14ac:dyDescent="0.35">
      <c r="A967">
        <v>966</v>
      </c>
      <c r="B967" s="10">
        <v>0.43137254901960786</v>
      </c>
      <c r="C967">
        <v>0</v>
      </c>
      <c r="D967">
        <v>1</v>
      </c>
      <c r="E967">
        <v>0</v>
      </c>
      <c r="F967">
        <v>0</v>
      </c>
      <c r="G967">
        <v>0</v>
      </c>
      <c r="H967">
        <v>2</v>
      </c>
      <c r="I967">
        <v>1</v>
      </c>
      <c r="J967" s="10">
        <v>8.1242024670353047E-2</v>
      </c>
      <c r="K967">
        <v>1</v>
      </c>
      <c r="L967">
        <v>0</v>
      </c>
      <c r="M967">
        <v>0</v>
      </c>
      <c r="N967" s="10">
        <v>0.61842463805890568</v>
      </c>
      <c r="O967" s="11">
        <v>0.60298712535176047</v>
      </c>
      <c r="P967" s="10">
        <v>0.75</v>
      </c>
      <c r="Q967">
        <v>0</v>
      </c>
      <c r="R967">
        <v>0</v>
      </c>
      <c r="S967">
        <v>0</v>
      </c>
      <c r="T967">
        <v>0</v>
      </c>
      <c r="U967">
        <v>0</v>
      </c>
      <c r="V967" s="10">
        <v>9.014084507042254E-2</v>
      </c>
      <c r="W967" s="5">
        <v>2</v>
      </c>
      <c r="X967" s="5">
        <v>2</v>
      </c>
      <c r="Y967" s="5">
        <v>3</v>
      </c>
      <c r="Z967" s="5">
        <v>7</v>
      </c>
    </row>
    <row r="968" spans="1:26" x14ac:dyDescent="0.35">
      <c r="A968">
        <v>967</v>
      </c>
      <c r="B968" s="10">
        <v>0.66666666666666663</v>
      </c>
      <c r="C968">
        <v>1</v>
      </c>
      <c r="D968">
        <v>1</v>
      </c>
      <c r="E968">
        <v>0</v>
      </c>
      <c r="F968">
        <v>0</v>
      </c>
      <c r="G968">
        <v>0</v>
      </c>
      <c r="H968">
        <v>1</v>
      </c>
      <c r="I968">
        <v>0</v>
      </c>
      <c r="J968" s="10">
        <v>0.46916205869842625</v>
      </c>
      <c r="K968">
        <v>0</v>
      </c>
      <c r="L968">
        <v>0</v>
      </c>
      <c r="M968">
        <v>1</v>
      </c>
      <c r="N968" s="10">
        <v>6.5430775063384114E-2</v>
      </c>
      <c r="O968" s="11">
        <v>0.46421457172176506</v>
      </c>
      <c r="P968" s="10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 s="10">
        <v>0.45070422535211269</v>
      </c>
      <c r="W968" s="5">
        <v>1</v>
      </c>
      <c r="X968" s="5">
        <v>1</v>
      </c>
      <c r="Y968" s="5">
        <v>1</v>
      </c>
      <c r="Z968" s="5">
        <v>3</v>
      </c>
    </row>
    <row r="969" spans="1:26" x14ac:dyDescent="0.35">
      <c r="A969">
        <v>968</v>
      </c>
      <c r="B969" s="10">
        <v>0.58823529411764708</v>
      </c>
      <c r="C969">
        <v>1</v>
      </c>
      <c r="D969">
        <v>0</v>
      </c>
      <c r="E969">
        <v>1</v>
      </c>
      <c r="F969">
        <v>0</v>
      </c>
      <c r="G969">
        <v>0</v>
      </c>
      <c r="H969">
        <v>1</v>
      </c>
      <c r="I969">
        <v>0</v>
      </c>
      <c r="J969" s="10">
        <v>0.44874521480221186</v>
      </c>
      <c r="K969">
        <v>0</v>
      </c>
      <c r="L969">
        <v>0</v>
      </c>
      <c r="M969">
        <v>1</v>
      </c>
      <c r="N969" s="10">
        <v>9.9021396583181279E-2</v>
      </c>
      <c r="O969" s="11">
        <v>0.3462041489768406</v>
      </c>
      <c r="P969" s="10">
        <v>0.125</v>
      </c>
      <c r="Q969">
        <v>1</v>
      </c>
      <c r="R969">
        <v>0</v>
      </c>
      <c r="S969">
        <v>0</v>
      </c>
      <c r="T969">
        <v>1</v>
      </c>
      <c r="U969">
        <v>0</v>
      </c>
      <c r="V969" s="10">
        <v>0.647887323943662</v>
      </c>
      <c r="W969" s="5">
        <v>1</v>
      </c>
      <c r="X969" s="5">
        <v>1</v>
      </c>
      <c r="Y969" s="5">
        <v>1</v>
      </c>
      <c r="Z969" s="5">
        <v>3</v>
      </c>
    </row>
    <row r="970" spans="1:26" x14ac:dyDescent="0.35">
      <c r="A970">
        <v>969</v>
      </c>
      <c r="B970" s="10">
        <v>0.31372549019607843</v>
      </c>
      <c r="C970">
        <v>0</v>
      </c>
      <c r="D970">
        <v>0</v>
      </c>
      <c r="E970">
        <v>1</v>
      </c>
      <c r="F970">
        <v>0</v>
      </c>
      <c r="G970">
        <v>0</v>
      </c>
      <c r="H970">
        <v>2</v>
      </c>
      <c r="I970">
        <v>0</v>
      </c>
      <c r="J970" s="10">
        <v>0.40791152700978311</v>
      </c>
      <c r="K970">
        <v>0</v>
      </c>
      <c r="L970">
        <v>0</v>
      </c>
      <c r="M970">
        <v>1</v>
      </c>
      <c r="N970" s="10">
        <v>0.38124067009454304</v>
      </c>
      <c r="O970" s="11">
        <v>0.6524074931085132</v>
      </c>
      <c r="P970" s="10">
        <v>0.375</v>
      </c>
      <c r="Q970">
        <v>1</v>
      </c>
      <c r="R970">
        <v>1</v>
      </c>
      <c r="S970">
        <v>1</v>
      </c>
      <c r="T970">
        <v>0</v>
      </c>
      <c r="U970">
        <v>0</v>
      </c>
      <c r="V970" s="10">
        <v>0.17746478873239438</v>
      </c>
      <c r="W970" s="5">
        <v>2</v>
      </c>
      <c r="X970" s="5">
        <v>2</v>
      </c>
      <c r="Y970" s="5">
        <v>2</v>
      </c>
      <c r="Z970" s="5">
        <v>6</v>
      </c>
    </row>
    <row r="971" spans="1:26" x14ac:dyDescent="0.35">
      <c r="A971">
        <v>970</v>
      </c>
      <c r="B971" s="10">
        <v>0.52941176470588236</v>
      </c>
      <c r="C971">
        <v>1</v>
      </c>
      <c r="D971">
        <v>1</v>
      </c>
      <c r="E971">
        <v>0</v>
      </c>
      <c r="F971">
        <v>0</v>
      </c>
      <c r="G971">
        <v>0</v>
      </c>
      <c r="H971">
        <v>3</v>
      </c>
      <c r="I971">
        <v>1</v>
      </c>
      <c r="J971" s="10">
        <v>0.38749468311356872</v>
      </c>
      <c r="K971">
        <v>0</v>
      </c>
      <c r="L971">
        <v>1</v>
      </c>
      <c r="M971">
        <v>0</v>
      </c>
      <c r="N971" s="10">
        <v>0.21884700139800489</v>
      </c>
      <c r="O971" s="11">
        <v>0.25107145012978133</v>
      </c>
      <c r="P971" s="10">
        <v>0.625</v>
      </c>
      <c r="Q971">
        <v>2</v>
      </c>
      <c r="R971">
        <v>1</v>
      </c>
      <c r="S971">
        <v>1</v>
      </c>
      <c r="T971">
        <v>0</v>
      </c>
      <c r="U971">
        <v>1</v>
      </c>
      <c r="V971" s="10">
        <v>0.19436619718309858</v>
      </c>
      <c r="W971" s="5">
        <v>2</v>
      </c>
      <c r="X971" s="5">
        <v>2</v>
      </c>
      <c r="Y971" s="5">
        <v>1</v>
      </c>
      <c r="Z971" s="5">
        <v>5</v>
      </c>
    </row>
    <row r="972" spans="1:26" x14ac:dyDescent="0.35">
      <c r="A972">
        <v>971</v>
      </c>
      <c r="B972" s="10">
        <v>0.92156862745098034</v>
      </c>
      <c r="C972">
        <v>1</v>
      </c>
      <c r="D972">
        <v>0</v>
      </c>
      <c r="E972">
        <v>1</v>
      </c>
      <c r="F972">
        <v>0</v>
      </c>
      <c r="G972">
        <v>0</v>
      </c>
      <c r="H972">
        <v>1</v>
      </c>
      <c r="I972">
        <v>1</v>
      </c>
      <c r="J972" s="10">
        <v>0.38749468311356872</v>
      </c>
      <c r="K972">
        <v>1</v>
      </c>
      <c r="L972">
        <v>0</v>
      </c>
      <c r="M972">
        <v>0</v>
      </c>
      <c r="N972" s="10">
        <v>8.1199796223017304E-2</v>
      </c>
      <c r="O972" s="11">
        <v>0.28566973178534777</v>
      </c>
      <c r="P972" s="10">
        <v>0.125</v>
      </c>
      <c r="Q972">
        <v>0</v>
      </c>
      <c r="R972">
        <v>0</v>
      </c>
      <c r="S972">
        <v>0</v>
      </c>
      <c r="T972">
        <v>0</v>
      </c>
      <c r="U972">
        <v>0</v>
      </c>
      <c r="V972" s="10">
        <v>0.41408450704225352</v>
      </c>
      <c r="W972" s="5">
        <v>1</v>
      </c>
      <c r="X972" s="5">
        <v>1</v>
      </c>
      <c r="Y972" s="5">
        <v>1</v>
      </c>
      <c r="Z972" s="5">
        <v>3</v>
      </c>
    </row>
    <row r="973" spans="1:26" x14ac:dyDescent="0.35">
      <c r="A973">
        <v>972</v>
      </c>
      <c r="B973" s="10">
        <v>0.92156862745098034</v>
      </c>
      <c r="C973">
        <v>1</v>
      </c>
      <c r="D973">
        <v>1</v>
      </c>
      <c r="E973">
        <v>0</v>
      </c>
      <c r="F973">
        <v>0</v>
      </c>
      <c r="G973">
        <v>0</v>
      </c>
      <c r="H973">
        <v>3</v>
      </c>
      <c r="I973">
        <v>0</v>
      </c>
      <c r="J973" s="10">
        <v>0.46916205869842625</v>
      </c>
      <c r="K973">
        <v>1</v>
      </c>
      <c r="L973">
        <v>0</v>
      </c>
      <c r="M973">
        <v>0</v>
      </c>
      <c r="N973" s="10">
        <v>0.32451484491623817</v>
      </c>
      <c r="O973" s="11">
        <v>0.74142336867945036</v>
      </c>
      <c r="P973" s="10">
        <v>0.25</v>
      </c>
      <c r="Q973">
        <v>0</v>
      </c>
      <c r="R973">
        <v>0</v>
      </c>
      <c r="S973">
        <v>0</v>
      </c>
      <c r="T973">
        <v>0</v>
      </c>
      <c r="U973">
        <v>0</v>
      </c>
      <c r="V973" s="10">
        <v>0.6929577464788732</v>
      </c>
      <c r="W973" s="5">
        <v>1</v>
      </c>
      <c r="X973" s="5">
        <v>2</v>
      </c>
      <c r="Y973" s="5">
        <v>2</v>
      </c>
      <c r="Z973" s="5">
        <v>5</v>
      </c>
    </row>
    <row r="974" spans="1:26" x14ac:dyDescent="0.35">
      <c r="A974">
        <v>973</v>
      </c>
      <c r="B974" s="10">
        <v>0.98039215686274506</v>
      </c>
      <c r="C974">
        <v>1</v>
      </c>
      <c r="D974">
        <v>1</v>
      </c>
      <c r="E974">
        <v>0</v>
      </c>
      <c r="F974">
        <v>0</v>
      </c>
      <c r="G974">
        <v>0</v>
      </c>
      <c r="H974">
        <v>1</v>
      </c>
      <c r="I974">
        <v>0</v>
      </c>
      <c r="J974" s="10">
        <v>0.63249680986814127</v>
      </c>
      <c r="K974">
        <v>0</v>
      </c>
      <c r="L974">
        <v>1</v>
      </c>
      <c r="M974">
        <v>0</v>
      </c>
      <c r="N974" s="10">
        <v>1.3840840698528541E-2</v>
      </c>
      <c r="O974" s="11">
        <v>0.11374474335499708</v>
      </c>
      <c r="P974" s="10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 s="10">
        <v>6.7605633802816895E-2</v>
      </c>
      <c r="W974" s="5">
        <v>3</v>
      </c>
      <c r="X974" s="5">
        <v>1</v>
      </c>
      <c r="Y974" s="5">
        <v>1</v>
      </c>
      <c r="Z974" s="5">
        <v>5</v>
      </c>
    </row>
    <row r="975" spans="1:26" x14ac:dyDescent="0.35">
      <c r="A975">
        <v>974</v>
      </c>
      <c r="B975" s="10">
        <v>0.21568627450980393</v>
      </c>
      <c r="C975">
        <v>1</v>
      </c>
      <c r="D975">
        <v>1</v>
      </c>
      <c r="E975">
        <v>0</v>
      </c>
      <c r="F975">
        <v>0</v>
      </c>
      <c r="G975">
        <v>0</v>
      </c>
      <c r="H975">
        <v>3</v>
      </c>
      <c r="I975">
        <v>0</v>
      </c>
      <c r="J975" s="10">
        <v>0.93874946831135686</v>
      </c>
      <c r="K975">
        <v>1</v>
      </c>
      <c r="L975">
        <v>0</v>
      </c>
      <c r="M975">
        <v>0</v>
      </c>
      <c r="N975" s="10">
        <v>0.52721666706158332</v>
      </c>
      <c r="O975" s="11">
        <v>0.60021663749102938</v>
      </c>
      <c r="P975" s="10">
        <v>0.625</v>
      </c>
      <c r="Q975">
        <v>0</v>
      </c>
      <c r="R975">
        <v>0</v>
      </c>
      <c r="S975">
        <v>0</v>
      </c>
      <c r="T975">
        <v>0</v>
      </c>
      <c r="U975">
        <v>0</v>
      </c>
      <c r="V975" s="10">
        <v>0.10422535211267606</v>
      </c>
      <c r="W975" s="5">
        <v>2</v>
      </c>
      <c r="X975" s="5">
        <v>2</v>
      </c>
      <c r="Y975" s="5">
        <v>3</v>
      </c>
      <c r="Z975" s="5">
        <v>7</v>
      </c>
    </row>
    <row r="976" spans="1:26" x14ac:dyDescent="0.35">
      <c r="A976">
        <v>975</v>
      </c>
      <c r="B976" s="10">
        <v>0.45098039215686275</v>
      </c>
      <c r="C976">
        <v>1</v>
      </c>
      <c r="D976">
        <v>0</v>
      </c>
      <c r="E976">
        <v>1</v>
      </c>
      <c r="F976">
        <v>0</v>
      </c>
      <c r="G976">
        <v>0</v>
      </c>
      <c r="H976">
        <v>3</v>
      </c>
      <c r="I976">
        <v>1</v>
      </c>
      <c r="J976" s="10">
        <v>0.38749468311356872</v>
      </c>
      <c r="K976">
        <v>1</v>
      </c>
      <c r="L976">
        <v>0</v>
      </c>
      <c r="M976">
        <v>0</v>
      </c>
      <c r="N976" s="10">
        <v>0.55753737885932275</v>
      </c>
      <c r="O976" s="11">
        <v>0.5438971177919647</v>
      </c>
      <c r="P976" s="10">
        <v>0.75</v>
      </c>
      <c r="Q976">
        <v>0</v>
      </c>
      <c r="R976">
        <v>0</v>
      </c>
      <c r="S976">
        <v>0</v>
      </c>
      <c r="T976">
        <v>0</v>
      </c>
      <c r="U976">
        <v>0</v>
      </c>
      <c r="V976" s="10">
        <v>6.1971830985915494E-2</v>
      </c>
      <c r="W976" s="5">
        <v>3</v>
      </c>
      <c r="X976" s="5">
        <v>2</v>
      </c>
      <c r="Y976" s="5">
        <v>3</v>
      </c>
      <c r="Z976" s="5">
        <v>8</v>
      </c>
    </row>
    <row r="977" spans="1:26" x14ac:dyDescent="0.35">
      <c r="A977">
        <v>976</v>
      </c>
      <c r="B977" s="10">
        <v>0.27450980392156865</v>
      </c>
      <c r="C977">
        <v>0</v>
      </c>
      <c r="D977">
        <v>0</v>
      </c>
      <c r="E977">
        <v>0</v>
      </c>
      <c r="F977">
        <v>1</v>
      </c>
      <c r="G977">
        <v>0</v>
      </c>
      <c r="H977">
        <v>1</v>
      </c>
      <c r="I977">
        <v>0</v>
      </c>
      <c r="J977" s="10">
        <v>0.89791578051892806</v>
      </c>
      <c r="K977">
        <v>0</v>
      </c>
      <c r="L977">
        <v>0</v>
      </c>
      <c r="M977">
        <v>1</v>
      </c>
      <c r="N977" s="10">
        <v>0.16225742245811908</v>
      </c>
      <c r="O977" s="11">
        <v>0.56099720316304147</v>
      </c>
      <c r="P977" s="10">
        <v>0.125</v>
      </c>
      <c r="Q977">
        <v>0</v>
      </c>
      <c r="R977">
        <v>0</v>
      </c>
      <c r="S977">
        <v>0</v>
      </c>
      <c r="T977">
        <v>0</v>
      </c>
      <c r="U977">
        <v>0</v>
      </c>
      <c r="V977" s="10">
        <v>0.81408450704225355</v>
      </c>
      <c r="W977" s="5">
        <v>1</v>
      </c>
      <c r="X977" s="5">
        <v>1</v>
      </c>
      <c r="Y977" s="5">
        <v>1</v>
      </c>
      <c r="Z977" s="5">
        <v>3</v>
      </c>
    </row>
    <row r="978" spans="1:26" x14ac:dyDescent="0.35">
      <c r="A978">
        <v>977</v>
      </c>
      <c r="B978" s="10">
        <v>0.76470588235294112</v>
      </c>
      <c r="C978">
        <v>1</v>
      </c>
      <c r="D978">
        <v>0</v>
      </c>
      <c r="E978">
        <v>0</v>
      </c>
      <c r="F978">
        <v>0</v>
      </c>
      <c r="G978">
        <v>1</v>
      </c>
      <c r="H978">
        <v>1</v>
      </c>
      <c r="I978">
        <v>0</v>
      </c>
      <c r="J978" s="10">
        <v>0.40791152700978311</v>
      </c>
      <c r="K978">
        <v>0</v>
      </c>
      <c r="L978">
        <v>0</v>
      </c>
      <c r="M978">
        <v>1</v>
      </c>
      <c r="N978" s="10">
        <v>0.22585479705234224</v>
      </c>
      <c r="O978" s="11">
        <v>0.51801176415353756</v>
      </c>
      <c r="P978" s="10">
        <v>0.25</v>
      </c>
      <c r="Q978">
        <v>2</v>
      </c>
      <c r="R978">
        <v>0</v>
      </c>
      <c r="S978">
        <v>1</v>
      </c>
      <c r="T978">
        <v>1</v>
      </c>
      <c r="U978">
        <v>0</v>
      </c>
      <c r="V978" s="10">
        <v>0.37183098591549296</v>
      </c>
      <c r="W978" s="5">
        <v>1</v>
      </c>
      <c r="X978" s="5">
        <v>2</v>
      </c>
      <c r="Y978" s="5">
        <v>1</v>
      </c>
      <c r="Z978" s="5">
        <v>4</v>
      </c>
    </row>
    <row r="979" spans="1:26" x14ac:dyDescent="0.35">
      <c r="A979">
        <v>978</v>
      </c>
      <c r="B979" s="10">
        <v>0.58823529411764708</v>
      </c>
      <c r="C979">
        <v>0</v>
      </c>
      <c r="D979">
        <v>0</v>
      </c>
      <c r="E979">
        <v>1</v>
      </c>
      <c r="F979">
        <v>0</v>
      </c>
      <c r="G979">
        <v>0</v>
      </c>
      <c r="H979">
        <v>2</v>
      </c>
      <c r="I979">
        <v>0</v>
      </c>
      <c r="J979" s="10">
        <v>0.53041259038706934</v>
      </c>
      <c r="K979">
        <v>1</v>
      </c>
      <c r="L979">
        <v>0</v>
      </c>
      <c r="M979">
        <v>0</v>
      </c>
      <c r="N979" s="10">
        <v>0.43116010710139085</v>
      </c>
      <c r="O979" s="11">
        <v>0.42125021199046836</v>
      </c>
      <c r="P979" s="10">
        <v>0.75</v>
      </c>
      <c r="Q979">
        <v>1</v>
      </c>
      <c r="R979">
        <v>1</v>
      </c>
      <c r="S979">
        <v>1</v>
      </c>
      <c r="T979">
        <v>0</v>
      </c>
      <c r="U979">
        <v>0</v>
      </c>
      <c r="V979" s="10">
        <v>0.14366197183098592</v>
      </c>
      <c r="W979" s="5">
        <v>2</v>
      </c>
      <c r="X979" s="5">
        <v>2</v>
      </c>
      <c r="Y979" s="5">
        <v>2</v>
      </c>
      <c r="Z979" s="5">
        <v>6</v>
      </c>
    </row>
    <row r="980" spans="1:26" x14ac:dyDescent="0.35">
      <c r="A980">
        <v>979</v>
      </c>
      <c r="B980" s="10">
        <v>0.50980392156862742</v>
      </c>
      <c r="C980">
        <v>0</v>
      </c>
      <c r="D980">
        <v>0</v>
      </c>
      <c r="E980">
        <v>0</v>
      </c>
      <c r="F980">
        <v>0</v>
      </c>
      <c r="G980">
        <v>1</v>
      </c>
      <c r="H980">
        <v>1</v>
      </c>
      <c r="I980">
        <v>1</v>
      </c>
      <c r="J980" s="10">
        <v>1.3611229264142918E-2</v>
      </c>
      <c r="K980">
        <v>0</v>
      </c>
      <c r="L980">
        <v>1</v>
      </c>
      <c r="M980">
        <v>0</v>
      </c>
      <c r="N980" s="10">
        <v>0.50395706466364942</v>
      </c>
      <c r="O980" s="10">
        <v>9.6918997606078511E-4</v>
      </c>
      <c r="P980" s="10">
        <v>0.75</v>
      </c>
      <c r="Q980">
        <v>1</v>
      </c>
      <c r="R980">
        <v>0</v>
      </c>
      <c r="S980">
        <v>0</v>
      </c>
      <c r="T980">
        <v>0</v>
      </c>
      <c r="U980">
        <v>1</v>
      </c>
      <c r="V980" s="10">
        <v>0.25352112676056338</v>
      </c>
      <c r="W980" s="5">
        <v>1</v>
      </c>
      <c r="X980" s="5">
        <v>2</v>
      </c>
      <c r="Y980" s="5">
        <v>3</v>
      </c>
      <c r="Z980" s="5">
        <v>6</v>
      </c>
    </row>
    <row r="981" spans="1:26" x14ac:dyDescent="0.35">
      <c r="A981">
        <v>980</v>
      </c>
      <c r="B981" s="10">
        <v>0.66666666666666663</v>
      </c>
      <c r="C981">
        <v>0</v>
      </c>
      <c r="D981">
        <v>0</v>
      </c>
      <c r="E981">
        <v>0</v>
      </c>
      <c r="F981">
        <v>0</v>
      </c>
      <c r="G981">
        <v>1</v>
      </c>
      <c r="H981">
        <v>1</v>
      </c>
      <c r="I981">
        <v>0</v>
      </c>
      <c r="J981" s="10">
        <v>1.2760527435133986E-3</v>
      </c>
      <c r="K981">
        <v>0</v>
      </c>
      <c r="L981">
        <v>0</v>
      </c>
      <c r="M981">
        <v>1</v>
      </c>
      <c r="N981" s="10">
        <v>0.61301921664336645</v>
      </c>
      <c r="O981" s="10">
        <v>1.0330772295628681E-3</v>
      </c>
      <c r="P981" s="10">
        <v>0.875</v>
      </c>
      <c r="Q981">
        <v>1</v>
      </c>
      <c r="R981">
        <v>1</v>
      </c>
      <c r="S981">
        <v>1</v>
      </c>
      <c r="T981">
        <v>0</v>
      </c>
      <c r="U981">
        <v>0</v>
      </c>
      <c r="V981" s="10">
        <v>1.9718309859154931E-2</v>
      </c>
      <c r="W981" s="5">
        <v>3</v>
      </c>
      <c r="X981" s="5">
        <v>3</v>
      </c>
      <c r="Y981" s="5">
        <v>3</v>
      </c>
      <c r="Z981" s="5">
        <v>9</v>
      </c>
    </row>
    <row r="982" spans="1:26" x14ac:dyDescent="0.35">
      <c r="A982">
        <v>981</v>
      </c>
      <c r="B982" s="10">
        <v>0.33333333333333331</v>
      </c>
      <c r="C982">
        <v>1</v>
      </c>
      <c r="D982">
        <v>0</v>
      </c>
      <c r="E982">
        <v>0</v>
      </c>
      <c r="F982">
        <v>1</v>
      </c>
      <c r="G982">
        <v>0</v>
      </c>
      <c r="H982">
        <v>2</v>
      </c>
      <c r="I982">
        <v>0</v>
      </c>
      <c r="J982" s="10">
        <v>4.253509145044662E-4</v>
      </c>
      <c r="K982">
        <v>0</v>
      </c>
      <c r="L982">
        <v>1</v>
      </c>
      <c r="M982">
        <v>0</v>
      </c>
      <c r="N982" s="10">
        <v>8.1638153685756928E-2</v>
      </c>
      <c r="O982" s="10">
        <v>1.1383622079232957E-3</v>
      </c>
      <c r="P982" s="10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 s="10">
        <v>0.86478873239436616</v>
      </c>
      <c r="W982" s="5">
        <v>1</v>
      </c>
      <c r="X982" s="5">
        <v>1</v>
      </c>
      <c r="Y982" s="5">
        <v>1</v>
      </c>
      <c r="Z982" s="5">
        <v>3</v>
      </c>
    </row>
    <row r="983" spans="1:26" x14ac:dyDescent="0.35">
      <c r="A983">
        <v>982</v>
      </c>
      <c r="B983" s="10">
        <v>0.68627450980392157</v>
      </c>
      <c r="C983">
        <v>1</v>
      </c>
      <c r="D983">
        <v>0</v>
      </c>
      <c r="E983">
        <v>1</v>
      </c>
      <c r="F983">
        <v>0</v>
      </c>
      <c r="G983">
        <v>0</v>
      </c>
      <c r="H983">
        <v>3</v>
      </c>
      <c r="I983">
        <v>1</v>
      </c>
      <c r="J983" s="10">
        <v>0</v>
      </c>
      <c r="K983">
        <v>1</v>
      </c>
      <c r="L983">
        <v>0</v>
      </c>
      <c r="M983">
        <v>0</v>
      </c>
      <c r="N983" s="10">
        <v>0.26757872663080823</v>
      </c>
      <c r="O983" s="10">
        <v>5.8812420882568611E-4</v>
      </c>
      <c r="P983" s="10">
        <v>0.625</v>
      </c>
      <c r="Q983">
        <v>1</v>
      </c>
      <c r="R983">
        <v>0</v>
      </c>
      <c r="S983">
        <v>0</v>
      </c>
      <c r="T983">
        <v>1</v>
      </c>
      <c r="U983">
        <v>0</v>
      </c>
      <c r="V983" s="10">
        <v>0.29577464788732394</v>
      </c>
      <c r="W983" s="5">
        <v>1</v>
      </c>
      <c r="X983" s="5">
        <v>2</v>
      </c>
      <c r="Y983" s="5">
        <v>2</v>
      </c>
      <c r="Z983" s="5">
        <v>5</v>
      </c>
    </row>
    <row r="984" spans="1:26" x14ac:dyDescent="0.35">
      <c r="A984">
        <v>983</v>
      </c>
      <c r="B984" s="10">
        <v>0.13725490196078433</v>
      </c>
      <c r="C984">
        <v>0</v>
      </c>
      <c r="D984">
        <v>0</v>
      </c>
      <c r="E984">
        <v>0</v>
      </c>
      <c r="F984">
        <v>0</v>
      </c>
      <c r="G984">
        <v>1</v>
      </c>
      <c r="H984">
        <v>2</v>
      </c>
      <c r="I984">
        <v>0</v>
      </c>
      <c r="J984" s="10">
        <v>1.6588685665674181E-2</v>
      </c>
      <c r="K984">
        <v>1</v>
      </c>
      <c r="L984">
        <v>0</v>
      </c>
      <c r="M984">
        <v>0</v>
      </c>
      <c r="N984" s="10">
        <v>0.41036774636874157</v>
      </c>
      <c r="O984" s="10">
        <v>1.112053869700057E-3</v>
      </c>
      <c r="P984" s="10">
        <v>0.5</v>
      </c>
      <c r="Q984">
        <v>2</v>
      </c>
      <c r="R984">
        <v>1</v>
      </c>
      <c r="S984">
        <v>1</v>
      </c>
      <c r="T984">
        <v>0</v>
      </c>
      <c r="U984">
        <v>0</v>
      </c>
      <c r="V984" s="10">
        <v>0.11267605633802817</v>
      </c>
      <c r="W984" s="5">
        <v>2</v>
      </c>
      <c r="X984" s="5">
        <v>2</v>
      </c>
      <c r="Y984" s="5">
        <v>2</v>
      </c>
      <c r="Z984" s="5">
        <v>6</v>
      </c>
    </row>
    <row r="985" spans="1:26" x14ac:dyDescent="0.35">
      <c r="A985">
        <v>984</v>
      </c>
      <c r="B985" s="10">
        <v>0.88235294117647056</v>
      </c>
      <c r="C985">
        <v>0</v>
      </c>
      <c r="D985">
        <v>0</v>
      </c>
      <c r="E985">
        <v>0</v>
      </c>
      <c r="F985">
        <v>1</v>
      </c>
      <c r="G985">
        <v>0</v>
      </c>
      <c r="H985">
        <v>3</v>
      </c>
      <c r="I985">
        <v>0</v>
      </c>
      <c r="J985" s="10">
        <v>0</v>
      </c>
      <c r="K985">
        <v>0</v>
      </c>
      <c r="L985">
        <v>1</v>
      </c>
      <c r="M985">
        <v>0</v>
      </c>
      <c r="N985" s="10">
        <v>0.33091249437243797</v>
      </c>
      <c r="O985" s="10">
        <v>5.4136530208825451E-4</v>
      </c>
      <c r="P985" s="10">
        <v>0.875</v>
      </c>
      <c r="Q985">
        <v>1</v>
      </c>
      <c r="R985">
        <v>0</v>
      </c>
      <c r="S985">
        <v>1</v>
      </c>
      <c r="T985">
        <v>0</v>
      </c>
      <c r="U985">
        <v>0</v>
      </c>
      <c r="V985" s="10">
        <v>2.5352112676056339E-2</v>
      </c>
      <c r="W985" s="5">
        <v>3</v>
      </c>
      <c r="X985" s="5">
        <v>3</v>
      </c>
      <c r="Y985" s="5">
        <v>2</v>
      </c>
      <c r="Z985" s="5">
        <v>8</v>
      </c>
    </row>
    <row r="986" spans="1:26" x14ac:dyDescent="0.35">
      <c r="A986">
        <v>985</v>
      </c>
      <c r="B986" s="10">
        <v>0.94117647058823528</v>
      </c>
      <c r="C986">
        <v>0</v>
      </c>
      <c r="D986">
        <v>0</v>
      </c>
      <c r="E986">
        <v>0</v>
      </c>
      <c r="F986">
        <v>1</v>
      </c>
      <c r="G986">
        <v>0</v>
      </c>
      <c r="H986">
        <v>2</v>
      </c>
      <c r="I986">
        <v>0</v>
      </c>
      <c r="J986" s="10">
        <v>1.2760527435133987E-2</v>
      </c>
      <c r="K986">
        <v>0</v>
      </c>
      <c r="L986">
        <v>1</v>
      </c>
      <c r="M986">
        <v>0</v>
      </c>
      <c r="N986" s="10">
        <v>0.51618960737388331</v>
      </c>
      <c r="O986" s="10">
        <v>1.4071698219888748E-3</v>
      </c>
      <c r="P986" s="10">
        <v>0.5</v>
      </c>
      <c r="Q986">
        <v>2</v>
      </c>
      <c r="R986">
        <v>1</v>
      </c>
      <c r="S986">
        <v>0</v>
      </c>
      <c r="T986">
        <v>0</v>
      </c>
      <c r="U986">
        <v>1</v>
      </c>
      <c r="V986" s="10">
        <v>2.5352112676056339E-2</v>
      </c>
      <c r="W986" s="5">
        <v>3</v>
      </c>
      <c r="X986" s="5">
        <v>2</v>
      </c>
      <c r="Y986" s="5">
        <v>3</v>
      </c>
      <c r="Z986" s="5">
        <v>8</v>
      </c>
    </row>
    <row r="987" spans="1:26" x14ac:dyDescent="0.35">
      <c r="A987">
        <v>986</v>
      </c>
      <c r="B987" s="10">
        <v>0.72549019607843135</v>
      </c>
      <c r="C987">
        <v>0</v>
      </c>
      <c r="D987">
        <v>1</v>
      </c>
      <c r="E987">
        <v>0</v>
      </c>
      <c r="F987">
        <v>0</v>
      </c>
      <c r="G987">
        <v>0</v>
      </c>
      <c r="H987">
        <v>1</v>
      </c>
      <c r="I987">
        <v>0</v>
      </c>
      <c r="J987" s="10">
        <v>6.3802637175669934E-3</v>
      </c>
      <c r="K987">
        <v>0</v>
      </c>
      <c r="L987">
        <v>0</v>
      </c>
      <c r="M987">
        <v>1</v>
      </c>
      <c r="N987" s="10">
        <v>0.40957100206146485</v>
      </c>
      <c r="O987" s="10">
        <v>7.8117297355799074E-4</v>
      </c>
      <c r="P987" s="10">
        <v>0.75</v>
      </c>
      <c r="Q987">
        <v>2</v>
      </c>
      <c r="R987">
        <v>0</v>
      </c>
      <c r="S987">
        <v>1</v>
      </c>
      <c r="T987">
        <v>1</v>
      </c>
      <c r="U987">
        <v>0</v>
      </c>
      <c r="V987" s="10">
        <v>0.23380281690140844</v>
      </c>
      <c r="W987" s="5">
        <v>1</v>
      </c>
      <c r="X987" s="5">
        <v>2</v>
      </c>
      <c r="Y987" s="5">
        <v>2</v>
      </c>
      <c r="Z987" s="5">
        <v>5</v>
      </c>
    </row>
    <row r="988" spans="1:26" x14ac:dyDescent="0.35">
      <c r="A988">
        <v>987</v>
      </c>
      <c r="B988" s="10">
        <v>7.8431372549019607E-2</v>
      </c>
      <c r="C988">
        <v>1</v>
      </c>
      <c r="D988">
        <v>0</v>
      </c>
      <c r="E988">
        <v>1</v>
      </c>
      <c r="F988">
        <v>0</v>
      </c>
      <c r="G988">
        <v>0</v>
      </c>
      <c r="H988">
        <v>1</v>
      </c>
      <c r="I988">
        <v>1</v>
      </c>
      <c r="J988" s="10">
        <v>9.3577201190982572E-3</v>
      </c>
      <c r="K988">
        <v>1</v>
      </c>
      <c r="L988">
        <v>0</v>
      </c>
      <c r="M988">
        <v>0</v>
      </c>
      <c r="N988" s="10">
        <v>0.49577340473426063</v>
      </c>
      <c r="O988" s="10">
        <v>9.5288812844678873E-4</v>
      </c>
      <c r="P988" s="10">
        <v>0.75</v>
      </c>
      <c r="Q988">
        <v>0</v>
      </c>
      <c r="R988">
        <v>0</v>
      </c>
      <c r="S988">
        <v>0</v>
      </c>
      <c r="T988">
        <v>0</v>
      </c>
      <c r="U988">
        <v>0</v>
      </c>
      <c r="V988" s="10">
        <v>2.5352112676056339E-2</v>
      </c>
      <c r="W988" s="5">
        <v>3</v>
      </c>
      <c r="X988" s="5">
        <v>2</v>
      </c>
      <c r="Y988" s="5">
        <v>3</v>
      </c>
      <c r="Z988" s="5">
        <v>8</v>
      </c>
    </row>
    <row r="989" spans="1:26" x14ac:dyDescent="0.35">
      <c r="A989">
        <v>988</v>
      </c>
      <c r="B989" s="10">
        <v>0.25490196078431371</v>
      </c>
      <c r="C989">
        <v>0</v>
      </c>
      <c r="D989">
        <v>0</v>
      </c>
      <c r="E989">
        <v>0</v>
      </c>
      <c r="F989">
        <v>0</v>
      </c>
      <c r="G989">
        <v>1</v>
      </c>
      <c r="H989">
        <v>3</v>
      </c>
      <c r="I989">
        <v>0</v>
      </c>
      <c r="J989" s="10">
        <v>1.1484474691620587E-2</v>
      </c>
      <c r="K989">
        <v>0</v>
      </c>
      <c r="L989">
        <v>1</v>
      </c>
      <c r="M989">
        <v>0</v>
      </c>
      <c r="N989" s="10">
        <v>0.75033765372129935</v>
      </c>
      <c r="O989" s="10">
        <v>1.126545712035481E-3</v>
      </c>
      <c r="P989" s="10">
        <v>1</v>
      </c>
      <c r="Q989">
        <v>2</v>
      </c>
      <c r="R989">
        <v>1</v>
      </c>
      <c r="S989">
        <v>1</v>
      </c>
      <c r="T989">
        <v>1</v>
      </c>
      <c r="U989">
        <v>0</v>
      </c>
      <c r="V989" s="10">
        <v>9.295774647887324E-2</v>
      </c>
      <c r="W989" s="5">
        <v>2</v>
      </c>
      <c r="X989" s="5">
        <v>3</v>
      </c>
      <c r="Y989" s="5">
        <v>3</v>
      </c>
      <c r="Z989" s="5">
        <v>8</v>
      </c>
    </row>
    <row r="990" spans="1:26" x14ac:dyDescent="0.35">
      <c r="A990">
        <v>989</v>
      </c>
      <c r="B990" s="10">
        <v>0.72549019607843135</v>
      </c>
      <c r="C990">
        <v>1</v>
      </c>
      <c r="D990">
        <v>0</v>
      </c>
      <c r="E990">
        <v>0</v>
      </c>
      <c r="F990">
        <v>1</v>
      </c>
      <c r="G990">
        <v>0</v>
      </c>
      <c r="H990">
        <v>1</v>
      </c>
      <c r="I990">
        <v>1</v>
      </c>
      <c r="J990" s="10">
        <v>1.1909825606125052E-2</v>
      </c>
      <c r="K990">
        <v>0</v>
      </c>
      <c r="L990">
        <v>1</v>
      </c>
      <c r="M990">
        <v>0</v>
      </c>
      <c r="N990" s="10">
        <v>0.45038859796696917</v>
      </c>
      <c r="O990" s="10">
        <v>8.6248160981151358E-4</v>
      </c>
      <c r="P990" s="10">
        <v>0.75</v>
      </c>
      <c r="Q990">
        <v>2</v>
      </c>
      <c r="R990">
        <v>1</v>
      </c>
      <c r="S990">
        <v>1</v>
      </c>
      <c r="T990">
        <v>0</v>
      </c>
      <c r="U990">
        <v>0</v>
      </c>
      <c r="V990" s="10">
        <v>0.29295774647887324</v>
      </c>
      <c r="W990" s="5">
        <v>1</v>
      </c>
      <c r="X990" s="5">
        <v>2</v>
      </c>
      <c r="Y990" s="5">
        <v>2</v>
      </c>
      <c r="Z990" s="5">
        <v>5</v>
      </c>
    </row>
    <row r="991" spans="1:26" x14ac:dyDescent="0.35">
      <c r="A991">
        <v>990</v>
      </c>
      <c r="B991" s="10">
        <v>0.37254901960784315</v>
      </c>
      <c r="C991">
        <v>0</v>
      </c>
      <c r="D991">
        <v>0</v>
      </c>
      <c r="E991">
        <v>0</v>
      </c>
      <c r="F991">
        <v>0</v>
      </c>
      <c r="G991">
        <v>1</v>
      </c>
      <c r="H991">
        <v>3</v>
      </c>
      <c r="I991">
        <v>1</v>
      </c>
      <c r="J991" s="10">
        <v>1.7439387494683115E-2</v>
      </c>
      <c r="K991">
        <v>1</v>
      </c>
      <c r="L991">
        <v>0</v>
      </c>
      <c r="M991">
        <v>0</v>
      </c>
      <c r="N991" s="10">
        <v>0.14030400682415942</v>
      </c>
      <c r="O991" s="10">
        <v>1.9563987152823176E-3</v>
      </c>
      <c r="P991" s="10">
        <v>0</v>
      </c>
      <c r="Q991">
        <v>2</v>
      </c>
      <c r="R991">
        <v>1</v>
      </c>
      <c r="S991">
        <v>1</v>
      </c>
      <c r="T991">
        <v>0</v>
      </c>
      <c r="U991">
        <v>1</v>
      </c>
      <c r="V991" s="10">
        <v>0.50422535211267605</v>
      </c>
      <c r="W991" s="5">
        <v>1</v>
      </c>
      <c r="X991" s="5">
        <v>1</v>
      </c>
      <c r="Y991" s="5">
        <v>1</v>
      </c>
      <c r="Z991" s="5">
        <v>3</v>
      </c>
    </row>
    <row r="992" spans="1:26" x14ac:dyDescent="0.35">
      <c r="A992">
        <v>991</v>
      </c>
      <c r="B992" s="10">
        <v>0.84313725490196079</v>
      </c>
      <c r="C992">
        <v>1</v>
      </c>
      <c r="D992">
        <v>0</v>
      </c>
      <c r="E992">
        <v>1</v>
      </c>
      <c r="F992">
        <v>0</v>
      </c>
      <c r="G992">
        <v>0</v>
      </c>
      <c r="H992">
        <v>2</v>
      </c>
      <c r="I992">
        <v>0</v>
      </c>
      <c r="J992" s="10">
        <v>3.4028073160357296E-3</v>
      </c>
      <c r="K992">
        <v>0</v>
      </c>
      <c r="L992">
        <v>1</v>
      </c>
      <c r="M992">
        <v>0</v>
      </c>
      <c r="N992" s="10">
        <v>0.23445015757173665</v>
      </c>
      <c r="O992" s="10">
        <v>1.0627412231717249E-3</v>
      </c>
      <c r="P992" s="10">
        <v>0.25</v>
      </c>
      <c r="Q992">
        <v>0</v>
      </c>
      <c r="R992">
        <v>0</v>
      </c>
      <c r="S992">
        <v>0</v>
      </c>
      <c r="T992">
        <v>0</v>
      </c>
      <c r="U992">
        <v>0</v>
      </c>
      <c r="V992" s="10">
        <v>2.2535211267605635E-2</v>
      </c>
      <c r="W992" s="5">
        <v>3</v>
      </c>
      <c r="X992" s="5">
        <v>2</v>
      </c>
      <c r="Y992" s="5">
        <v>1</v>
      </c>
      <c r="Z992" s="5">
        <v>6</v>
      </c>
    </row>
    <row r="993" spans="1:26" x14ac:dyDescent="0.35">
      <c r="A993">
        <v>992</v>
      </c>
      <c r="B993" s="10">
        <v>0.15686274509803921</v>
      </c>
      <c r="C993">
        <v>1</v>
      </c>
      <c r="D993">
        <v>1</v>
      </c>
      <c r="E993">
        <v>0</v>
      </c>
      <c r="F993">
        <v>0</v>
      </c>
      <c r="G993">
        <v>0</v>
      </c>
      <c r="H993">
        <v>1</v>
      </c>
      <c r="I993">
        <v>0</v>
      </c>
      <c r="J993" s="10">
        <v>1.0208421948107189E-2</v>
      </c>
      <c r="K993">
        <v>0</v>
      </c>
      <c r="L993">
        <v>1</v>
      </c>
      <c r="M993">
        <v>0</v>
      </c>
      <c r="N993" s="10">
        <v>8.939530365139918E-2</v>
      </c>
      <c r="O993" s="10">
        <v>1.2465278873686069E-3</v>
      </c>
      <c r="P993" s="10">
        <v>0</v>
      </c>
      <c r="Q993">
        <v>1</v>
      </c>
      <c r="R993">
        <v>1</v>
      </c>
      <c r="S993">
        <v>0</v>
      </c>
      <c r="T993">
        <v>0</v>
      </c>
      <c r="U993">
        <v>1</v>
      </c>
      <c r="V993" s="10">
        <v>0.75774647887323943</v>
      </c>
      <c r="W993" s="5">
        <v>1</v>
      </c>
      <c r="X993" s="5">
        <v>1</v>
      </c>
      <c r="Y993" s="5">
        <v>1</v>
      </c>
      <c r="Z993" s="5">
        <v>3</v>
      </c>
    </row>
    <row r="994" spans="1:26" x14ac:dyDescent="0.35">
      <c r="A994">
        <v>993</v>
      </c>
      <c r="B994" s="10">
        <v>0.62745098039215685</v>
      </c>
      <c r="C994">
        <v>0</v>
      </c>
      <c r="D994">
        <v>0</v>
      </c>
      <c r="E994">
        <v>0</v>
      </c>
      <c r="F994">
        <v>0</v>
      </c>
      <c r="G994">
        <v>1</v>
      </c>
      <c r="H994">
        <v>3</v>
      </c>
      <c r="I994">
        <v>0</v>
      </c>
      <c r="J994" s="10">
        <v>1.7864738409187581E-2</v>
      </c>
      <c r="K994">
        <v>0</v>
      </c>
      <c r="L994">
        <v>1</v>
      </c>
      <c r="M994">
        <v>0</v>
      </c>
      <c r="N994" s="10">
        <v>2.1278108191360803E-2</v>
      </c>
      <c r="O994" s="10">
        <v>2.9670188664952861E-4</v>
      </c>
      <c r="P994" s="10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 s="10">
        <v>0.89295774647887327</v>
      </c>
      <c r="W994" s="5">
        <v>1</v>
      </c>
      <c r="X994" s="5">
        <v>1</v>
      </c>
      <c r="Y994" s="5">
        <v>1</v>
      </c>
      <c r="Z994" s="5">
        <v>3</v>
      </c>
    </row>
    <row r="995" spans="1:26" x14ac:dyDescent="0.35">
      <c r="A995">
        <v>994</v>
      </c>
      <c r="B995" s="10">
        <v>0.33333333333333331</v>
      </c>
      <c r="C995">
        <v>0</v>
      </c>
      <c r="D995">
        <v>1</v>
      </c>
      <c r="E995">
        <v>0</v>
      </c>
      <c r="F995">
        <v>0</v>
      </c>
      <c r="G995">
        <v>0</v>
      </c>
      <c r="H995">
        <v>2</v>
      </c>
      <c r="I995">
        <v>0</v>
      </c>
      <c r="J995" s="10">
        <v>1.6588685665674181E-2</v>
      </c>
      <c r="K995">
        <v>1</v>
      </c>
      <c r="L995">
        <v>0</v>
      </c>
      <c r="M995">
        <v>0</v>
      </c>
      <c r="N995" s="10">
        <v>0.53063170864630471</v>
      </c>
      <c r="O995" s="10">
        <v>7.8614802971846908E-4</v>
      </c>
      <c r="P995" s="10">
        <v>1</v>
      </c>
      <c r="Q995">
        <v>2</v>
      </c>
      <c r="R995">
        <v>1</v>
      </c>
      <c r="S995">
        <v>1</v>
      </c>
      <c r="T995">
        <v>0</v>
      </c>
      <c r="U995">
        <v>0</v>
      </c>
      <c r="V995" s="10">
        <v>4.2253521126760563E-2</v>
      </c>
      <c r="W995" s="5">
        <v>3</v>
      </c>
      <c r="X995" s="5">
        <v>3</v>
      </c>
      <c r="Y995" s="5">
        <v>3</v>
      </c>
      <c r="Z995" s="5">
        <v>9</v>
      </c>
    </row>
    <row r="996" spans="1:26" x14ac:dyDescent="0.35">
      <c r="A996">
        <v>995</v>
      </c>
      <c r="B996" s="10">
        <v>9.8039215686274508E-2</v>
      </c>
      <c r="C996">
        <v>0</v>
      </c>
      <c r="D996">
        <v>0</v>
      </c>
      <c r="E996">
        <v>0</v>
      </c>
      <c r="F996">
        <v>1</v>
      </c>
      <c r="G996">
        <v>0</v>
      </c>
      <c r="H996">
        <v>1</v>
      </c>
      <c r="I996">
        <v>1</v>
      </c>
      <c r="J996" s="10">
        <v>2.5521054870267972E-3</v>
      </c>
      <c r="K996">
        <v>0</v>
      </c>
      <c r="L996">
        <v>1</v>
      </c>
      <c r="M996">
        <v>0</v>
      </c>
      <c r="N996" s="10">
        <v>0.2992085870672701</v>
      </c>
      <c r="O996" s="10">
        <v>8.0205326262998953E-4</v>
      </c>
      <c r="P996" s="10">
        <v>0.5</v>
      </c>
      <c r="Q996">
        <v>1</v>
      </c>
      <c r="R996">
        <v>0</v>
      </c>
      <c r="S996">
        <v>0</v>
      </c>
      <c r="T996">
        <v>1</v>
      </c>
      <c r="U996">
        <v>0</v>
      </c>
      <c r="V996" s="10">
        <v>1.1267605633802818E-2</v>
      </c>
      <c r="W996" s="5">
        <v>3</v>
      </c>
      <c r="X996" s="5">
        <v>2</v>
      </c>
      <c r="Y996" s="5">
        <v>2</v>
      </c>
      <c r="Z996" s="5">
        <v>7</v>
      </c>
    </row>
    <row r="997" spans="1:26" x14ac:dyDescent="0.35">
      <c r="A997">
        <v>996</v>
      </c>
      <c r="B997" s="10">
        <v>0.70588235294117652</v>
      </c>
      <c r="C997">
        <v>0</v>
      </c>
      <c r="D997">
        <v>1</v>
      </c>
      <c r="E997">
        <v>0</v>
      </c>
      <c r="F997">
        <v>0</v>
      </c>
      <c r="G997">
        <v>0</v>
      </c>
      <c r="H997">
        <v>1</v>
      </c>
      <c r="I997">
        <v>0</v>
      </c>
      <c r="J997" s="10">
        <v>1.4887282007656316E-2</v>
      </c>
      <c r="K997">
        <v>1</v>
      </c>
      <c r="L997">
        <v>0</v>
      </c>
      <c r="M997">
        <v>0</v>
      </c>
      <c r="N997" s="10">
        <v>6.4405966400492842E-2</v>
      </c>
      <c r="O997" s="10">
        <v>8.9807663212611343E-4</v>
      </c>
      <c r="P997" s="10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 s="10">
        <v>0.45070422535211269</v>
      </c>
      <c r="W997" s="5">
        <v>1</v>
      </c>
      <c r="X997" s="5">
        <v>1</v>
      </c>
      <c r="Y997" s="5">
        <v>1</v>
      </c>
      <c r="Z997" s="5">
        <v>3</v>
      </c>
    </row>
    <row r="998" spans="1:26" x14ac:dyDescent="0.35">
      <c r="A998">
        <v>997</v>
      </c>
      <c r="B998" s="10">
        <v>1.9607843137254902E-2</v>
      </c>
      <c r="C998">
        <v>1</v>
      </c>
      <c r="D998">
        <v>0</v>
      </c>
      <c r="E998">
        <v>0</v>
      </c>
      <c r="F998">
        <v>0</v>
      </c>
      <c r="G998">
        <v>1</v>
      </c>
      <c r="H998">
        <v>3</v>
      </c>
      <c r="I998">
        <v>0</v>
      </c>
      <c r="J998" s="10">
        <v>1.5737983836665248E-2</v>
      </c>
      <c r="K998">
        <v>1</v>
      </c>
      <c r="L998">
        <v>0</v>
      </c>
      <c r="M998">
        <v>0</v>
      </c>
      <c r="N998" s="10">
        <v>0.12144278842736297</v>
      </c>
      <c r="O998" s="10">
        <v>8.2646178365029463E-4</v>
      </c>
      <c r="P998" s="10">
        <v>0.125</v>
      </c>
      <c r="Q998">
        <v>0</v>
      </c>
      <c r="R998">
        <v>0</v>
      </c>
      <c r="S998">
        <v>0</v>
      </c>
      <c r="T998">
        <v>0</v>
      </c>
      <c r="U998">
        <v>0</v>
      </c>
      <c r="V998" s="10">
        <v>0.18873239436619718</v>
      </c>
      <c r="W998" s="5">
        <v>2</v>
      </c>
      <c r="X998" s="5">
        <v>1</v>
      </c>
      <c r="Y998" s="5">
        <v>1</v>
      </c>
      <c r="Z998" s="5">
        <v>4</v>
      </c>
    </row>
    <row r="999" spans="1:26" x14ac:dyDescent="0.35">
      <c r="A999">
        <v>998</v>
      </c>
      <c r="B999" s="10">
        <v>0.56862745098039214</v>
      </c>
      <c r="C999">
        <v>1</v>
      </c>
      <c r="D999">
        <v>0</v>
      </c>
      <c r="E999">
        <v>1</v>
      </c>
      <c r="F999">
        <v>0</v>
      </c>
      <c r="G999">
        <v>0</v>
      </c>
      <c r="H999">
        <v>1</v>
      </c>
      <c r="I999">
        <v>0</v>
      </c>
      <c r="J999" s="10">
        <v>5.9549128030625276E-3</v>
      </c>
      <c r="K999">
        <v>0</v>
      </c>
      <c r="L999">
        <v>1</v>
      </c>
      <c r="M999">
        <v>0</v>
      </c>
      <c r="N999" s="10">
        <v>7.1781034523612064E-2</v>
      </c>
      <c r="O999" s="10">
        <v>1.000914563328414E-3</v>
      </c>
      <c r="P999" s="10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 s="10">
        <v>0.29295774647887324</v>
      </c>
      <c r="W999" s="5">
        <v>1</v>
      </c>
      <c r="X999" s="5">
        <v>1</v>
      </c>
      <c r="Y999" s="5">
        <v>1</v>
      </c>
      <c r="Z999" s="5">
        <v>3</v>
      </c>
    </row>
    <row r="1000" spans="1:26" x14ac:dyDescent="0.35">
      <c r="A1000">
        <v>999</v>
      </c>
      <c r="B1000" s="10">
        <v>9.8039215686274508E-2</v>
      </c>
      <c r="C1000">
        <v>1</v>
      </c>
      <c r="D1000">
        <v>0</v>
      </c>
      <c r="E1000">
        <v>0</v>
      </c>
      <c r="F1000">
        <v>0</v>
      </c>
      <c r="G1000">
        <v>1</v>
      </c>
      <c r="H1000">
        <v>3</v>
      </c>
      <c r="I1000">
        <v>0</v>
      </c>
      <c r="J1000" s="10">
        <v>6.80561463207146E-3</v>
      </c>
      <c r="K1000">
        <v>0</v>
      </c>
      <c r="L1000">
        <v>1</v>
      </c>
      <c r="M1000">
        <v>0</v>
      </c>
      <c r="N1000" s="10">
        <v>0.70595099874416489</v>
      </c>
      <c r="O1000" s="10">
        <v>1.0577760004336215E-3</v>
      </c>
      <c r="P1000" s="10">
        <v>1</v>
      </c>
      <c r="Q1000">
        <v>0</v>
      </c>
      <c r="R1000">
        <v>0</v>
      </c>
      <c r="S1000">
        <v>0</v>
      </c>
      <c r="T1000">
        <v>0</v>
      </c>
      <c r="U1000">
        <v>0</v>
      </c>
      <c r="V1000" s="10">
        <v>6.7605633802816895E-2</v>
      </c>
      <c r="W1000" s="5">
        <v>3</v>
      </c>
      <c r="X1000" s="5">
        <v>3</v>
      </c>
      <c r="Y1000" s="5">
        <v>3</v>
      </c>
      <c r="Z1000" s="5">
        <v>9</v>
      </c>
    </row>
    <row r="1001" spans="1:26" x14ac:dyDescent="0.35">
      <c r="A1001">
        <v>1000</v>
      </c>
      <c r="B1001" s="10">
        <v>0.31372549019607843</v>
      </c>
      <c r="C1001">
        <v>1</v>
      </c>
      <c r="D1001">
        <v>0</v>
      </c>
      <c r="E1001">
        <v>0</v>
      </c>
      <c r="F1001">
        <v>0</v>
      </c>
      <c r="G1001">
        <v>1</v>
      </c>
      <c r="H1001">
        <v>1</v>
      </c>
      <c r="I1001">
        <v>0</v>
      </c>
      <c r="J1001" s="10">
        <v>1.7014036580178648E-2</v>
      </c>
      <c r="K1001">
        <v>1</v>
      </c>
      <c r="L1001">
        <v>0</v>
      </c>
      <c r="M1001">
        <v>0</v>
      </c>
      <c r="N1001" s="10">
        <v>0.49196443380802307</v>
      </c>
      <c r="O1001" s="10">
        <v>1.1095964974484353E-3</v>
      </c>
      <c r="P1001" s="10">
        <v>0.625</v>
      </c>
      <c r="Q1001">
        <v>0</v>
      </c>
      <c r="R1001">
        <v>0</v>
      </c>
      <c r="S1001">
        <v>0</v>
      </c>
      <c r="T1001">
        <v>0</v>
      </c>
      <c r="U1001">
        <v>0</v>
      </c>
      <c r="V1001" s="10">
        <v>5.0704225352112678E-2</v>
      </c>
      <c r="W1001" s="5">
        <v>3</v>
      </c>
      <c r="X1001" s="5">
        <v>2</v>
      </c>
      <c r="Y1001" s="5">
        <v>3</v>
      </c>
      <c r="Z1001" s="5">
        <v>8</v>
      </c>
    </row>
    <row r="1002" spans="1:26" x14ac:dyDescent="0.35">
      <c r="W1002" s="5"/>
      <c r="X1002" s="5"/>
      <c r="Y1002" s="5"/>
      <c r="Z1002" s="5"/>
    </row>
    <row r="1003" spans="1:26" x14ac:dyDescent="0.35">
      <c r="B1003" s="10" t="s">
        <v>1</v>
      </c>
      <c r="C1003" t="s">
        <v>60</v>
      </c>
      <c r="D1003" t="s">
        <v>61</v>
      </c>
      <c r="E1003" t="s">
        <v>62</v>
      </c>
      <c r="F1003" t="s">
        <v>63</v>
      </c>
      <c r="G1003" t="s">
        <v>64</v>
      </c>
    </row>
    <row r="1004" spans="1:26" x14ac:dyDescent="0.35">
      <c r="A1004" t="s">
        <v>65</v>
      </c>
      <c r="B1004" s="10">
        <f>MIN(B2:B1001)</f>
        <v>0</v>
      </c>
      <c r="C1004" s="6">
        <f>MIN(J2:J1001)</f>
        <v>0</v>
      </c>
      <c r="D1004" s="6">
        <f>MIN(N2:N1001)</f>
        <v>0</v>
      </c>
      <c r="E1004" s="6">
        <f>MIN(O2:O1001)</f>
        <v>0</v>
      </c>
      <c r="F1004" s="6">
        <f>MIN(P2:P1001)</f>
        <v>0</v>
      </c>
      <c r="G1004" s="6">
        <f>MIN(V2:V1001)</f>
        <v>0</v>
      </c>
    </row>
    <row r="1005" spans="1:26" x14ac:dyDescent="0.35">
      <c r="A1005" t="s">
        <v>66</v>
      </c>
      <c r="B1005" s="10">
        <f>MAX(B2:B1001)</f>
        <v>1</v>
      </c>
      <c r="C1005" s="6">
        <f>MAX(J2:J1001)</f>
        <v>1</v>
      </c>
      <c r="D1005" s="6">
        <f>MAX(N2:N1001)</f>
        <v>1</v>
      </c>
      <c r="E1005" s="6">
        <f>MAX(O2:O1001)</f>
        <v>1</v>
      </c>
      <c r="F1005" s="6">
        <f>MAX(P2:P1001)</f>
        <v>1</v>
      </c>
      <c r="G1005" s="6">
        <f>MAX(V2:V1001)</f>
        <v>1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EDA_Charts</vt:lpstr>
      <vt:lpstr>Customer_level</vt:lpstr>
      <vt:lpstr>Data_Cleaning</vt:lpstr>
      <vt:lpstr>Customer_Encoded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Advan</dc:creator>
  <cp:lastModifiedBy>Muhammad fajar</cp:lastModifiedBy>
  <dcterms:created xsi:type="dcterms:W3CDTF">2024-07-24T20:02:00Z</dcterms:created>
  <dcterms:modified xsi:type="dcterms:W3CDTF">2026-05-28T10:01:46Z</dcterms:modified>
</cp:coreProperties>
</file>